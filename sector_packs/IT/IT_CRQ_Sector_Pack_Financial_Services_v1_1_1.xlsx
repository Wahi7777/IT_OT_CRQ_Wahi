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7"/>
  </bookViews>
  <sheets>
    <sheet name="00 Pack Guide" sheetId="1" state="visible" r:id="rId3"/>
    <sheet name="01 Pack Metadata" sheetId="2" state="visible" r:id="rId4"/>
    <sheet name="02 Actor Weights" sheetId="3" state="visible" r:id="rId5"/>
    <sheet name="03 Actor Scenario" sheetId="4" state="visible" r:id="rId6"/>
    <sheet name="04 Route Definitions" sheetId="5" state="visible" r:id="rId7"/>
    <sheet name="05 Actor Route" sheetId="6" state="visible" r:id="rId8"/>
    <sheet name="06 Scenario Route" sheetId="7" state="visible" r:id="rId9"/>
    <sheet name="07 Stage Requirements" sheetId="8" state="visible" r:id="rId10"/>
    <sheet name="08 Stage Priors" sheetId="9" state="visible" r:id="rId11"/>
    <sheet name="09 Scenario Parameters" sheetId="10" state="visible" r:id="rId12"/>
    <sheet name="10 Driver Rates" sheetId="11" state="visible" r:id="rId13"/>
    <sheet name="11 Impact Driver Matrix" sheetId="12" state="visible" r:id="rId14"/>
    <sheet name="12 TTP Catalogue" sheetId="13" state="visible" r:id="rId15"/>
    <sheet name="13 Route TTP Map" sheetId="14" state="visible" r:id="rId16"/>
    <sheet name="14 Control Reference" sheetId="15" state="visible" r:id="rId17"/>
    <sheet name="15 Control TTP Map" sheetId="16" state="visible" r:id="rId18"/>
    <sheet name="16 Sources" sheetId="17" state="visible" r:id="rId19"/>
    <sheet name="17 Evidence Register" sheetId="18" state="visible" r:id="rId20"/>
    <sheet name="18 Validation" sheetId="19" state="visible" r:id="rId21"/>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<sst xmlns="http://schemas.openxmlformats.org/spreadsheetml/2006/main" count="1535" uniqueCount="589">
  <si>
    <t xml:space="preserve">IT Sector Pack - Financial Services - v1.1.1</t>
  </si>
  <si>
    <t xml:space="preserve">Orientation for the pack owner. Lists what this Financial Services pack contains and what belongs in the assessment workbook instead.</t>
  </si>
  <si>
    <t xml:space="preserve">This workbook contains Financial Services reference calibration. Do not enter client-specific or assessment-specific data in this workbook.</t>
  </si>
  <si>
    <t xml:space="preserve">SHEET TYPE: MODEL DOCUMENTATION</t>
  </si>
  <si>
    <t xml:space="preserve">Purpose</t>
  </si>
  <si>
    <t xml:space="preserve">Supply broad Financial Services actor, scenario, route, control and impact assumptions.</t>
  </si>
  <si>
    <t xml:space="preserve">Calculation / decision logic</t>
  </si>
  <si>
    <t xml:space="preserve">Python validates schema, evidence grades, route-stage coverage, mappings and conditional distributions before simulation.</t>
  </si>
  <si>
    <t xml:space="preserve">Outputs / downstream use</t>
  </si>
  <si>
    <t xml:space="preserve">Loaded by Guided_IT_CRQ_Model_v1_1_1.xlsx. The prepare command resizes the main workbook from any conformant sector pack.</t>
  </si>
  <si>
    <t xml:space="preserve">Workbook convention</t>
  </si>
  <si>
    <t xml:space="preserve">Yellow cells with blue font are editable. Engine results and resolved pack values are not manually editable.</t>
  </si>
  <si>
    <t xml:space="preserve">PACK DESIGN PRINCIPLES</t>
  </si>
  <si>
    <t xml:space="preserve">1</t>
  </si>
  <si>
    <t xml:space="preserve">One common IT-CRQ engine; packs contain data and rationale only.</t>
  </si>
  <si>
    <t xml:space="preserve">2</t>
  </si>
  <si>
    <t xml:space="preserve">No product-specific or banking-subsector engines.</t>
  </si>
  <si>
    <t xml:space="preserve">3</t>
  </si>
  <si>
    <t xml:space="preserve">Actor, scenario and route weights are conditional distributions and are validated to sum to 100%.</t>
  </si>
  <si>
    <t xml:space="preserve">4</t>
  </si>
  <si>
    <t xml:space="preserve">Reference controls prevent comparison against an unrealistic zero-control organisation.</t>
  </si>
  <si>
    <t xml:space="preserve">5</t>
  </si>
  <si>
    <t xml:space="preserve">Impact assumptions follow a transparent Base/P99 driver structure inspired by the supplied Balbix model.</t>
  </si>
  <si>
    <t xml:space="preserve">6</t>
  </si>
  <si>
    <t xml:space="preserve">All working priors remain editable and must be approved before external use.</t>
  </si>
  <si>
    <t xml:space="preserve">01 — Pack Metadata</t>
  </si>
  <si>
    <t xml:space="preserve">Identity, schema, minimum engine version, status and unit of analysis for this pack.</t>
  </si>
  <si>
    <t xml:space="preserve">How used in the model: Validated fail-closed before any other pack table is used. Mismatched PACK_ID, SECTOR, DOMAIN or SCHEMA_VERSION stops the run.</t>
  </si>
  <si>
    <t xml:space="preserve">DOMAIN</t>
  </si>
  <si>
    <t xml:space="preserve">IT</t>
  </si>
  <si>
    <t xml:space="preserve">Key</t>
  </si>
  <si>
    <t xml:space="preserve">Value</t>
  </si>
  <si>
    <t xml:space="preserve">Description</t>
  </si>
  <si>
    <t xml:space="preserve">Evidence grade</t>
  </si>
  <si>
    <t xml:space="preserve">Source ID</t>
  </si>
  <si>
    <t xml:space="preserve">PACK_ID</t>
  </si>
  <si>
    <t xml:space="preserve">FS-v1.1.1</t>
  </si>
  <si>
    <t xml:space="preserve">Unique pack identifier</t>
  </si>
  <si>
    <t xml:space="preserve">D</t>
  </si>
  <si>
    <t xml:space="preserve">SRC-10</t>
  </si>
  <si>
    <t xml:space="preserve">SECTOR</t>
  </si>
  <si>
    <t xml:space="preserve">Financial Services</t>
  </si>
  <si>
    <t xml:space="preserve">Exact main-workbook sector selection</t>
  </si>
  <si>
    <t xml:space="preserve">PACK_VERSION</t>
  </si>
  <si>
    <t xml:space="preserve">1.1.1</t>
  </si>
  <si>
    <t xml:space="preserve">Pack content version</t>
  </si>
  <si>
    <t xml:space="preserve">SCHEMA_VERSION</t>
  </si>
  <si>
    <t xml:space="preserve">CRQ-PACK-1.1</t>
  </si>
  <si>
    <t xml:space="preserve">Required table schema</t>
  </si>
  <si>
    <t xml:space="preserve">MIN_ENGINE_VERSION</t>
  </si>
  <si>
    <t xml:space="preserve">Minimum compatible Python engine</t>
  </si>
  <si>
    <t xml:space="preserve">STATUS</t>
  </si>
  <si>
    <t xml:space="preserve">Development — working priors; calibration required</t>
  </si>
  <si>
    <t xml:space="preserve">Must not be described as externally validated</t>
  </si>
  <si>
    <t xml:space="preserve">RISK_DOMAIN</t>
  </si>
  <si>
    <t xml:space="preserve">Pack content domain</t>
  </si>
  <si>
    <t xml:space="preserve">UNIT_OF_ANALYSIS</t>
  </si>
  <si>
    <t xml:space="preserve">Organisation</t>
  </si>
  <si>
    <t xml:space="preserve">Frequency denominator</t>
  </si>
  <si>
    <t xml:space="preserve">ATTACK_DOMAIN</t>
  </si>
  <si>
    <t xml:space="preserve">Enterprise</t>
  </si>
  <si>
    <t xml:space="preserve">MITRE ATT&amp;CK domain</t>
  </si>
  <si>
    <t xml:space="preserve">C</t>
  </si>
  <si>
    <t xml:space="preserve">SRC-01</t>
  </si>
  <si>
    <t xml:space="preserve">REFERENCE_CAMPAIGNS_PER_YEAR</t>
  </si>
  <si>
    <t xml:space="preserve">Material-campaign arrival-rate prior per organisation-year</t>
  </si>
  <si>
    <t xml:space="preserve">DEFAULT_PRUDENCE_FACTOR</t>
  </si>
  <si>
    <t xml:space="preserve">Separate frequency prudence factor</t>
  </si>
  <si>
    <t xml:space="preserve">CONTROL_AGG_INCREMENT</t>
  </si>
  <si>
    <t xml:space="preserve">Diminishing-return increment after first mapped control</t>
  </si>
  <si>
    <t xml:space="preserve">CONTROL_ADJ_FLOOR</t>
  </si>
  <si>
    <t xml:space="preserve">Reference-relative control-ratio lower bound</t>
  </si>
  <si>
    <t xml:space="preserve">CONTROL_ADJ_CEILING</t>
  </si>
  <si>
    <t xml:space="preserve">Reference-relative control-ratio upper bound</t>
  </si>
  <si>
    <t xml:space="preserve">DURATION_FACTOR_FLOOR</t>
  </si>
  <si>
    <t xml:space="preserve">Minimum duration-loss factor</t>
  </si>
  <si>
    <t xml:space="preserve">EXPOSURE_FACTOR_FLOOR</t>
  </si>
  <si>
    <t xml:space="preserve">Minimum exposure-loss factor</t>
  </si>
  <si>
    <t xml:space="preserve">CONSEQUENCE_FACTOR_FLOOR</t>
  </si>
  <si>
    <t xml:space="preserve">Minimum direct-consequence factor</t>
  </si>
  <si>
    <t xml:space="preserve">CONSEQUENCE_FACTOR_CEILING</t>
  </si>
  <si>
    <t xml:space="preserve">Maximum direct-consequence factor</t>
  </si>
  <si>
    <t xml:space="preserve">LOSS_BLOCK_RHO</t>
  </si>
  <si>
    <t xml:space="preserve">Within-event dependence across loss blocks</t>
  </si>
  <si>
    <t xml:space="preserve">CREATED_DATE</t>
  </si>
  <si>
    <t xml:space="preserve">2026-08-21</t>
  </si>
  <si>
    <t xml:space="preserve">Pack creation date</t>
  </si>
  <si>
    <t xml:space="preserve">DESCRIPTION</t>
  </si>
  <si>
    <t xml:space="preserve">Broad Financial Services profile</t>
  </si>
  <si>
    <t xml:space="preserve">No granular banking/insurance sub-packs</t>
  </si>
  <si>
    <t xml:space="preserve">CONTROL_BARRIER_CAP</t>
  </si>
  <si>
    <t xml:space="preserve">Maximum aggregate control barrier; no control combination is treated as perfect</t>
  </si>
  <si>
    <t xml:space="preserve">02 — Threat-Actor Weights</t>
  </si>
  <si>
    <t xml:space="preserve">Reference mix of material campaigns across the four IT threat actors for a broad Financial Services organisation.</t>
  </si>
  <si>
    <t xml:space="preserve">How used in the model: it_crq uses these weights as the actor campaign mix (they should sum to 1). Assessment overlays on IT 07 can scale activity but do not replace this mix unless an override is provided.</t>
  </si>
  <si>
    <t xml:space="preserve">Proposed: 10% / 80% / 8% / 2% (Nation-state / Cybercriminal / Insider / Hacktivist).</t>
  </si>
  <si>
    <t xml:space="preserve">The proposed shift is directionally informed by Verizon’s Financial &amp; Insurance breach data and cross-checked against Mandiant’s more targeted investigation population, which shows a larger espionage component. The reduction in hacktivist share follows from the limited ideological/disruptive motive observed once financial and espionage motives are considered. The exact allocation remains a structured working prior rather than a direct transformation of either dataset.</t>
  </si>
  <si>
    <t xml:space="preserve">Supporting evidence</t>
  </si>
  <si>
    <t xml:space="preserve">Verizon 2026 DBIR Executive Summary  Financial and Insurance (p.14)</t>
  </si>
  <si>
    <t xml:space="preserve">Mandiant M-Trends 2026</t>
  </si>
  <si>
    <t xml:space="preserve">Microsoft Digital Defense Report 2025</t>
  </si>
  <si>
    <t xml:space="preserve">Actor ID</t>
  </si>
  <si>
    <t xml:space="preserve">Threat actor</t>
  </si>
  <si>
    <t xml:space="preserve">Weight</t>
  </si>
  <si>
    <t xml:space="preserve">Basis / limitation</t>
  </si>
  <si>
    <t xml:space="preserve">A_NS</t>
  </si>
  <si>
    <t xml:space="preserve">Nation-state</t>
  </si>
  <si>
    <t xml:space="preserve">Working prior; broad FS sector context, not an observed annual incident share.</t>
  </si>
  <si>
    <t xml:space="preserve">A_CC</t>
  </si>
  <si>
    <t xml:space="preserve">Cybercriminal</t>
  </si>
  <si>
    <t xml:space="preserve">Working prior reflecting financially motivated disruption, data compromise and theft routes.</t>
  </si>
  <si>
    <t xml:space="preserve">A_MI</t>
  </si>
  <si>
    <t xml:space="preserve">Malicious insider</t>
  </si>
  <si>
    <t xml:space="preserve">Working prior for authorised-access misuse and collusion.</t>
  </si>
  <si>
    <t xml:space="preserve">A_HA</t>
  </si>
  <si>
    <t xml:space="preserve">Hacktivist</t>
  </si>
  <si>
    <t xml:space="preserve">Working prior reflecting direct-availability and public-service targeting.</t>
  </si>
  <si>
    <t xml:space="preserve">SRC-04; SRC-05</t>
  </si>
  <si>
    <t xml:space="preserve">CHECK</t>
  </si>
  <si>
    <t xml:space="preserve">Total</t>
  </si>
  <si>
    <t xml:space="preserve">Must equal 100%</t>
  </si>
  <si>
    <t xml:space="preserve">03 — Actor-to-Scenario Propensity</t>
  </si>
  <si>
    <t xml:space="preserve">For each actor, the conditional share of campaigns that lead to each of the four IT loss scenarios.</t>
  </si>
  <si>
    <t xml:space="preserve">How used in the model: Combined with actor weights and route propensities to build actor–scenario–route cells that the Monte Carlo simulates.</t>
  </si>
  <si>
    <t xml:space="preserve">Each actor's conditional distribution across the four FS loss scenarios. E.g. Hacktivist 75%/15%/8%/2% (Disruption/Data/Integrity/Fraud); Cybercriminal 30%/25%/10%/35%; Nation-state 25%/35%/30%/10%; Malicious Insider 20%/30%/25%/25%.</t>
  </si>
  <si>
    <t xml:space="preserve">The pattern is well supported directionally: hacktivists overwhelmingly pursue disruption rather than monetisable fraud — CISA and the FBI's joint advisory on pro-Russia hacktivist groups describes DDoS, defacement and “hack-and-leak” publicity operations as their dominant playbook, with fraud essentially absent from that threat picture. Cybercriminals split across data theft and fraud, consistent with the financial-motive evidence already used for the actor mix (Section 2.1). Nation-state actors weight toward data and integrity compromise over disruption, consistent with Mandiant and Microsoft's framing of state actors as primarily intelligence-driven. The insider row's more even split matches CERT/Secret Service research on financial-sector insider fraud, which documents both direct monetary fraud and data theft for resale, with a smaller but real sabotage/integrity component tied to grievance-driven incidents. As with the actor mix itself, this is Evidence Grade D — the direction is evidenced, the exact percentages are structured judgement.</t>
  </si>
  <si>
    <t xml:space="preserve">CISA/FBI  Pro-Russia Hacktivists Conduct Opportunistic Attacks Against Critical Infrastructure</t>
  </si>
  <si>
    <t xml:space="preserve">CMU SEI  Insider Fraud in Financial Services (National Insider Threat Center)</t>
  </si>
  <si>
    <t xml:space="preserve">SC_DISR</t>
  </si>
  <si>
    <t xml:space="preserve">SC_DATA</t>
  </si>
  <si>
    <t xml:space="preserve">SC_INT</t>
  </si>
  <si>
    <t xml:space="preserve">SC_FRAUD</t>
  </si>
  <si>
    <t xml:space="preserve">Row total</t>
  </si>
  <si>
    <t xml:space="preserve">04 — Route Definitions</t>
  </si>
  <si>
    <t xml:space="preserve">Stable identifiers and descriptions of the composite IT attack routes (identity, endpoint, exploit, supply chain, DDoS, insider).</t>
  </si>
  <si>
    <t xml:space="preserve">How used in the model: Route IDs key sheets 05–07 and 13. The engine does not invent routes that are not listed here.</t>
  </si>
  <si>
    <t xml:space="preserve">Route ID</t>
  </si>
  <si>
    <t xml:space="preserve">Attack route</t>
  </si>
  <si>
    <t xml:space="preserve">Definition</t>
  </si>
  <si>
    <t xml:space="preserve">R_ID</t>
  </si>
  <si>
    <t xml:space="preserve">Identity and credential compromise</t>
  </si>
  <si>
    <t xml:space="preserve">Phishing, credential theft, valid accounts and cloud/SaaS identity abuse.</t>
  </si>
  <si>
    <t xml:space="preserve">SRC-01; SRC-04</t>
  </si>
  <si>
    <t xml:space="preserve">R_USER</t>
  </si>
  <si>
    <t xml:space="preserve">User endpoint and social engineering</t>
  </si>
  <si>
    <t xml:space="preserve">User interaction leading to endpoint execution, privilege and movement.</t>
  </si>
  <si>
    <t xml:space="preserve">R_EXP</t>
  </si>
  <si>
    <t xml:space="preserve">Public-facing application exploitation</t>
  </si>
  <si>
    <t xml:space="preserve">Exploitation of internet-facing applications, APIs, appliances and remote services.</t>
  </si>
  <si>
    <t xml:space="preserve">R_TP</t>
  </si>
  <si>
    <t xml:space="preserve">Third-party or software supply chain</t>
  </si>
  <si>
    <t xml:space="preserve">Trusted relationship, delegated access, managed service or software compromise.</t>
  </si>
  <si>
    <t xml:space="preserve">R_DDOS</t>
  </si>
  <si>
    <t xml:space="preserve">Direct availability or DDoS</t>
  </si>
  <si>
    <t xml:space="preserve">Direct network or endpoint denial of public digital services.</t>
  </si>
  <si>
    <t xml:space="preserve">SRC-01; SRC-05</t>
  </si>
  <si>
    <t xml:space="preserve">R_INS</t>
  </si>
  <si>
    <t xml:space="preserve">Insider or trusted access</t>
  </si>
  <si>
    <t xml:space="preserve">Authorised or collusive access used to manipulate, disclose, disrupt or steal.</t>
  </si>
  <si>
    <t xml:space="preserve">05 — Actor-to-Route Propensity</t>
  </si>
  <si>
    <t xml:space="preserve">Reference distribution of each actor’s campaigns across composite routes.</t>
  </si>
  <si>
    <t xml:space="preserve">How used in the model: Multiplied with scenario-route propensity and normalised so each actor–scenario pair has a coherent route mix.</t>
  </si>
  <si>
    <t xml:space="preserve">Each actor's reference distribution across the six FS attack routes. E.g. Malicious Insider 87% via R_INS (trusted access); Hacktivist 60% via R_DDOS; Nation-state and Cybercriminal both weighted toward R_ID (identity/credential compromise).</t>
  </si>
  <si>
    <t xml:space="preserve">The insider row is close to definitionally true — an actor who already holds trusted access predominantly manifests through the insider route rather than needing an external one — so it needs little external justification beyond internal consistency. The hacktivist DDoS weighting is directly evidenced by the same CISA/FBI advisory cited in 2.5. Nation-state and cybercriminal weighting toward identity/credential compromise is consistent with Verizon's and Mandiant's initial-access vector data. Relative ordering is well evidenced; exact percentages remain Grade D.</t>
  </si>
  <si>
    <t xml:space="preserve">Verizon 2026 Data Breach Investigations Report</t>
  </si>
  <si>
    <t xml:space="preserve">06 — Scenario-to-Route Propensity</t>
  </si>
  <si>
    <t xml:space="preserve">Reference distribution of each loss scenario across composite routes.</t>
  </si>
  <si>
    <t xml:space="preserve">How used in the model: Combined with actor-route propensity; the product is the route mix used for TTP and control calculations.</t>
  </si>
  <si>
    <t xml:space="preserve">Each loss scenario's reference distribution across the six attack routes. R_DDOS contributes 0% to SC_DATA, SC_INT and SC_FRAUD and only to SC_DISR (20%).</t>
  </si>
  <si>
    <t xml:space="preserve">This table is largely a structural constraint rather than an externally evidenced probability: it encodes which routes are mechanically capable of producing which loss outcome. The DDoS-to-disruption-only pattern mirrors MITRE ATT&amp;CK's separation of the Impact tactic's availability techniques (e.g. Network/Endpoint Denial of Service) from data-manipulation and exfiltration techniques — DDoS cannot mechanically produce a confidentiality or integrity loss, so its 0% weighting elsewhere is a structural constraint, not a calibrated probability, and is a good internal-consistency check on the table. The relative weighting of the remaining routes (e.g. R_ID highest for SC_FRAUD at 35%, consistent with credential-enabled account-takeover fraud) draws on the same route-prevalence evidence used elsewhere in this document.</t>
  </si>
  <si>
    <t xml:space="preserve">MITRE ATT&amp;CK Enterprise Matrix (Impact tactic)</t>
  </si>
  <si>
    <t xml:space="preserve">Scenario ID</t>
  </si>
  <si>
    <t xml:space="preserve">07 — Scenario-Aware Stage Requirements</t>
  </si>
  <si>
    <t xml:space="preserve">Which of the five composite stages are required for each scenario–route pair (ALL rows, with optional actor overrides).</t>
  </si>
  <si>
    <t xml:space="preserve">How used in the model: Gates the attack path: a required stage with no viable TTP fails the path. Not an assessment input sheet.</t>
  </si>
  <si>
    <t xml:space="preserve">S1</t>
  </si>
  <si>
    <t xml:space="preserve">S2</t>
  </si>
  <si>
    <t xml:space="preserve">S3</t>
  </si>
  <si>
    <t xml:space="preserve">S4</t>
  </si>
  <si>
    <t xml:space="preserve">S5</t>
  </si>
  <si>
    <t xml:space="preserve">Rationale</t>
  </si>
  <si>
    <t xml:space="preserve">Override rule</t>
  </si>
  <si>
    <t xml:space="preserve">ALL</t>
  </si>
  <si>
    <t xml:space="preserve">Scenario-route mask; actor-specific rows may override ALL.</t>
  </si>
  <si>
    <t xml:space="preserve">Exact actor row overrides ALL</t>
  </si>
  <si>
    <t xml:space="preserve">08 — Reference Stage-Through Priors</t>
  </si>
  <si>
    <t xml:space="preserve">Reference stage-through probabilities after the pack’s reference control profile.</t>
  </si>
  <si>
    <t xml:space="preserve">How used in the model: Used as the prior; assessed control maturity on IT 05 adjusts through-probabilities relative to this reference, not relative to zero controls.</t>
  </si>
  <si>
    <t xml:space="preserve">Route</t>
  </si>
  <si>
    <t xml:space="preserve">09 — Scenario Impact Parameters</t>
  </si>
  <si>
    <t xml:space="preserve">P50/P99 scenario quantities (shares, days, direct amounts) with evidence grades.</t>
  </si>
  <si>
    <t xml:space="preserve">How used in the model: Scaled by organisation size from IT 03 to produce event-loss distributions. Blank assessment overrides on IT 06 keep these pack values.</t>
  </si>
  <si>
    <t xml:space="preserve">Scenario</t>
  </si>
  <si>
    <t xml:space="preserve">IR_DAYS_P50</t>
  </si>
  <si>
    <t xml:space="preserve">IR_DAYS_P99</t>
  </si>
  <si>
    <t xml:space="preserve">CYBER_DAYS_P50</t>
  </si>
  <si>
    <t xml:space="preserve">CYBER_DAYS_P99</t>
  </si>
  <si>
    <t xml:space="preserve">LEGAL_DAYS_P50</t>
  </si>
  <si>
    <t xml:space="preserve">LEGAL_DAYS_P99</t>
  </si>
  <si>
    <t xml:space="preserve">RESTORE_DAYS_P50</t>
  </si>
  <si>
    <t xml:space="preserve">RESTORE_DAYS_P99</t>
  </si>
  <si>
    <t xml:space="preserve">DOWNTIME_DAYS_P50</t>
  </si>
  <si>
    <t xml:space="preserve">DOWNTIME_DAYS_P99</t>
  </si>
  <si>
    <t xml:space="preserve">AFFECTED_SERVICE_SHARE_P50</t>
  </si>
  <si>
    <t xml:space="preserve">AFFECTED_SERVICE_SHARE_P99</t>
  </si>
  <si>
    <t xml:space="preserve">AFFECTED_RECORD_SHARE_P50</t>
  </si>
  <si>
    <t xml:space="preserve">AFFECTED_RECORD_SHARE_P99</t>
  </si>
  <si>
    <t xml:space="preserve">AFFECTED_ENDPOINT_SHARE_P50</t>
  </si>
  <si>
    <t xml:space="preserve">AFFECTED_ENDPOINT_SHARE_P99</t>
  </si>
  <si>
    <t xml:space="preserve">AFFECTED_SERVER_SHARE_P50</t>
  </si>
  <si>
    <t xml:space="preserve">AFFECTED_SERVER_SHARE_P99</t>
  </si>
  <si>
    <t xml:space="preserve">REGULATORY_REVENUE_SHARE_P50</t>
  </si>
  <si>
    <t xml:space="preserve">REGULATORY_REVENUE_SHARE_P99</t>
  </si>
  <si>
    <t xml:space="preserve">PAYMENT_FLOW_DAYS_P50</t>
  </si>
  <si>
    <t xml:space="preserve">PAYMENT_FLOW_DAYS_P99</t>
  </si>
  <si>
    <t xml:space="preserve">DIVERTED_SHARE_P50</t>
  </si>
  <si>
    <t xml:space="preserve">DIVERTED_SHARE_P99</t>
  </si>
  <si>
    <t xml:space="preserve">FRAUD_RECOVERY_RATE_P50</t>
  </si>
  <si>
    <t xml:space="preserve">FRAUD_RECOVERY_RATE_P99</t>
  </si>
  <si>
    <t xml:space="preserve">MONITORING_TAKEUP_P50</t>
  </si>
  <si>
    <t xml:space="preserve">MONITORING_TAKEUP_P99</t>
  </si>
  <si>
    <t xml:space="preserve">EXTORTION_DIRECT_P50</t>
  </si>
  <si>
    <t xml:space="preserve">EXTORTION_DIRECT_P99</t>
  </si>
  <si>
    <t xml:space="preserve">POST_EVENT_REVENUE_SHARE_P50</t>
  </si>
  <si>
    <t xml:space="preserve">POST_EVENT_REVENUE_SHARE_P99</t>
  </si>
  <si>
    <t xml:space="preserve">CHURN_REVENUE_SHARE_P50</t>
  </si>
  <si>
    <t xml:space="preserve">CHURN_REVENUE_SHARE_P99</t>
  </si>
  <si>
    <t xml:space="preserve">Critical business-service disruption</t>
  </si>
  <si>
    <t xml:space="preserve">Sensitive-data compromise</t>
  </si>
  <si>
    <t xml:space="preserve">Data or transaction-integrity compromise</t>
  </si>
  <si>
    <t xml:space="preserve">Cyber-enabled theft or fraud</t>
  </si>
  <si>
    <t xml:space="preserve">10 — Impact Driver Rates</t>
  </si>
  <si>
    <t xml:space="preserve">Unit-cost and rate assumptions (notification, forensics, restoration, and so on) at P50/P99.</t>
  </si>
  <si>
    <t xml:space="preserve">How used in the model: Applied to the applicable loss blocks for each actor/scenario. Organisation overrides on IT 06 replace individual rates when populated.</t>
  </si>
  <si>
    <t xml:space="preserve">Rate ID</t>
  </si>
  <si>
    <t xml:space="preserve">Driver</t>
  </si>
  <si>
    <t xml:space="preserve">P50</t>
  </si>
  <si>
    <t xml:space="preserve">P99</t>
  </si>
  <si>
    <t xml:space="preserve">Unit</t>
  </si>
  <si>
    <t xml:space="preserve">Source / status</t>
  </si>
  <si>
    <t xml:space="preserve">NOTIFICATION_PER_RECORD</t>
  </si>
  <si>
    <t xml:space="preserve">Notification cost per affected record</t>
  </si>
  <si>
    <t xml:space="preserve">USD/record</t>
  </si>
  <si>
    <t xml:space="preserve">SRC-07</t>
  </si>
  <si>
    <t xml:space="preserve">CREDIT_MONITORING_PER_RECORD</t>
  </si>
  <si>
    <t xml:space="preserve">Credit monitoring per participating record</t>
  </si>
  <si>
    <t xml:space="preserve">FORENSIC_DAILY</t>
  </si>
  <si>
    <t xml:space="preserve">Daily forensic investigation team</t>
  </si>
  <si>
    <t xml:space="preserve">USD/day</t>
  </si>
  <si>
    <t xml:space="preserve">EXTERNAL_CYBER_DAILY</t>
  </si>
  <si>
    <t xml:space="preserve">Daily external cyber response team</t>
  </si>
  <si>
    <t xml:space="preserve">RESTORATION_DAILY</t>
  </si>
  <si>
    <t xml:space="preserve">Daily data restoration team</t>
  </si>
  <si>
    <t xml:space="preserve">LEGAL_DAILY</t>
  </si>
  <si>
    <t xml:space="preserve">Daily external legal team</t>
  </si>
  <si>
    <t xml:space="preserve">ENDPOINT_REPAIR</t>
  </si>
  <si>
    <t xml:space="preserve">Endpoint repair/replacement unit cost</t>
  </si>
  <si>
    <t xml:space="preserve">USD/endpoint</t>
  </si>
  <si>
    <t xml:space="preserve">SERVER_REPAIR</t>
  </si>
  <si>
    <t xml:space="preserve">Server repair/replacement unit cost</t>
  </si>
  <si>
    <t xml:space="preserve">USD/server</t>
  </si>
  <si>
    <t xml:space="preserve">11 — Actor and Scenario Impact Applicability</t>
  </si>
  <si>
    <t xml:space="preserve">Which loss blocks and drivers apply to each actor and scenario.</t>
  </si>
  <si>
    <t xml:space="preserve">How used in the model: Turns organisation scale and pack rates into the three IT loss blocks (duration, exposure, direct). Zeros here mean that driver is not modelled for that pair.</t>
  </si>
  <si>
    <t xml:space="preserve">Driver ID</t>
  </si>
  <si>
    <t xml:space="preserve">Loss block</t>
  </si>
  <si>
    <t xml:space="preserve">IR_FORENSICS</t>
  </si>
  <si>
    <t xml:space="preserve">Forensic investigation</t>
  </si>
  <si>
    <t xml:space="preserve">Duration</t>
  </si>
  <si>
    <t xml:space="preserve">Response cost scales with investigation days.</t>
  </si>
  <si>
    <t xml:space="preserve">EXTERNAL_RESPONSE</t>
  </si>
  <si>
    <t xml:space="preserve">External cyber response</t>
  </si>
  <si>
    <t xml:space="preserve">Response support is applicable across material events.</t>
  </si>
  <si>
    <t xml:space="preserve">LEGAL_RESPONSE</t>
  </si>
  <si>
    <t xml:space="preserve">External legal response</t>
  </si>
  <si>
    <t xml:space="preserve">Legal support is applicable across material events.</t>
  </si>
  <si>
    <t xml:space="preserve">RESTORATION</t>
  </si>
  <si>
    <t xml:space="preserve">Restoration team</t>
  </si>
  <si>
    <t xml:space="preserve">Restoration cost scales with restoration days.</t>
  </si>
  <si>
    <t xml:space="preserve">BUSINESS_INTERRUPTION</t>
  </si>
  <si>
    <t xml:space="preserve">Business interruption</t>
  </si>
  <si>
    <t xml:space="preserve">Not a primary theft/fraud loss driver.</t>
  </si>
  <si>
    <t xml:space="preserve">ENDPOINT_RECOVERY</t>
  </si>
  <si>
    <t xml:space="preserve">Endpoint recovery</t>
  </si>
  <si>
    <t xml:space="preserve">SERVER_RECOVERY</t>
  </si>
  <si>
    <t xml:space="preserve">Server recovery</t>
  </si>
  <si>
    <t xml:space="preserve">NOTIFICATION</t>
  </si>
  <si>
    <t xml:space="preserve">Notification</t>
  </si>
  <si>
    <t xml:space="preserve">Exposure</t>
  </si>
  <si>
    <t xml:space="preserve">Hacktivist campaigns excluded absent evidence of personal-data notification.</t>
  </si>
  <si>
    <t xml:space="preserve">CREDIT_MONITORING</t>
  </si>
  <si>
    <t xml:space="preserve">Credit monitoring</t>
  </si>
  <si>
    <t xml:space="preserve">Monitoring take-up is distinct from notification population.</t>
  </si>
  <si>
    <t xml:space="preserve">REGULATORY</t>
  </si>
  <si>
    <t xml:space="preserve">Regulatory consequence</t>
  </si>
  <si>
    <t xml:space="preserve">Applies to data, integrity and fraud events.</t>
  </si>
  <si>
    <t xml:space="preserve">CUSTOMER_ATTRITION</t>
  </si>
  <si>
    <t xml:space="preserve">Customer attrition</t>
  </si>
  <si>
    <t xml:space="preserve">Post-event customer response can arise across material events.</t>
  </si>
  <si>
    <t xml:space="preserve">FRAUD_NET_RECOVERY</t>
  </si>
  <si>
    <t xml:space="preserve">Funds at risk net of recovery</t>
  </si>
  <si>
    <t xml:space="preserve">Direct</t>
  </si>
  <si>
    <t xml:space="preserve">Limited to financially motivated or insider integrity/fraud events.</t>
  </si>
  <si>
    <t xml:space="preserve">EXTORTION</t>
  </si>
  <si>
    <t xml:space="preserve">Extortion payment</t>
  </si>
  <si>
    <t xml:space="preserve">Limited to cybercriminal disruption/data compromise routes.</t>
  </si>
  <si>
    <t xml:space="preserve">POST_EVENT_UPLIFT</t>
  </si>
  <si>
    <t xml:space="preserve">Post-event security uplift</t>
  </si>
  <si>
    <t xml:space="preserve">Direct post-event remediation expenditure.</t>
  </si>
  <si>
    <t xml:space="preserve">12 — Enterprise ATT&amp;CK Catalogue</t>
  </si>
  <si>
    <t xml:space="preserve">Enterprise ATT&amp;CK techniques in scope for this pack, with actor and scenario applicability.</t>
  </si>
  <si>
    <t xml:space="preserve">How used in the model: Techniques that are not applicable are excluded from the route path. Weights and barriers still come from sheets 13 and 15.</t>
  </si>
  <si>
    <t xml:space="preserve">TTP ID</t>
  </si>
  <si>
    <t xml:space="preserve">Technique</t>
  </si>
  <si>
    <t xml:space="preserve">Stage</t>
  </si>
  <si>
    <t xml:space="preserve">Platforms</t>
  </si>
  <si>
    <t xml:space="preserve">MITRE URL</t>
  </si>
  <si>
    <t xml:space="preserve">T1566</t>
  </si>
  <si>
    <t xml:space="preserve">Phishing</t>
  </si>
  <si>
    <t xml:space="preserve">Windows; SaaS; Office Suite</t>
  </si>
  <si>
    <t xml:space="preserve">https://attack.mitre.org/techniques/T1566/</t>
  </si>
  <si>
    <t xml:space="preserve">T1078</t>
  </si>
  <si>
    <t xml:space="preserve">Valid Accounts</t>
  </si>
  <si>
    <t xml:space="preserve">Identity Provider; SaaS; IaaS; Windows</t>
  </si>
  <si>
    <t xml:space="preserve">https://attack.mitre.org/techniques/T1078/</t>
  </si>
  <si>
    <t xml:space="preserve">T1110</t>
  </si>
  <si>
    <t xml:space="preserve">Brute Force</t>
  </si>
  <si>
    <t xml:space="preserve">Identity Provider; SaaS; Windows</t>
  </si>
  <si>
    <t xml:space="preserve">https://attack.mitre.org/techniques/T1110/</t>
  </si>
  <si>
    <t xml:space="preserve">T1190</t>
  </si>
  <si>
    <t xml:space="preserve">Exploit Public-Facing Application</t>
  </si>
  <si>
    <t xml:space="preserve">Network Devices; SaaS; IaaS</t>
  </si>
  <si>
    <t xml:space="preserve">https://attack.mitre.org/techniques/T1190/</t>
  </si>
  <si>
    <t xml:space="preserve">T1498</t>
  </si>
  <si>
    <t xml:space="preserve">Network Denial of Service</t>
  </si>
  <si>
    <t xml:space="preserve">Network Devices</t>
  </si>
  <si>
    <t xml:space="preserve">https://attack.mitre.org/techniques/T1498/</t>
  </si>
  <si>
    <t xml:space="preserve">T1203</t>
  </si>
  <si>
    <t xml:space="preserve">Exploitation for Client Execution</t>
  </si>
  <si>
    <t xml:space="preserve">Windows; macOS; Linux</t>
  </si>
  <si>
    <t xml:space="preserve">https://attack.mitre.org/techniques/T1203/</t>
  </si>
  <si>
    <t xml:space="preserve">T1059</t>
  </si>
  <si>
    <t xml:space="preserve">Command and Scripting Interpreter</t>
  </si>
  <si>
    <t xml:space="preserve">Windows; macOS; Linux; IaaS</t>
  </si>
  <si>
    <t xml:space="preserve">https://attack.mitre.org/techniques/T1059/</t>
  </si>
  <si>
    <t xml:space="preserve">T1554</t>
  </si>
  <si>
    <t xml:space="preserve">Compromise Client Software Binary</t>
  </si>
  <si>
    <t xml:space="preserve">https://attack.mitre.org/techniques/T1554/</t>
  </si>
  <si>
    <t xml:space="preserve">T1068</t>
  </si>
  <si>
    <t xml:space="preserve">Exploitation for Privilege Escalation</t>
  </si>
  <si>
    <t xml:space="preserve">https://attack.mitre.org/techniques/T1068/</t>
  </si>
  <si>
    <t xml:space="preserve">T1003</t>
  </si>
  <si>
    <t xml:space="preserve">OS Credential Dumping</t>
  </si>
  <si>
    <t xml:space="preserve">Windows; Linux; macOS</t>
  </si>
  <si>
    <t xml:space="preserve">https://attack.mitre.org/techniques/T1003/</t>
  </si>
  <si>
    <t xml:space="preserve">T1098</t>
  </si>
  <si>
    <t xml:space="preserve">Account Manipulation</t>
  </si>
  <si>
    <t xml:space="preserve">https://attack.mitre.org/techniques/T1098/</t>
  </si>
  <si>
    <t xml:space="preserve">T1199</t>
  </si>
  <si>
    <t xml:space="preserve">Trusted Relationship</t>
  </si>
  <si>
    <t xml:space="preserve">SaaS; IaaS; Network Devices</t>
  </si>
  <si>
    <t xml:space="preserve">https://attack.mitre.org/techniques/T1199/</t>
  </si>
  <si>
    <t xml:space="preserve">T1087</t>
  </si>
  <si>
    <t xml:space="preserve">Account Discovery</t>
  </si>
  <si>
    <t xml:space="preserve">https://attack.mitre.org/techniques/T1087/</t>
  </si>
  <si>
    <t xml:space="preserve">T1046</t>
  </si>
  <si>
    <t xml:space="preserve">Network Service Discovery</t>
  </si>
  <si>
    <t xml:space="preserve">Network Devices; Windows; Linux</t>
  </si>
  <si>
    <t xml:space="preserve">https://attack.mitre.org/techniques/T1046/</t>
  </si>
  <si>
    <t xml:space="preserve">T1021</t>
  </si>
  <si>
    <t xml:space="preserve">Remote Services</t>
  </si>
  <si>
    <t xml:space="preserve">Windows; Linux; Network Devices</t>
  </si>
  <si>
    <t xml:space="preserve">https://attack.mitre.org/techniques/T1021/</t>
  </si>
  <si>
    <t xml:space="preserve">T1210</t>
  </si>
  <si>
    <t xml:space="preserve">Exploitation of Remote Services</t>
  </si>
  <si>
    <t xml:space="preserve">https://attack.mitre.org/techniques/T1210/</t>
  </si>
  <si>
    <t xml:space="preserve">T1213</t>
  </si>
  <si>
    <t xml:space="preserve">Data from Information Repositories</t>
  </si>
  <si>
    <t xml:space="preserve">SaaS; Office Suite; Windows</t>
  </si>
  <si>
    <t xml:space="preserve">https://attack.mitre.org/techniques/T1213/</t>
  </si>
  <si>
    <t xml:space="preserve">T1567</t>
  </si>
  <si>
    <t xml:space="preserve">Exfiltration Over Web Service</t>
  </si>
  <si>
    <t xml:space="preserve">SaaS; Office Suite</t>
  </si>
  <si>
    <t xml:space="preserve">https://attack.mitre.org/techniques/T1567/</t>
  </si>
  <si>
    <t xml:space="preserve">T1486</t>
  </si>
  <si>
    <t xml:space="preserve">Data Encrypted for Impact</t>
  </si>
  <si>
    <t xml:space="preserve">Windows; Linux; IaaS</t>
  </si>
  <si>
    <t xml:space="preserve">https://attack.mitre.org/techniques/T1486/</t>
  </si>
  <si>
    <t xml:space="preserve">T1490</t>
  </si>
  <si>
    <t xml:space="preserve">Inhibit System Recovery</t>
  </si>
  <si>
    <t xml:space="preserve">https://attack.mitre.org/techniques/T1490/</t>
  </si>
  <si>
    <t xml:space="preserve">T1499</t>
  </si>
  <si>
    <t xml:space="preserve">Endpoint Denial of Service</t>
  </si>
  <si>
    <t xml:space="preserve">https://attack.mitre.org/techniques/T1499/</t>
  </si>
  <si>
    <t xml:space="preserve">T1565</t>
  </si>
  <si>
    <t xml:space="preserve">Data Manipulation</t>
  </si>
  <si>
    <t xml:space="preserve">SaaS; Databases; Windows</t>
  </si>
  <si>
    <t xml:space="preserve">https://attack.mitre.org/techniques/T1565/</t>
  </si>
  <si>
    <t xml:space="preserve">T1657</t>
  </si>
  <si>
    <t xml:space="preserve">Financial Theft</t>
  </si>
  <si>
    <t xml:space="preserve">SaaS; Office Suite; Identity Provider</t>
  </si>
  <si>
    <t xml:space="preserve">https://attack.mitre.org/techniques/T1657/</t>
  </si>
  <si>
    <t xml:space="preserve">13 — Route-to-TTP Mapping</t>
  </si>
  <si>
    <t xml:space="preserve">Which catalogue techniques belong to each composite route, with relevance weights.</t>
  </si>
  <si>
    <t xml:space="preserve">How used in the model: Builds the TTP set for each route. Combined with control efficacy (sheet 15) to compute stage barriers.</t>
  </si>
  <si>
    <t xml:space="preserve">Relevance weight</t>
  </si>
  <si>
    <t xml:space="preserve">Technique contributes to the route and relevant composite stage.</t>
  </si>
  <si>
    <t xml:space="preserve">14 — Reference Control Profile</t>
  </si>
  <si>
    <t xml:space="preserve">Reference maturity and coverage for each control in the FS control set.</t>
  </si>
  <si>
    <t xml:space="preserve">How used in the model: The assessed organisation on IT 05 is measured relative to this profile so the model does not treat ‘no assessment’ as ‘no control’.</t>
  </si>
  <si>
    <t xml:space="preserve">Control ID</t>
  </si>
  <si>
    <t xml:space="preserve">Control family</t>
  </si>
  <si>
    <t xml:space="preserve">NIST CSF 2.0</t>
  </si>
  <si>
    <t xml:space="preserve">MITRE mitigations</t>
  </si>
  <si>
    <t xml:space="preserve">Reference maturity</t>
  </si>
  <si>
    <t xml:space="preserve">Reference coverage</t>
  </si>
  <si>
    <t xml:space="preserve">Status</t>
  </si>
  <si>
    <t xml:space="preserve">C01</t>
  </si>
  <si>
    <t xml:space="preserve">Asset and vulnerability management</t>
  </si>
  <si>
    <t xml:space="preserve">ID.AM; ID.RA</t>
  </si>
  <si>
    <t xml:space="preserve">M1016; M1051</t>
  </si>
  <si>
    <t xml:space="preserve">Developing</t>
  </si>
  <si>
    <t xml:space="preserve">Inventory, vulnerability identification, prioritisation and remediation.</t>
  </si>
  <si>
    <t xml:space="preserve">Working prior</t>
  </si>
  <si>
    <t xml:space="preserve">C02</t>
  </si>
  <si>
    <t xml:space="preserve">Identity, authentication and MFA</t>
  </si>
  <si>
    <t xml:space="preserve">PR.AA</t>
  </si>
  <si>
    <t xml:space="preserve">M1032; M1036</t>
  </si>
  <si>
    <t xml:space="preserve">Strong authentication, conditional access and account-use policies.</t>
  </si>
  <si>
    <t xml:space="preserve">C03</t>
  </si>
  <si>
    <t xml:space="preserve">Privileged access management</t>
  </si>
  <si>
    <t xml:space="preserve">M1026; M1018</t>
  </si>
  <si>
    <t xml:space="preserve">Privileged identity lifecycle, vaulting and just-in-time access.</t>
  </si>
  <si>
    <t xml:space="preserve">C04</t>
  </si>
  <si>
    <t xml:space="preserve">Email, web security and awareness</t>
  </si>
  <si>
    <t xml:space="preserve">PR.AT; PR.DS</t>
  </si>
  <si>
    <t xml:space="preserve">M1017; M1021</t>
  </si>
  <si>
    <t xml:space="preserve">Phishing resistance, content filtering and workforce awareness.</t>
  </si>
  <si>
    <t xml:space="preserve">C05</t>
  </si>
  <si>
    <t xml:space="preserve">Endpoint protection and execution control</t>
  </si>
  <si>
    <t xml:space="preserve">PR.PS; DE.CM</t>
  </si>
  <si>
    <t xml:space="preserve">M1040; M1049</t>
  </si>
  <si>
    <t xml:space="preserve">EDR, anti-malware, application control and behaviour prevention.</t>
  </si>
  <si>
    <t xml:space="preserve">C06</t>
  </si>
  <si>
    <t xml:space="preserve">Secure configuration and patching</t>
  </si>
  <si>
    <t xml:space="preserve">PR.PS</t>
  </si>
  <si>
    <t xml:space="preserve">M1042; M1051</t>
  </si>
  <si>
    <t xml:space="preserve">Secure configuration, patching and hardening of technology platforms.</t>
  </si>
  <si>
    <t xml:space="preserve">C07</t>
  </si>
  <si>
    <t xml:space="preserve">Network security and segmentation</t>
  </si>
  <si>
    <t xml:space="preserve">PR.IR; PR.PS</t>
  </si>
  <si>
    <t xml:space="preserve">M1030; M1037</t>
  </si>
  <si>
    <t xml:space="preserve">Traffic restriction, segmentation and prevention of unauthorised movement.</t>
  </si>
  <si>
    <t xml:space="preserve">C08</t>
  </si>
  <si>
    <t xml:space="preserve">Cloud and SaaS security</t>
  </si>
  <si>
    <t xml:space="preserve">PR.AA; PR.PS; DE.CM</t>
  </si>
  <si>
    <t xml:space="preserve">M1047; M1032</t>
  </si>
  <si>
    <t xml:space="preserve">Cloud posture, SaaS configuration, logging and identity guardrails.</t>
  </si>
  <si>
    <t xml:space="preserve">C09</t>
  </si>
  <si>
    <t xml:space="preserve">Application and API security</t>
  </si>
  <si>
    <t xml:space="preserve">ID.RA; PR.PS</t>
  </si>
  <si>
    <t xml:space="preserve">M1050; M1051</t>
  </si>
  <si>
    <t xml:space="preserve">Secure development, testing, WAF/API protection and remediation.</t>
  </si>
  <si>
    <t xml:space="preserve">C10</t>
  </si>
  <si>
    <t xml:space="preserve">Logging, detection and threat response</t>
  </si>
  <si>
    <t xml:space="preserve">DE.CM; DE.AE; RS.AN</t>
  </si>
  <si>
    <t xml:space="preserve">M1047</t>
  </si>
  <si>
    <t xml:space="preserve">Detection engineering, telemetry, triage and response containment.</t>
  </si>
  <si>
    <t xml:space="preserve">C11</t>
  </si>
  <si>
    <t xml:space="preserve">Data protection and DLP</t>
  </si>
  <si>
    <t xml:space="preserve">PR.DS</t>
  </si>
  <si>
    <t xml:space="preserve">M1041; M1057</t>
  </si>
  <si>
    <t xml:space="preserve">Encryption, access restriction, data discovery and exfiltration controls.</t>
  </si>
  <si>
    <t xml:space="preserve">C12</t>
  </si>
  <si>
    <t xml:space="preserve">Third-party and supply-chain security</t>
  </si>
  <si>
    <t xml:space="preserve">GV.SC; ID.RA</t>
  </si>
  <si>
    <t xml:space="preserve">M1045; M1051</t>
  </si>
  <si>
    <t xml:space="preserve">Supplier assurance, delegated-access control and software integrity.</t>
  </si>
  <si>
    <t xml:space="preserve">C13</t>
  </si>
  <si>
    <t xml:space="preserve">DDoS protection and service resilience</t>
  </si>
  <si>
    <t xml:space="preserve">PR.IR</t>
  </si>
  <si>
    <t xml:space="preserve">M1037</t>
  </si>
  <si>
    <t xml:space="preserve">Traffic scrubbing, rate limiting, redundancy and capacity protection.</t>
  </si>
  <si>
    <t xml:space="preserve">C14</t>
  </si>
  <si>
    <t xml:space="preserve">Backup, recovery and crisis management</t>
  </si>
  <si>
    <t xml:space="preserve">RC.RP; RS.MA</t>
  </si>
  <si>
    <t xml:space="preserve">M1053</t>
  </si>
  <si>
    <t xml:space="preserve">Resilient backups, recovery testing, crisis response and restoration.</t>
  </si>
  <si>
    <t xml:space="preserve">C15</t>
  </si>
  <si>
    <t xml:space="preserve">Payment and fraud controls</t>
  </si>
  <si>
    <t xml:space="preserve">PR.AA; DE.AE; RS.MI</t>
  </si>
  <si>
    <t xml:space="preserve">M1018; M1047</t>
  </si>
  <si>
    <t xml:space="preserve">Transaction monitoring, dual control, beneficiary and payment safeguards.</t>
  </si>
  <si>
    <t xml:space="preserve">15 — Control-to-TTP Efficacy Map</t>
  </si>
  <si>
    <t xml:space="preserve">How each control affects each TTP (prevent, contain, or reduce a loss block) and base efficacy.</t>
  </si>
  <si>
    <t xml:space="preserve">How used in the model: Converts IT 05 maturity into TTP barriers and duration/exposure/consequence factors used in frequency and severity.</t>
  </si>
  <si>
    <t xml:space="preserve">Base efficacy</t>
  </si>
  <si>
    <t xml:space="preserve">Effect</t>
  </si>
  <si>
    <t xml:space="preserve">PREVENT_SUCCESS</t>
  </si>
  <si>
    <t xml:space="preserve">Channel-specific reference-relative control effect.</t>
  </si>
  <si>
    <t xml:space="preserve">REDUCE_DURATION</t>
  </si>
  <si>
    <t xml:space="preserve">Detection and response shorten attacker dwell time after command or script activity is observed.</t>
  </si>
  <si>
    <t xml:space="preserve">Detection and response shorten attacker dwell time after credential-access activity is observed.</t>
  </si>
  <si>
    <t xml:space="preserve">Detection and response shorten attacker dwell time after remote-service movement is observed.</t>
  </si>
  <si>
    <t xml:space="preserve">REDUCE_EXPOSURE</t>
  </si>
  <si>
    <t xml:space="preserve">REDUCE_CONSEQUENCE</t>
  </si>
  <si>
    <t xml:space="preserve">16 — Sources and Evidence</t>
  </si>
  <si>
    <t xml:space="preserve">Bibliography and limitations for pack assumptions.</t>
  </si>
  <si>
    <t xml:space="preserve">How used in the model: Traceability only. The engine does not read frequencies or losses from this sheet.</t>
  </si>
  <si>
    <t xml:space="preserve">Source</t>
  </si>
  <si>
    <t xml:space="preserve">URL / file</t>
  </si>
  <si>
    <t xml:space="preserve">How used</t>
  </si>
  <si>
    <t xml:space="preserve">Limitation</t>
  </si>
  <si>
    <t xml:space="preserve">MITRE Enterprise ATT&amp;CK</t>
  </si>
  <si>
    <t xml:space="preserve">https://attack.mitre.org/matrices/enterprise/</t>
  </si>
  <si>
    <t xml:space="preserve">Technique taxonomy and route behaviour</t>
  </si>
  <si>
    <t xml:space="preserve">ATT&amp;CK is not a frequency or probability dataset.</t>
  </si>
  <si>
    <t xml:space="preserve">SRC-02</t>
  </si>
  <si>
    <t xml:space="preserve">MITRE Enterprise mitigations</t>
  </si>
  <si>
    <t xml:space="preserve">https://attack.mitre.org/mitigations/enterprise/</t>
  </si>
  <si>
    <t xml:space="preserve">Mitigation identifiers and control rationale</t>
  </si>
  <si>
    <t xml:space="preserve">Mappings do not establish quantified efficacy.</t>
  </si>
  <si>
    <t xml:space="preserve">SRC-03</t>
  </si>
  <si>
    <t xml:space="preserve">https://nvlpubs.nist.gov/nistpubs/CSWP/NIST.CSWP.29.pdf</t>
  </si>
  <si>
    <t xml:space="preserve">Control-family governance structure</t>
  </si>
  <si>
    <t xml:space="preserve">Outcome framework, not a calibration dataset.</t>
  </si>
  <si>
    <t xml:space="preserve">SRC-04</t>
  </si>
  <si>
    <t xml:space="preserve">ENISA Threat Landscape: Finance Sector</t>
  </si>
  <si>
    <t xml:space="preserve">https://www.enisa.europa.eu/sites/default/files/2025-02/Finance%20TL%202024_Final.pdf</t>
  </si>
  <si>
    <t xml:space="preserve">FS threat, actor and outcome context</t>
  </si>
  <si>
    <t xml:space="preserve">Incident reporting scope is not an organisation-year denominator.</t>
  </si>
  <si>
    <t xml:space="preserve">SRC-05</t>
  </si>
  <si>
    <t xml:space="preserve">ENISA Threat Landscape 2025</t>
  </si>
  <si>
    <t xml:space="preserve">https://www.enisa.europa.eu/publications/enisa-threat-landscape-2025</t>
  </si>
  <si>
    <t xml:space="preserve">Hacktivism, DDoS and ransomware context</t>
  </si>
  <si>
    <t xml:space="preserve">European collection; should not be treated as global actor shares.</t>
  </si>
  <si>
    <t xml:space="preserve">SRC-06</t>
  </si>
  <si>
    <t xml:space="preserve">FS-ISAC Knowledge</t>
  </si>
  <si>
    <t xml:space="preserve">https://www.fsisac.com/knowledge</t>
  </si>
  <si>
    <t xml:space="preserve">Identity, fraud, DDoS, cloud and third-party context</t>
  </si>
  <si>
    <t xml:space="preserve">Public material does not provide a complete frequency calibration.</t>
  </si>
  <si>
    <t xml:space="preserve">Balbix Breach Impact Model</t>
  </si>
  <si>
    <t xml:space="preserve">Balbix Breach Impact Model.xlsx</t>
  </si>
  <si>
    <t xml:space="preserve">Driver architecture and identifiable unit-cost assumptions</t>
  </si>
  <si>
    <t xml:space="preserve">Rebuilt taxonomy and formulas; source workbook contains working assumptions.</t>
  </si>
  <si>
    <t xml:space="preserve">SRC-08</t>
  </si>
  <si>
    <t xml:space="preserve">CISA KEV</t>
  </si>
  <si>
    <t xml:space="preserve">https://www.cisa.gov/known-exploited-vulnerabilities-catalog</t>
  </si>
  <si>
    <t xml:space="preserve">Future exposure-adjustment evidence</t>
  </si>
  <si>
    <t xml:space="preserve">Not directly converted into annual organisation-level frequency.</t>
  </si>
  <si>
    <t xml:space="preserve">SRC-09</t>
  </si>
  <si>
    <t xml:space="preserve">FIRST EPSS</t>
  </si>
  <si>
    <t xml:space="preserve">https://www.first.org/epss/</t>
  </si>
  <si>
    <t xml:space="preserve">30-day population exploitation probability, not financial risk.</t>
  </si>
  <si>
    <t xml:space="preserve">Structured expert judgement</t>
  </si>
  <si>
    <t xml:space="preserve">Internal documented elicitation record</t>
  </si>
  <si>
    <t xml:space="preserve">Working priors where A–C evidence is unavailable</t>
  </si>
  <si>
    <t xml:space="preserve">Requires named experts, rationale, range and independent challenge.</t>
  </si>
  <si>
    <t xml:space="preserve">17 — Evidence Grade Register</t>
  </si>
  <si>
    <t xml:space="preserve">The evidence-grade scale (A–D) applied to material pack assumptions.</t>
  </si>
  <si>
    <t xml:space="preserve">How used in the model: Governance labels only. Grades do not rescale Python results.</t>
  </si>
  <si>
    <t xml:space="preserve">Grade</t>
  </si>
  <si>
    <t xml:space="preserve">Minimum record</t>
  </si>
  <si>
    <t xml:space="preserve">Use</t>
  </si>
  <si>
    <t xml:space="preserve">A</t>
  </si>
  <si>
    <t xml:space="preserve">Direct empirical evidence</t>
  </si>
  <si>
    <t xml:space="preserve">Internal incidents, claims, organisation-years, control tests or BIA evidence</t>
  </si>
  <si>
    <t xml:space="preserve">Preferred calibration</t>
  </si>
  <si>
    <t xml:space="preserve">B</t>
  </si>
  <si>
    <t xml:space="preserve">Relevant portfolio evidence</t>
  </si>
  <si>
    <t xml:space="preserve">Comparable anonymised FS incidents, claims or control-testing evidence</t>
  </si>
  <si>
    <t xml:space="preserve">Portfolio calibration</t>
  </si>
  <si>
    <t xml:space="preserve">External evidence</t>
  </si>
  <si>
    <t xml:space="preserve">Regulators, ENISA, DBIR, published incidents and case studies</t>
  </si>
  <si>
    <t xml:space="preserve">Context and bounded calibration</t>
  </si>
  <si>
    <t xml:space="preserve">Named experts, documented rationale, range/distribution and independent challenge</t>
  </si>
  <si>
    <t xml:space="preserve">Only where A–C are unavailable</t>
  </si>
  <si>
    <t xml:space="preserve">18 — Pack Validation</t>
  </si>
  <si>
    <t xml:space="preserve">Spreadsheet checks (IDs present, weights, row counts).</t>
  </si>
  <si>
    <t xml:space="preserve">How used in the model: Advisory in Excel. Python repeats identity, schema and structural checks and fails closed independently.</t>
  </si>
  <si>
    <t xml:space="preserve">Check</t>
  </si>
  <si>
    <t xml:space="preserve">Actual</t>
  </si>
  <si>
    <t xml:space="preserve">Expected</t>
  </si>
  <si>
    <t xml:space="preserve">Tolerance</t>
  </si>
  <si>
    <t xml:space="preserve">Actor weights total</t>
  </si>
  <si>
    <t xml:space="preserve">Actor-scenario rows total</t>
  </si>
  <si>
    <t xml:space="preserve">Actor-route rows total</t>
  </si>
  <si>
    <t xml:space="preserve">Scenario-route rows total</t>
  </si>
  <si>
    <t xml:space="preserve">Required metadata populated</t>
  </si>
</sst>
</file>

<file path=xl/styles.xml><?xml version="1.0" encoding="utf-8"?>
<styleSheet xmlns="http://schemas.openxmlformats.org/spreadsheetml/2006/main">
  <numFmts count="7">
    <numFmt numFmtId="164" formatCode="General"/>
    <numFmt numFmtId="165" formatCode="#,##0.00"/>
    <numFmt numFmtId="166" formatCode="0%"/>
    <numFmt numFmtId="167" formatCode="0.0%"/>
    <numFmt numFmtId="168" formatCode="\$#,##0.00"/>
    <numFmt numFmtId="169" formatCode="0.0\x"/>
    <numFmt numFmtId="170" formatCode="0.00%"/>
  </numFmts>
  <fonts count="16">
    <font>
      <sz val="10"/>
      <name val="Arial"/>
      <family val="2"/>
      <charset val="1"/>
    </font>
    <font>
      <sz val="10"/>
      <name val="Arial"/>
      <family val="0"/>
    </font>
    <font>
      <sz val="10"/>
      <name val="Arial"/>
      <family val="0"/>
    </font>
    <font>
      <sz val="10"/>
      <name val="Arial"/>
      <family val="0"/>
    </font>
    <font>
      <b val="true"/>
      <sz val="16"/>
      <color rgb="FFFFFFFF"/>
      <name val="Calibri"/>
      <family val="0"/>
      <charset val="1"/>
    </font>
    <font>
      <sz val="9"/>
      <color rgb="FF000000"/>
      <name val="Arial"/>
      <family val="0"/>
      <charset val="1"/>
    </font>
    <font>
      <b val="true"/>
      <sz val="11"/>
      <color rgb="FFFFFFFF"/>
      <name val="Calibri"/>
      <family val="0"/>
      <charset val="1"/>
    </font>
    <font>
      <b val="true"/>
      <sz val="11"/>
      <name val="Calibri"/>
      <family val="0"/>
      <charset val="1"/>
    </font>
    <font>
      <sz val="11"/>
      <name val="Calibri"/>
      <family val="0"/>
      <charset val="1"/>
    </font>
    <font>
      <sz val="11"/>
      <color rgb="FF111827"/>
      <name val="Calibri"/>
      <family val="0"/>
      <charset val="1"/>
    </font>
    <font>
      <b val="true"/>
      <sz val="9"/>
      <color rgb="FF000000"/>
      <name val="Arial"/>
      <family val="0"/>
      <charset val="1"/>
    </font>
    <font>
      <sz val="11"/>
      <color rgb="FF0000FF"/>
      <name val="Calibri"/>
      <family val="0"/>
      <charset val="1"/>
    </font>
    <font>
      <b val="true"/>
      <sz val="10.5"/>
      <color rgb="FF202938"/>
      <name val="Arial"/>
      <family val="2"/>
      <charset val="1"/>
    </font>
    <font>
      <sz val="10.5"/>
      <color rgb="FF202938"/>
      <name val="Arial"/>
      <family val="2"/>
      <charset val="1"/>
    </font>
    <font>
      <b val="true"/>
      <i val="true"/>
      <sz val="10"/>
      <color rgb="FF246BCE"/>
      <name val="Arial"/>
      <family val="2"/>
      <charset val="1"/>
    </font>
    <font>
      <u val="single"/>
      <sz val="10.5"/>
      <color rgb="FF0563C1"/>
      <name val="Arial"/>
      <family val="2"/>
      <charset val="1"/>
    </font>
  </fonts>
  <fills count="8">
    <fill>
      <patternFill patternType="none"/>
    </fill>
    <fill>
      <patternFill patternType="gray125"/>
    </fill>
    <fill>
      <patternFill patternType="solid">
        <fgColor rgb="FF7C3AED"/>
        <bgColor rgb="FF993366"/>
      </patternFill>
    </fill>
    <fill>
      <patternFill patternType="solid">
        <fgColor rgb="FFEAF3FF"/>
        <bgColor rgb="FFEEEEEE"/>
      </patternFill>
    </fill>
    <fill>
      <patternFill patternType="solid">
        <fgColor rgb="FF06B6D4"/>
        <bgColor rgb="FF33CCCC"/>
      </patternFill>
    </fill>
    <fill>
      <patternFill patternType="solid">
        <fgColor rgb="FFE5E7EB"/>
        <bgColor rgb="FFEEEEEE"/>
      </patternFill>
    </fill>
    <fill>
      <patternFill patternType="solid">
        <fgColor rgb="FFFFF4CC"/>
        <bgColor rgb="FFEEEEEE"/>
      </patternFill>
    </fill>
    <fill>
      <patternFill patternType="solid">
        <fgColor rgb="FFEEEEEE"/>
        <bgColor rgb="FFEAF3FF"/>
      </patternFill>
    </fill>
  </fills>
  <borders count="18">
    <border diagonalUp="false" diagonalDown="false">
      <left/>
      <right/>
      <top/>
      <bottom/>
      <diagonal/>
    </border>
    <border diagonalUp="false" diagonalDown="false">
      <left/>
      <right style="thin">
        <color rgb="FFE5E7EB"/>
      </right>
      <top/>
      <bottom style="thin">
        <color rgb="FFE5E7EB"/>
      </bottom>
      <diagonal/>
    </border>
    <border diagonalUp="false" diagonalDown="false">
      <left style="thin">
        <color rgb="FFE5E7EB"/>
      </left>
      <right style="thin">
        <color rgb="FFE5E7EB"/>
      </right>
      <top/>
      <bottom style="thin">
        <color rgb="FFE5E7EB"/>
      </bottom>
      <diagonal/>
    </border>
    <border diagonalUp="false" diagonalDown="false">
      <left style="thin">
        <color rgb="FFE5E7EB"/>
      </left>
      <right/>
      <top/>
      <bottom style="thin">
        <color rgb="FFE5E7EB"/>
      </bottom>
      <diagonal/>
    </border>
    <border diagonalUp="false" diagonalDown="false">
      <left/>
      <right style="thin">
        <color rgb="FFE5E7EB"/>
      </right>
      <top style="thin">
        <color rgb="FFE5E7EB"/>
      </top>
      <bottom style="thin">
        <color rgb="FFE5E7EB"/>
      </bottom>
      <diagonal/>
    </border>
    <border diagonalUp="false" diagonalDown="false">
      <left style="thin">
        <color rgb="FFE5E7EB"/>
      </left>
      <right style="thin">
        <color rgb="FFE5E7EB"/>
      </right>
      <top style="thin">
        <color rgb="FFE5E7EB"/>
      </top>
      <bottom style="thin">
        <color rgb="FFE5E7EB"/>
      </bottom>
      <diagonal/>
    </border>
    <border diagonalUp="false" diagonalDown="false">
      <left style="thin">
        <color rgb="FFE5E7EB"/>
      </left>
      <right/>
      <top style="thin">
        <color rgb="FFE5E7EB"/>
      </top>
      <bottom style="thin">
        <color rgb="FFE5E7EB"/>
      </bottom>
      <diagonal/>
    </border>
    <border diagonalUp="false" diagonalDown="false">
      <left/>
      <right style="thin">
        <color rgb="FFE5E7EB"/>
      </right>
      <top style="thin">
        <color rgb="FFE5E7EB"/>
      </top>
      <bottom/>
      <diagonal/>
    </border>
    <border diagonalUp="false" diagonalDown="false">
      <left style="thin">
        <color rgb="FFE5E7EB"/>
      </left>
      <right style="thin">
        <color rgb="FFE5E7EB"/>
      </right>
      <top style="thin">
        <color rgb="FFE5E7EB"/>
      </top>
      <bottom/>
      <diagonal/>
    </border>
    <border diagonalUp="false" diagonalDown="false">
      <left style="thin">
        <color rgb="FFE5E7EB"/>
      </left>
      <right/>
      <top style="thin">
        <color rgb="FFE5E7EB"/>
      </top>
      <bottom/>
      <diagonal/>
    </border>
    <border diagonalUp="false" diagonalDown="false">
      <left/>
      <right/>
      <top style="thin">
        <color rgb="FFE5E7EB"/>
      </top>
      <bottom style="thin">
        <color rgb="FFE5E7EB"/>
      </bottom>
      <diagonal/>
    </border>
    <border diagonalUp="false" diagonalDown="false">
      <left style="thin"/>
      <right style="thin"/>
      <top style="thin"/>
      <bottom/>
      <diagonal/>
    </border>
    <border diagonalUp="false" diagonalDown="false">
      <left style="thin"/>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true" applyAlignment="true" applyProtection="true">
      <alignment horizontal="general" vertical="bottom" textRotation="0" wrapText="false" indent="0" shrinkToFit="false"/>
      <protection locked="true" hidden="false"/>
    </xf>
    <xf numFmtId="164" fontId="5" fillId="3" borderId="0" xfId="0" applyFont="true" applyBorder="true" applyAlignment="true" applyProtection="true">
      <alignment horizontal="general" vertical="center" textRotation="0" wrapText="true" indent="0" shrinkToFit="false"/>
      <protection locked="true" hidden="false"/>
    </xf>
    <xf numFmtId="164" fontId="6" fillId="4" borderId="0" xfId="0" applyFont="true" applyBorder="true" applyAlignment="true" applyProtection="true">
      <alignment horizontal="general" vertical="bottom" textRotation="0" wrapText="false" indent="0" shrinkToFit="false"/>
      <protection locked="true" hidden="false"/>
    </xf>
    <xf numFmtId="164" fontId="7" fillId="5"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top" textRotation="0" wrapText="true" indent="0" shrinkToFit="false"/>
      <protection locked="true" hidden="false"/>
    </xf>
    <xf numFmtId="164" fontId="9" fillId="0" borderId="2" xfId="0" applyFont="true" applyBorder="true" applyAlignment="true" applyProtection="true">
      <alignment horizontal="left" vertical="center" textRotation="0" wrapText="true" indent="0" shrinkToFit="false"/>
      <protection locked="true" hidden="false"/>
    </xf>
    <xf numFmtId="164" fontId="9" fillId="0" borderId="2" xfId="0" applyFont="true" applyBorder="true" applyAlignment="true" applyProtection="true">
      <alignment horizontal="general" vertical="top" textRotation="0" wrapText="true" indent="0" shrinkToFit="false"/>
      <protection locked="true" hidden="false"/>
    </xf>
    <xf numFmtId="164" fontId="9" fillId="0" borderId="3" xfId="0" applyFont="true" applyBorder="true" applyAlignment="true" applyProtection="true">
      <alignment horizontal="general" vertical="top" textRotation="0" wrapText="true" indent="0" shrinkToFit="false"/>
      <protection locked="true" hidden="false"/>
    </xf>
    <xf numFmtId="164" fontId="9" fillId="0" borderId="4" xfId="0" applyFont="true" applyBorder="true" applyAlignment="true" applyProtection="true">
      <alignment horizontal="general" vertical="top" textRotation="0" wrapText="true" indent="0" shrinkToFit="false"/>
      <protection locked="true" hidden="false"/>
    </xf>
    <xf numFmtId="164" fontId="9" fillId="0" borderId="5" xfId="0" applyFont="true" applyBorder="true" applyAlignment="true" applyProtection="true">
      <alignment horizontal="left" vertical="center" textRotation="0" wrapText="true" indent="0" shrinkToFit="false"/>
      <protection locked="true" hidden="false"/>
    </xf>
    <xf numFmtId="164" fontId="9" fillId="0" borderId="5" xfId="0" applyFont="true" applyBorder="true" applyAlignment="true" applyProtection="true">
      <alignment horizontal="general" vertical="top" textRotation="0" wrapText="true" indent="0" shrinkToFit="false"/>
      <protection locked="true" hidden="false"/>
    </xf>
    <xf numFmtId="164" fontId="9" fillId="0" borderId="6" xfId="0" applyFont="true" applyBorder="true" applyAlignment="true" applyProtection="true">
      <alignment horizontal="general" vertical="top" textRotation="0" wrapText="true" indent="0" shrinkToFit="false"/>
      <protection locked="true" hidden="false"/>
    </xf>
    <xf numFmtId="164" fontId="9" fillId="0" borderId="5" xfId="0" applyFont="true" applyBorder="true" applyAlignment="true" applyProtection="true">
      <alignment horizontal="left" vertical="top" textRotation="0" wrapText="true" indent="0" shrinkToFit="false"/>
      <protection locked="true" hidden="false"/>
    </xf>
    <xf numFmtId="164" fontId="9" fillId="0" borderId="7" xfId="0" applyFont="true" applyBorder="true" applyAlignment="true" applyProtection="true">
      <alignment horizontal="general" vertical="top" textRotation="0" wrapText="true" indent="0" shrinkToFit="false"/>
      <protection locked="true" hidden="false"/>
    </xf>
    <xf numFmtId="164" fontId="9" fillId="0" borderId="8" xfId="0" applyFont="true" applyBorder="true" applyAlignment="true" applyProtection="true">
      <alignment horizontal="general" vertical="top" textRotation="0" wrapText="true" indent="0" shrinkToFit="false"/>
      <protection locked="true" hidden="false"/>
    </xf>
    <xf numFmtId="164" fontId="9" fillId="0" borderId="9" xfId="0" applyFont="true" applyBorder="true" applyAlignment="true" applyProtection="true">
      <alignment horizontal="general" vertical="top" textRotation="0" wrapText="true" indent="0"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6" fillId="2" borderId="6" xfId="0" applyFont="true" applyBorder="true" applyAlignment="true" applyProtection="true">
      <alignment horizontal="general" vertical="center" textRotation="0" wrapText="true" indent="0" shrinkToFit="false"/>
      <protection locked="true" hidden="false"/>
    </xf>
    <xf numFmtId="164" fontId="6" fillId="2" borderId="10" xfId="0" applyFont="true" applyBorder="true" applyAlignment="true" applyProtection="true">
      <alignment horizontal="general" vertical="center" textRotation="0" wrapText="true" indent="0" shrinkToFit="false"/>
      <protection locked="true" hidden="false"/>
    </xf>
    <xf numFmtId="164" fontId="6" fillId="2" borderId="4" xfId="0" applyFont="true" applyBorder="true" applyAlignment="true" applyProtection="true">
      <alignment horizontal="general" vertical="center" textRotation="0" wrapText="true" indent="0" shrinkToFit="false"/>
      <protection locked="true" hidden="false"/>
    </xf>
    <xf numFmtId="164" fontId="11" fillId="6" borderId="2" xfId="0" applyFont="true" applyBorder="true" applyAlignment="true" applyProtection="true">
      <alignment horizontal="center" vertical="top" textRotation="0" wrapText="true" indent="0" shrinkToFit="false"/>
      <protection locked="true" hidden="false"/>
    </xf>
    <xf numFmtId="164" fontId="11" fillId="6" borderId="5" xfId="0" applyFont="true" applyBorder="true" applyAlignment="true" applyProtection="true">
      <alignment horizontal="center" vertical="top" textRotation="0" wrapText="true" indent="0" shrinkToFit="false"/>
      <protection locked="true" hidden="false"/>
    </xf>
    <xf numFmtId="165" fontId="11" fillId="6" borderId="5" xfId="0" applyFont="true" applyBorder="true" applyAlignment="true" applyProtection="true">
      <alignment horizontal="center" vertical="top" textRotation="0" wrapText="true" indent="0" shrinkToFit="false"/>
      <protection locked="true" hidden="false"/>
    </xf>
    <xf numFmtId="164" fontId="11" fillId="6" borderId="8" xfId="0" applyFont="true" applyBorder="true" applyAlignment="true" applyProtection="true">
      <alignment horizontal="center" vertical="top" textRotation="0" wrapText="true" indent="0" shrinkToFit="false"/>
      <protection locked="true" hidden="false"/>
    </xf>
    <xf numFmtId="166" fontId="8"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12" fillId="7" borderId="11" xfId="0" applyFont="true" applyBorder="true" applyAlignment="true" applyProtection="false">
      <alignment horizontal="general" vertical="bottom" textRotation="0" wrapText="true" indent="0" shrinkToFit="false"/>
      <protection locked="true" hidden="false"/>
    </xf>
    <xf numFmtId="164" fontId="13" fillId="7" borderId="12" xfId="0" applyFont="true" applyBorder="true" applyAlignment="true" applyProtection="false">
      <alignment horizontal="left" vertical="bottom" textRotation="0" wrapText="true" indent="0" shrinkToFit="false"/>
      <protection locked="true" hidden="false"/>
    </xf>
    <xf numFmtId="164" fontId="14" fillId="7" borderId="13" xfId="0" applyFont="true" applyBorder="true" applyAlignment="false" applyProtection="fals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true" indent="0" shrinkToFit="false"/>
      <protection locked="true" hidden="false"/>
    </xf>
    <xf numFmtId="164" fontId="0" fillId="7" borderId="0" xfId="0" applyFont="false" applyBorder="false" applyAlignment="true" applyProtection="false">
      <alignment horizontal="general" vertical="bottom" textRotation="0" wrapText="true" indent="0" shrinkToFit="false"/>
      <protection locked="true" hidden="false"/>
    </xf>
    <xf numFmtId="164" fontId="0" fillId="7" borderId="14" xfId="0" applyFont="false" applyBorder="true" applyAlignment="true" applyProtection="false">
      <alignment horizontal="general" vertical="bottom" textRotation="0" wrapText="true" indent="0" shrinkToFit="false"/>
      <protection locked="true" hidden="false"/>
    </xf>
    <xf numFmtId="164" fontId="15" fillId="7" borderId="13" xfId="0" applyFont="true" applyBorder="true" applyAlignment="false" applyProtection="false">
      <alignment horizontal="general"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0" fillId="7" borderId="14" xfId="0" applyFont="false" applyBorder="true" applyAlignment="false" applyProtection="false">
      <alignment horizontal="general" vertical="bottom" textRotation="0" wrapText="false" indent="0" shrinkToFit="false"/>
      <protection locked="true" hidden="false"/>
    </xf>
    <xf numFmtId="164" fontId="15" fillId="7" borderId="15" xfId="0" applyFont="true" applyBorder="true" applyAlignment="false" applyProtection="false">
      <alignment horizontal="general" vertical="bottom" textRotation="0" wrapText="false" indent="0" shrinkToFit="false"/>
      <protection locked="true" hidden="false"/>
    </xf>
    <xf numFmtId="164" fontId="0" fillId="7" borderId="16" xfId="0" applyFont="false" applyBorder="true" applyAlignment="true" applyProtection="true">
      <alignment horizontal="general" vertical="bottom" textRotation="0" wrapText="false" indent="0" shrinkToFit="false"/>
      <protection locked="true" hidden="false"/>
    </xf>
    <xf numFmtId="164" fontId="0" fillId="7" borderId="16" xfId="0" applyFont="false" applyBorder="true" applyAlignment="false" applyProtection="false">
      <alignment horizontal="general" vertical="bottom" textRotation="0" wrapText="false" indent="0" shrinkToFit="false"/>
      <protection locked="true" hidden="false"/>
    </xf>
    <xf numFmtId="164" fontId="0" fillId="7" borderId="17" xfId="0" applyFont="false" applyBorder="true" applyAlignment="false" applyProtection="false">
      <alignment horizontal="general" vertical="bottom" textRotation="0" wrapText="false" indent="0" shrinkToFit="false"/>
      <protection locked="true" hidden="false"/>
    </xf>
    <xf numFmtId="167" fontId="11" fillId="6" borderId="2" xfId="0" applyFont="true" applyBorder="true" applyAlignment="true" applyProtection="true">
      <alignment horizontal="general" vertical="top" textRotation="0" wrapText="true" indent="0" shrinkToFit="false"/>
      <protection locked="true" hidden="false"/>
    </xf>
    <xf numFmtId="167" fontId="11" fillId="6" borderId="5" xfId="0" applyFont="true" applyBorder="true" applyAlignment="true" applyProtection="true">
      <alignment horizontal="general" vertical="top" textRotation="0" wrapText="true" indent="0" shrinkToFit="false"/>
      <protection locked="true" hidden="false"/>
    </xf>
    <xf numFmtId="167" fontId="11" fillId="6" borderId="8" xfId="0" applyFont="true" applyBorder="true" applyAlignment="true" applyProtection="true">
      <alignment horizontal="general" vertical="top" textRotation="0" wrapText="tru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4" fontId="12" fillId="7" borderId="11" xfId="0" applyFont="true" applyBorder="true" applyAlignment="true" applyProtection="false">
      <alignment horizontal="left" vertical="bottom" textRotation="0" wrapText="true" indent="0" shrinkToFit="false"/>
      <protection locked="true" hidden="false"/>
    </xf>
    <xf numFmtId="164" fontId="6" fillId="2" borderId="6" xfId="0" applyFont="true" applyBorder="true" applyAlignment="true" applyProtection="true">
      <alignment horizontal="center" vertical="center" textRotation="0" wrapText="true" indent="0" shrinkToFit="false"/>
      <protection locked="true" hidden="false"/>
    </xf>
    <xf numFmtId="164" fontId="6" fillId="2" borderId="10" xfId="0" applyFont="true" applyBorder="true" applyAlignment="true" applyProtection="true">
      <alignment horizontal="center" vertical="center" textRotation="0" wrapText="true" indent="0" shrinkToFit="false"/>
      <protection locked="true" hidden="false"/>
    </xf>
    <xf numFmtId="164" fontId="6" fillId="2" borderId="4" xfId="0" applyFont="true" applyBorder="true" applyAlignment="true" applyProtection="true">
      <alignment horizontal="center" vertical="center" textRotation="0" wrapText="true" indent="0" shrinkToFit="false"/>
      <protection locked="true" hidden="false"/>
    </xf>
    <xf numFmtId="164" fontId="9" fillId="0" borderId="1" xfId="0" applyFont="true" applyBorder="true" applyAlignment="true" applyProtection="true">
      <alignment horizontal="center" vertical="top" textRotation="0" wrapText="true" indent="0" shrinkToFit="false"/>
      <protection locked="true" hidden="false"/>
    </xf>
    <xf numFmtId="167" fontId="11" fillId="6" borderId="2" xfId="0" applyFont="true" applyBorder="true" applyAlignment="true" applyProtection="true">
      <alignment horizontal="center" vertical="top" textRotation="0" wrapText="true" indent="0" shrinkToFit="false"/>
      <protection locked="true" hidden="false"/>
    </xf>
    <xf numFmtId="167" fontId="9" fillId="0" borderId="3" xfId="0" applyFont="true" applyBorder="true" applyAlignment="true" applyProtection="true">
      <alignment horizontal="center" vertical="top" textRotation="0" wrapText="true" indent="0" shrinkToFit="false"/>
      <protection locked="true" hidden="false"/>
    </xf>
    <xf numFmtId="164" fontId="9" fillId="0" borderId="4" xfId="0" applyFont="true" applyBorder="true" applyAlignment="true" applyProtection="true">
      <alignment horizontal="center" vertical="top" textRotation="0" wrapText="true" indent="0" shrinkToFit="false"/>
      <protection locked="true" hidden="false"/>
    </xf>
    <xf numFmtId="167" fontId="11" fillId="6" borderId="5" xfId="0" applyFont="true" applyBorder="true" applyAlignment="true" applyProtection="true">
      <alignment horizontal="center" vertical="top" textRotation="0" wrapText="true" indent="0" shrinkToFit="false"/>
      <protection locked="true" hidden="false"/>
    </xf>
    <xf numFmtId="167" fontId="9" fillId="0" borderId="6" xfId="0" applyFont="true" applyBorder="true" applyAlignment="true" applyProtection="true">
      <alignment horizontal="center" vertical="top" textRotation="0" wrapText="true" indent="0" shrinkToFit="false"/>
      <protection locked="true" hidden="false"/>
    </xf>
    <xf numFmtId="164" fontId="9" fillId="0" borderId="7" xfId="0" applyFont="true" applyBorder="true" applyAlignment="true" applyProtection="true">
      <alignment horizontal="center" vertical="top" textRotation="0" wrapText="true" indent="0" shrinkToFit="false"/>
      <protection locked="true" hidden="false"/>
    </xf>
    <xf numFmtId="167" fontId="11" fillId="6" borderId="8" xfId="0" applyFont="true" applyBorder="true" applyAlignment="true" applyProtection="true">
      <alignment horizontal="center" vertical="top" textRotation="0" wrapText="true" indent="0" shrinkToFit="false"/>
      <protection locked="true" hidden="false"/>
    </xf>
    <xf numFmtId="167" fontId="9" fillId="0" borderId="9" xfId="0" applyFont="true" applyBorder="true" applyAlignment="true" applyProtection="true">
      <alignment horizontal="center" vertical="top" textRotation="0" wrapText="true" indent="0" shrinkToFit="false"/>
      <protection locked="true" hidden="false"/>
    </xf>
    <xf numFmtId="164" fontId="10" fillId="0" borderId="0" xfId="0" applyFont="true" applyBorder="true" applyAlignment="true" applyProtection="true">
      <alignment horizontal="general" vertical="center" textRotation="0" wrapText="false" indent="0" shrinkToFit="false"/>
      <protection locked="true" hidden="false"/>
    </xf>
    <xf numFmtId="164" fontId="14" fillId="7" borderId="13" xfId="0" applyFont="true" applyBorder="true" applyAlignment="true" applyProtection="false">
      <alignment horizontal="general" vertical="bottom" textRotation="0" wrapText="fals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0" fillId="7" borderId="14" xfId="0" applyFont="false" applyBorder="true" applyAlignment="true" applyProtection="false">
      <alignment horizontal="general" vertical="bottom" textRotation="0" wrapText="false" indent="0" shrinkToFit="false"/>
      <protection locked="true" hidden="false"/>
    </xf>
    <xf numFmtId="167" fontId="9" fillId="0" borderId="3" xfId="0" applyFont="true" applyBorder="true" applyAlignment="true" applyProtection="true">
      <alignment horizontal="general" vertical="top" textRotation="0" wrapText="true" indent="0" shrinkToFit="false"/>
      <protection locked="true" hidden="false"/>
    </xf>
    <xf numFmtId="167" fontId="9" fillId="0" borderId="6" xfId="0" applyFont="true" applyBorder="true" applyAlignment="true" applyProtection="true">
      <alignment horizontal="general" vertical="top" textRotation="0" wrapText="true" indent="0" shrinkToFit="false"/>
      <protection locked="true" hidden="false"/>
    </xf>
    <xf numFmtId="167" fontId="9" fillId="0" borderId="9" xfId="0" applyFont="true" applyBorder="true" applyAlignment="true" applyProtection="true">
      <alignment horizontal="general" vertical="top" textRotation="0" wrapText="true" indent="0" shrinkToFit="false"/>
      <protection locked="true" hidden="false"/>
    </xf>
    <xf numFmtId="164" fontId="11" fillId="6" borderId="2" xfId="0" applyFont="true" applyBorder="true" applyAlignment="true" applyProtection="true">
      <alignment horizontal="general" vertical="top" textRotation="0" wrapText="true" indent="0" shrinkToFit="false"/>
      <protection locked="true" hidden="false"/>
    </xf>
    <xf numFmtId="164" fontId="11" fillId="6" borderId="5" xfId="0" applyFont="true" applyBorder="true" applyAlignment="true" applyProtection="true">
      <alignment horizontal="general" vertical="top" textRotation="0" wrapText="true" indent="0" shrinkToFit="false"/>
      <protection locked="true" hidden="false"/>
    </xf>
    <xf numFmtId="164" fontId="11" fillId="6" borderId="8" xfId="0" applyFont="true" applyBorder="true" applyAlignment="true" applyProtection="true">
      <alignment horizontal="general" vertical="top" textRotation="0" wrapText="true" indent="0" shrinkToFit="false"/>
      <protection locked="true" hidden="false"/>
    </xf>
    <xf numFmtId="167" fontId="11" fillId="6" borderId="3" xfId="0" applyFont="true" applyBorder="true" applyAlignment="true" applyProtection="true">
      <alignment horizontal="general" vertical="top" textRotation="0" wrapText="true" indent="0" shrinkToFit="false"/>
      <protection locked="true" hidden="false"/>
    </xf>
    <xf numFmtId="167" fontId="11" fillId="6" borderId="6" xfId="0" applyFont="true" applyBorder="true" applyAlignment="true" applyProtection="true">
      <alignment horizontal="general" vertical="top" textRotation="0" wrapText="true" indent="0" shrinkToFit="false"/>
      <protection locked="true" hidden="false"/>
    </xf>
    <xf numFmtId="167" fontId="11" fillId="6" borderId="9" xfId="0" applyFont="true" applyBorder="true" applyAlignment="true" applyProtection="true">
      <alignment horizontal="general" vertical="top" textRotation="0" wrapText="true" indent="0" shrinkToFit="false"/>
      <protection locked="true" hidden="false"/>
    </xf>
    <xf numFmtId="168" fontId="11" fillId="6" borderId="2" xfId="0" applyFont="true" applyBorder="true" applyAlignment="true" applyProtection="true">
      <alignment horizontal="general" vertical="top" textRotation="0" wrapText="true" indent="0" shrinkToFit="false"/>
      <protection locked="true" hidden="false"/>
    </xf>
    <xf numFmtId="168" fontId="11" fillId="6" borderId="5" xfId="0" applyFont="true" applyBorder="true" applyAlignment="true" applyProtection="true">
      <alignment horizontal="general" vertical="top" textRotation="0" wrapText="true" indent="0" shrinkToFit="false"/>
      <protection locked="true" hidden="false"/>
    </xf>
    <xf numFmtId="168" fontId="11" fillId="6" borderId="8" xfId="0" applyFont="true" applyBorder="true" applyAlignment="true" applyProtection="true">
      <alignment horizontal="general" vertical="top" textRotation="0" wrapText="true" indent="0" shrinkToFit="false"/>
      <protection locked="true" hidden="false"/>
    </xf>
    <xf numFmtId="164" fontId="11" fillId="6" borderId="3" xfId="0" applyFont="true" applyBorder="true" applyAlignment="true" applyProtection="true">
      <alignment horizontal="general" vertical="top" textRotation="0" wrapText="true" indent="0" shrinkToFit="false"/>
      <protection locked="true" hidden="false"/>
    </xf>
    <xf numFmtId="164" fontId="11" fillId="6" borderId="6" xfId="0" applyFont="true" applyBorder="true" applyAlignment="true" applyProtection="true">
      <alignment horizontal="general" vertical="top" textRotation="0" wrapText="true" indent="0" shrinkToFit="false"/>
      <protection locked="true" hidden="false"/>
    </xf>
    <xf numFmtId="164" fontId="11" fillId="6" borderId="9" xfId="0" applyFont="true" applyBorder="true" applyAlignment="true" applyProtection="true">
      <alignment horizontal="general" vertical="top" textRotation="0" wrapText="true" indent="0" shrinkToFit="false"/>
      <protection locked="true" hidden="false"/>
    </xf>
    <xf numFmtId="169" fontId="11" fillId="6" borderId="2" xfId="0" applyFont="true" applyBorder="true" applyAlignment="true" applyProtection="true">
      <alignment horizontal="center" vertical="top" textRotation="0" wrapText="true" indent="0" shrinkToFit="false"/>
      <protection locked="true" hidden="false"/>
    </xf>
    <xf numFmtId="169" fontId="11" fillId="6" borderId="5" xfId="0" applyFont="true" applyBorder="true" applyAlignment="true" applyProtection="true">
      <alignment horizontal="center" vertical="top" textRotation="0" wrapText="true" indent="0" shrinkToFit="false"/>
      <protection locked="true" hidden="false"/>
    </xf>
    <xf numFmtId="169" fontId="11" fillId="6" borderId="8" xfId="0" applyFont="true" applyBorder="true" applyAlignment="true" applyProtection="true">
      <alignment horizontal="center" vertical="top" textRotation="0" wrapText="true" indent="0" shrinkToFit="false"/>
      <protection locked="true" hidden="false"/>
    </xf>
    <xf numFmtId="167" fontId="9" fillId="0" borderId="2" xfId="0" applyFont="true" applyBorder="true" applyAlignment="true" applyProtection="true">
      <alignment horizontal="general" vertical="top" textRotation="0" wrapText="true" indent="0" shrinkToFit="false"/>
      <protection locked="true" hidden="false"/>
    </xf>
    <xf numFmtId="170" fontId="9" fillId="0" borderId="5" xfId="0" applyFont="true" applyBorder="true" applyAlignment="true" applyProtection="tru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4CC"/>
      <rgbColor rgb="FFEAF3FF"/>
      <rgbColor rgb="FF660066"/>
      <rgbColor rgb="FFFF8080"/>
      <rgbColor rgb="FF0563C1"/>
      <rgbColor rgb="FFCCCCFF"/>
      <rgbColor rgb="FF000080"/>
      <rgbColor rgb="FFFF00FF"/>
      <rgbColor rgb="FFFFFF00"/>
      <rgbColor rgb="FF00FFFF"/>
      <rgbColor rgb="FF800080"/>
      <rgbColor rgb="FF800000"/>
      <rgbColor rgb="FF008080"/>
      <rgbColor rgb="FF0000FF"/>
      <rgbColor rgb="FF06B6D4"/>
      <rgbColor rgb="FFEEEEEE"/>
      <rgbColor rgb="FFE5E7EB"/>
      <rgbColor rgb="FFFFFF99"/>
      <rgbColor rgb="FF99CCFF"/>
      <rgbColor rgb="FFFF99CC"/>
      <rgbColor rgb="FFCC99FF"/>
      <rgbColor rgb="FFFFCC99"/>
      <rgbColor rgb="FF246BCE"/>
      <rgbColor rgb="FF33CCCC"/>
      <rgbColor rgb="FF99CC00"/>
      <rgbColor rgb="FFFFCC00"/>
      <rgbColor rgb="FFFF9900"/>
      <rgbColor rgb="FFFF6600"/>
      <rgbColor rgb="FF7C3AED"/>
      <rgbColor rgb="FF969696"/>
      <rgbColor rgb="FF003366"/>
      <rgbColor rgb="FF339966"/>
      <rgbColor rgb="FF111827"/>
      <rgbColor rgb="FF333300"/>
      <rgbColor rgb="FF993300"/>
      <rgbColor rgb="FF993366"/>
      <rgbColor rgb="FF333399"/>
      <rgbColor rgb="FF2029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verizon.com/business/resources/executivebriefs/2026-dbir-executive-summary.pdf%22%20%5C" TargetMode="External"/><Relationship Id="rId2" Type="http://schemas.openxmlformats.org/officeDocument/2006/relationships/hyperlink" Target="https://services.google.com/fh/files/misc/m-trends-2026-executive-edition-en.pdf" TargetMode="External"/><Relationship Id="rId3" Type="http://schemas.openxmlformats.org/officeDocument/2006/relationships/hyperlink" Target="https://www.microsoft.com/en-us/corporate-responsibility/topics/cybersecurity/reports/microsoft-digital-defense-report-2025/"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cisa.gov/news-events/cybersecurity-advisories/aa25-343a" TargetMode="External"/><Relationship Id="rId2" Type="http://schemas.openxmlformats.org/officeDocument/2006/relationships/hyperlink" Target="https://www.sei.cmu.edu/library/insider-fraud-in-financial-services" TargetMode="External"/><Relationship Id="rId3" Type="http://schemas.openxmlformats.org/officeDocument/2006/relationships/hyperlink" Target="https://cloud.google.com/blog/topics/threat-intelligence/m-trends-2026/"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www.cisa.gov/news-events/cybersecurity-advisories/aa25-343a" TargetMode="External"/><Relationship Id="rId2" Type="http://schemas.openxmlformats.org/officeDocument/2006/relationships/hyperlink" Target="https://www.verizon.com/business/resources/reports/dbir/"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attack.mitre.org/matrices/enterprise/" TargetMode="External"/><Relationship Id="rId2" Type="http://schemas.openxmlformats.org/officeDocument/2006/relationships/hyperlink" Target="https://www.verizon.com/business/resources/reports/dbi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28" activeCellId="0" sqref="D28"/>
    </sheetView>
  </sheetViews>
  <sheetFormatPr defaultColWidth="8.58984375" defaultRowHeight="15" customHeight="false" zeroHeight="false" outlineLevelRow="0" outlineLevelCol="0"/>
  <cols>
    <col collapsed="false" customWidth="true" hidden="false" outlineLevel="0" max="1" min="1" style="1" width="7.78"/>
    <col collapsed="false" customWidth="true" hidden="false" outlineLevel="0" max="2" min="2" style="1" width="20"/>
    <col collapsed="false" customWidth="true" hidden="false" outlineLevel="0" max="12" min="3" style="1" width="12.22"/>
  </cols>
  <sheetData>
    <row r="1" customFormat="false" ht="27" hidden="false" customHeight="true" outlineLevel="0" collapsed="false">
      <c r="A1" s="2" t="s">
        <v>0</v>
      </c>
      <c r="B1" s="2"/>
      <c r="C1" s="2"/>
      <c r="D1" s="2"/>
      <c r="E1" s="2"/>
      <c r="F1" s="2"/>
      <c r="G1" s="2"/>
      <c r="H1" s="2"/>
      <c r="I1" s="2"/>
      <c r="J1" s="2"/>
      <c r="K1" s="2"/>
      <c r="L1" s="2"/>
    </row>
    <row r="2" customFormat="false" ht="36" hidden="false" customHeight="true" outlineLevel="0" collapsed="false">
      <c r="A2" s="3" t="s">
        <v>1</v>
      </c>
      <c r="B2" s="3"/>
      <c r="C2" s="3"/>
      <c r="D2" s="3"/>
      <c r="E2" s="3"/>
      <c r="F2" s="3"/>
      <c r="G2" s="3"/>
      <c r="H2" s="3"/>
      <c r="I2" s="3"/>
      <c r="J2" s="3"/>
      <c r="K2" s="3"/>
      <c r="L2" s="3"/>
    </row>
    <row r="3" customFormat="false" ht="15" hidden="false" customHeight="true" outlineLevel="0" collapsed="false">
      <c r="A3" s="1" t="s">
        <v>2</v>
      </c>
    </row>
    <row r="4" customFormat="false" ht="15" hidden="false" customHeight="true" outlineLevel="0" collapsed="false">
      <c r="A4" s="4" t="s">
        <v>3</v>
      </c>
      <c r="B4" s="4"/>
      <c r="C4" s="4"/>
      <c r="D4" s="4"/>
      <c r="E4" s="4"/>
      <c r="F4" s="4"/>
      <c r="G4" s="4"/>
      <c r="H4" s="4"/>
      <c r="I4" s="4"/>
      <c r="J4" s="4"/>
      <c r="K4" s="4"/>
      <c r="L4" s="4"/>
    </row>
    <row r="6" customFormat="false" ht="15" hidden="false" customHeight="true" outlineLevel="0" collapsed="false">
      <c r="A6" s="5" t="s">
        <v>4</v>
      </c>
      <c r="B6" s="5"/>
      <c r="C6" s="5"/>
      <c r="D6" s="5"/>
      <c r="E6" s="5"/>
      <c r="F6" s="5"/>
      <c r="G6" s="5"/>
      <c r="H6" s="5"/>
      <c r="I6" s="5"/>
      <c r="J6" s="5"/>
      <c r="K6" s="5"/>
      <c r="L6" s="5"/>
    </row>
    <row r="7" customFormat="false" ht="30" hidden="false" customHeight="true" outlineLevel="0" collapsed="false">
      <c r="A7" s="6" t="s">
        <v>5</v>
      </c>
      <c r="B7" s="6"/>
      <c r="C7" s="6"/>
      <c r="D7" s="6"/>
      <c r="E7" s="6"/>
      <c r="F7" s="6"/>
      <c r="G7" s="6"/>
      <c r="H7" s="6"/>
      <c r="I7" s="6"/>
      <c r="J7" s="6"/>
      <c r="K7" s="6"/>
      <c r="L7" s="6"/>
    </row>
    <row r="9" customFormat="false" ht="15" hidden="false" customHeight="true" outlineLevel="0" collapsed="false">
      <c r="A9" s="5" t="s">
        <v>6</v>
      </c>
      <c r="B9" s="5"/>
      <c r="C9" s="5"/>
      <c r="D9" s="5"/>
      <c r="E9" s="5"/>
      <c r="F9" s="5"/>
      <c r="G9" s="5"/>
      <c r="H9" s="5"/>
      <c r="I9" s="5"/>
      <c r="J9" s="5"/>
      <c r="K9" s="5"/>
      <c r="L9" s="5"/>
    </row>
    <row r="10" customFormat="false" ht="30" hidden="false" customHeight="true" outlineLevel="0" collapsed="false">
      <c r="A10" s="6" t="s">
        <v>7</v>
      </c>
      <c r="B10" s="6"/>
      <c r="C10" s="6"/>
      <c r="D10" s="6"/>
      <c r="E10" s="6"/>
      <c r="F10" s="6"/>
      <c r="G10" s="6"/>
      <c r="H10" s="6"/>
      <c r="I10" s="6"/>
      <c r="J10" s="6"/>
      <c r="K10" s="6"/>
      <c r="L10" s="6"/>
    </row>
    <row r="12" customFormat="false" ht="15" hidden="false" customHeight="true" outlineLevel="0" collapsed="false">
      <c r="A12" s="5" t="s">
        <v>8</v>
      </c>
      <c r="B12" s="5"/>
      <c r="C12" s="5"/>
      <c r="D12" s="5"/>
      <c r="E12" s="5"/>
      <c r="F12" s="5"/>
      <c r="G12" s="5"/>
      <c r="H12" s="5"/>
      <c r="I12" s="5"/>
      <c r="J12" s="5"/>
      <c r="K12" s="5"/>
      <c r="L12" s="5"/>
    </row>
    <row r="13" customFormat="false" ht="30" hidden="false" customHeight="true" outlineLevel="0" collapsed="false">
      <c r="A13" s="6" t="s">
        <v>9</v>
      </c>
      <c r="B13" s="6"/>
      <c r="C13" s="6"/>
      <c r="D13" s="6"/>
      <c r="E13" s="6"/>
      <c r="F13" s="6"/>
      <c r="G13" s="6"/>
      <c r="H13" s="6"/>
      <c r="I13" s="6"/>
      <c r="J13" s="6"/>
      <c r="K13" s="6"/>
      <c r="L13" s="6"/>
    </row>
    <row r="15" customFormat="false" ht="15" hidden="false" customHeight="true" outlineLevel="0" collapsed="false">
      <c r="A15" s="5" t="s">
        <v>10</v>
      </c>
      <c r="B15" s="5"/>
      <c r="C15" s="5"/>
      <c r="D15" s="5"/>
      <c r="E15" s="5"/>
      <c r="F15" s="5"/>
      <c r="G15" s="5"/>
      <c r="H15" s="5"/>
      <c r="I15" s="5"/>
      <c r="J15" s="5"/>
      <c r="K15" s="5"/>
      <c r="L15" s="5"/>
    </row>
    <row r="16" customFormat="false" ht="30" hidden="false" customHeight="true" outlineLevel="0" collapsed="false">
      <c r="A16" s="6" t="s">
        <v>11</v>
      </c>
      <c r="B16" s="6"/>
      <c r="C16" s="6"/>
      <c r="D16" s="6"/>
      <c r="E16" s="6"/>
      <c r="F16" s="6"/>
      <c r="G16" s="6"/>
      <c r="H16" s="6"/>
      <c r="I16" s="6"/>
      <c r="J16" s="6"/>
      <c r="K16" s="6"/>
      <c r="L16" s="6"/>
    </row>
    <row r="20" customFormat="false" ht="21.75" hidden="false" customHeight="true" outlineLevel="0" collapsed="false">
      <c r="A20" s="7" t="s">
        <v>12</v>
      </c>
      <c r="B20" s="7"/>
      <c r="C20" s="7"/>
      <c r="D20" s="7"/>
      <c r="E20" s="7"/>
      <c r="F20" s="7"/>
      <c r="G20" s="7"/>
      <c r="H20" s="7"/>
      <c r="I20" s="7"/>
      <c r="J20" s="7"/>
      <c r="K20" s="7"/>
      <c r="L20" s="7"/>
    </row>
    <row r="21" customFormat="false" ht="45.75" hidden="false" customHeight="true" outlineLevel="0" collapsed="false">
      <c r="A21" s="8" t="s">
        <v>13</v>
      </c>
      <c r="B21" s="9" t="s">
        <v>14</v>
      </c>
      <c r="C21" s="9"/>
      <c r="D21" s="9"/>
      <c r="E21" s="9"/>
      <c r="F21" s="9"/>
      <c r="G21" s="10"/>
      <c r="H21" s="10"/>
      <c r="I21" s="10"/>
      <c r="J21" s="10"/>
      <c r="K21" s="10"/>
      <c r="L21" s="11"/>
    </row>
    <row r="22" customFormat="false" ht="34.5" hidden="false" customHeight="true" outlineLevel="0" collapsed="false">
      <c r="A22" s="12" t="s">
        <v>15</v>
      </c>
      <c r="B22" s="13" t="s">
        <v>16</v>
      </c>
      <c r="C22" s="13"/>
      <c r="D22" s="13"/>
      <c r="E22" s="13"/>
      <c r="F22" s="13"/>
      <c r="G22" s="14"/>
      <c r="H22" s="14"/>
      <c r="I22" s="14"/>
      <c r="J22" s="14"/>
      <c r="K22" s="14"/>
      <c r="L22" s="15"/>
    </row>
    <row r="23" customFormat="false" ht="68.25" hidden="false" customHeight="true" outlineLevel="0" collapsed="false">
      <c r="A23" s="12" t="s">
        <v>17</v>
      </c>
      <c r="B23" s="13" t="s">
        <v>18</v>
      </c>
      <c r="C23" s="13"/>
      <c r="D23" s="13"/>
      <c r="E23" s="13"/>
      <c r="F23" s="16"/>
      <c r="G23" s="14"/>
      <c r="H23" s="14"/>
      <c r="I23" s="14"/>
      <c r="J23" s="14"/>
      <c r="K23" s="14"/>
      <c r="L23" s="15"/>
    </row>
    <row r="24" customFormat="false" ht="57" hidden="false" customHeight="true" outlineLevel="0" collapsed="false">
      <c r="A24" s="12" t="s">
        <v>19</v>
      </c>
      <c r="B24" s="16" t="s">
        <v>20</v>
      </c>
      <c r="C24" s="16"/>
      <c r="D24" s="16"/>
      <c r="E24" s="16"/>
      <c r="F24" s="16"/>
      <c r="G24" s="14"/>
      <c r="H24" s="14"/>
      <c r="I24" s="14"/>
      <c r="J24" s="14"/>
      <c r="K24" s="14"/>
      <c r="L24" s="15"/>
    </row>
    <row r="25" customFormat="false" ht="68.25" hidden="false" customHeight="true" outlineLevel="0" collapsed="false">
      <c r="A25" s="12" t="s">
        <v>21</v>
      </c>
      <c r="B25" s="16" t="s">
        <v>22</v>
      </c>
      <c r="C25" s="16"/>
      <c r="D25" s="16"/>
      <c r="E25" s="16"/>
      <c r="F25" s="16"/>
      <c r="G25" s="14"/>
      <c r="H25" s="14"/>
      <c r="I25" s="14"/>
      <c r="J25" s="14"/>
      <c r="K25" s="14"/>
      <c r="L25" s="15"/>
    </row>
    <row r="26" customFormat="false" ht="45.75" hidden="false" customHeight="true" outlineLevel="0" collapsed="false">
      <c r="A26" s="17" t="s">
        <v>23</v>
      </c>
      <c r="B26" s="18" t="s">
        <v>24</v>
      </c>
      <c r="C26" s="18"/>
      <c r="D26" s="18"/>
      <c r="E26" s="18"/>
      <c r="F26" s="18"/>
      <c r="G26" s="18"/>
      <c r="H26" s="18"/>
      <c r="I26" s="18"/>
      <c r="J26" s="18"/>
      <c r="K26" s="18"/>
      <c r="L26" s="19"/>
    </row>
  </sheetData>
  <mergeCells count="18">
    <mergeCell ref="A1:L1"/>
    <mergeCell ref="A2:L2"/>
    <mergeCell ref="A4:L4"/>
    <mergeCell ref="A6:L6"/>
    <mergeCell ref="A7:L7"/>
    <mergeCell ref="A9:L9"/>
    <mergeCell ref="A10:L10"/>
    <mergeCell ref="A12:L12"/>
    <mergeCell ref="A13:L13"/>
    <mergeCell ref="A15:L15"/>
    <mergeCell ref="A16:L16"/>
    <mergeCell ref="A20:L20"/>
    <mergeCell ref="B21:F21"/>
    <mergeCell ref="B22:F22"/>
    <mergeCell ref="B23:E23"/>
    <mergeCell ref="B24:E24"/>
    <mergeCell ref="B25:E25"/>
    <mergeCell ref="B26:E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9" activeCellId="0" sqref="C9"/>
    </sheetView>
  </sheetViews>
  <sheetFormatPr defaultColWidth="8.58984375" defaultRowHeight="15" customHeight="false" zeroHeight="false" outlineLevelRow="0" outlineLevelCol="0"/>
  <cols>
    <col collapsed="false" customWidth="true" hidden="false" outlineLevel="0" max="1" min="1" style="1" width="38.81"/>
    <col collapsed="false" customWidth="true" hidden="false" outlineLevel="0" max="2" min="2" style="1" width="28.89"/>
    <col collapsed="false" customWidth="true" hidden="false" outlineLevel="0" max="3" min="3" style="1" width="61.81"/>
    <col collapsed="false" customWidth="true" hidden="false" outlineLevel="0" max="5" min="4" style="1" width="12.22"/>
  </cols>
  <sheetData>
    <row r="1" customFormat="false" ht="27" hidden="false" customHeight="true" outlineLevel="0" collapsed="false">
      <c r="A1" s="2" t="s">
        <v>25</v>
      </c>
      <c r="B1" s="2"/>
      <c r="C1" s="2"/>
      <c r="D1" s="2"/>
      <c r="E1" s="2"/>
      <c r="F1" s="2"/>
      <c r="G1" s="2"/>
      <c r="H1" s="2"/>
      <c r="I1" s="2"/>
      <c r="J1" s="2"/>
      <c r="K1" s="2"/>
      <c r="L1" s="2"/>
    </row>
    <row r="2" customFormat="false" ht="36" hidden="false" customHeight="true" outlineLevel="0" collapsed="false">
      <c r="A2" s="3" t="s">
        <v>26</v>
      </c>
      <c r="B2" s="3"/>
      <c r="C2" s="3"/>
      <c r="D2" s="3"/>
      <c r="E2" s="3"/>
      <c r="F2" s="3"/>
      <c r="G2" s="3"/>
      <c r="H2" s="3"/>
      <c r="I2" s="3"/>
      <c r="J2" s="3"/>
      <c r="K2" s="3"/>
      <c r="L2" s="3"/>
    </row>
    <row r="3" customFormat="false" ht="48" hidden="false" customHeight="true" outlineLevel="0" collapsed="false">
      <c r="A3" s="20" t="s">
        <v>27</v>
      </c>
      <c r="B3" s="20"/>
      <c r="C3" s="20"/>
    </row>
    <row r="14" customFormat="false" ht="15" hidden="false" customHeight="true" outlineLevel="0" collapsed="false">
      <c r="A14" s="1" t="s">
        <v>28</v>
      </c>
      <c r="B14" s="1" t="s">
        <v>29</v>
      </c>
    </row>
    <row r="15" customFormat="false" ht="23.25" hidden="false" customHeight="true" outlineLevel="0" collapsed="false">
      <c r="A15" s="21" t="s">
        <v>30</v>
      </c>
      <c r="B15" s="22" t="s">
        <v>31</v>
      </c>
      <c r="C15" s="22" t="s">
        <v>32</v>
      </c>
      <c r="D15" s="22" t="s">
        <v>33</v>
      </c>
      <c r="E15" s="23" t="s">
        <v>34</v>
      </c>
    </row>
    <row r="16" customFormat="false" ht="15" hidden="false" customHeight="true" outlineLevel="0" collapsed="false">
      <c r="A16" s="8" t="s">
        <v>35</v>
      </c>
      <c r="B16" s="24" t="s">
        <v>36</v>
      </c>
      <c r="C16" s="10" t="s">
        <v>37</v>
      </c>
      <c r="D16" s="10" t="s">
        <v>38</v>
      </c>
      <c r="E16" s="11" t="s">
        <v>39</v>
      </c>
    </row>
    <row r="17" customFormat="false" ht="15" hidden="false" customHeight="true" outlineLevel="0" collapsed="false">
      <c r="A17" s="12" t="s">
        <v>40</v>
      </c>
      <c r="B17" s="25" t="s">
        <v>41</v>
      </c>
      <c r="C17" s="14" t="s">
        <v>42</v>
      </c>
      <c r="D17" s="14" t="s">
        <v>38</v>
      </c>
      <c r="E17" s="15" t="s">
        <v>39</v>
      </c>
    </row>
    <row r="18" customFormat="false" ht="15" hidden="false" customHeight="true" outlineLevel="0" collapsed="false">
      <c r="A18" s="12" t="s">
        <v>43</v>
      </c>
      <c r="B18" s="25" t="s">
        <v>44</v>
      </c>
      <c r="C18" s="14" t="s">
        <v>45</v>
      </c>
      <c r="D18" s="14" t="s">
        <v>38</v>
      </c>
      <c r="E18" s="15" t="s">
        <v>39</v>
      </c>
    </row>
    <row r="19" customFormat="false" ht="15" hidden="false" customHeight="true" outlineLevel="0" collapsed="false">
      <c r="A19" s="12" t="s">
        <v>46</v>
      </c>
      <c r="B19" s="25" t="s">
        <v>47</v>
      </c>
      <c r="C19" s="14" t="s">
        <v>48</v>
      </c>
      <c r="D19" s="14" t="s">
        <v>38</v>
      </c>
      <c r="E19" s="15" t="s">
        <v>39</v>
      </c>
    </row>
    <row r="20" customFormat="false" ht="15" hidden="false" customHeight="true" outlineLevel="0" collapsed="false">
      <c r="A20" s="12" t="s">
        <v>49</v>
      </c>
      <c r="B20" s="25" t="s">
        <v>44</v>
      </c>
      <c r="C20" s="14" t="s">
        <v>50</v>
      </c>
      <c r="D20" s="14" t="s">
        <v>38</v>
      </c>
      <c r="E20" s="15" t="s">
        <v>39</v>
      </c>
    </row>
    <row r="21" customFormat="false" ht="23.25" hidden="false" customHeight="true" outlineLevel="0" collapsed="false">
      <c r="A21" s="12" t="s">
        <v>51</v>
      </c>
      <c r="B21" s="25" t="s">
        <v>52</v>
      </c>
      <c r="C21" s="14" t="s">
        <v>53</v>
      </c>
      <c r="D21" s="14" t="s">
        <v>38</v>
      </c>
      <c r="E21" s="15" t="s">
        <v>39</v>
      </c>
    </row>
    <row r="22" customFormat="false" ht="15" hidden="false" customHeight="true" outlineLevel="0" collapsed="false">
      <c r="A22" s="12" t="s">
        <v>54</v>
      </c>
      <c r="B22" s="25" t="s">
        <v>29</v>
      </c>
      <c r="C22" s="14" t="s">
        <v>55</v>
      </c>
      <c r="D22" s="14" t="s">
        <v>38</v>
      </c>
      <c r="E22" s="15" t="s">
        <v>39</v>
      </c>
    </row>
    <row r="23" customFormat="false" ht="15" hidden="false" customHeight="true" outlineLevel="0" collapsed="false">
      <c r="A23" s="12" t="s">
        <v>56</v>
      </c>
      <c r="B23" s="25" t="s">
        <v>57</v>
      </c>
      <c r="C23" s="14" t="s">
        <v>58</v>
      </c>
      <c r="D23" s="14" t="s">
        <v>38</v>
      </c>
      <c r="E23" s="15" t="s">
        <v>39</v>
      </c>
    </row>
    <row r="24" customFormat="false" ht="15" hidden="false" customHeight="true" outlineLevel="0" collapsed="false">
      <c r="A24" s="12" t="s">
        <v>59</v>
      </c>
      <c r="B24" s="25" t="s">
        <v>60</v>
      </c>
      <c r="C24" s="14" t="s">
        <v>61</v>
      </c>
      <c r="D24" s="14" t="s">
        <v>62</v>
      </c>
      <c r="E24" s="15" t="s">
        <v>63</v>
      </c>
    </row>
    <row r="25" customFormat="false" ht="23.25" hidden="false" customHeight="true" outlineLevel="0" collapsed="false">
      <c r="A25" s="12" t="s">
        <v>64</v>
      </c>
      <c r="B25" s="26" t="n">
        <v>1</v>
      </c>
      <c r="C25" s="14" t="s">
        <v>65</v>
      </c>
      <c r="D25" s="14" t="s">
        <v>38</v>
      </c>
      <c r="E25" s="15" t="s">
        <v>39</v>
      </c>
    </row>
    <row r="26" customFormat="false" ht="23.25" hidden="false" customHeight="true" outlineLevel="0" collapsed="false">
      <c r="A26" s="12" t="s">
        <v>66</v>
      </c>
      <c r="B26" s="25" t="n">
        <v>1.25</v>
      </c>
      <c r="C26" s="14" t="s">
        <v>67</v>
      </c>
      <c r="D26" s="14" t="s">
        <v>38</v>
      </c>
      <c r="E26" s="15" t="s">
        <v>39</v>
      </c>
    </row>
    <row r="27" customFormat="false" ht="23.25" hidden="false" customHeight="true" outlineLevel="0" collapsed="false">
      <c r="A27" s="12" t="s">
        <v>68</v>
      </c>
      <c r="B27" s="25" t="n">
        <v>0.25</v>
      </c>
      <c r="C27" s="14" t="s">
        <v>69</v>
      </c>
      <c r="D27" s="14" t="s">
        <v>38</v>
      </c>
      <c r="E27" s="15" t="s">
        <v>39</v>
      </c>
    </row>
    <row r="28" customFormat="false" ht="15" hidden="false" customHeight="true" outlineLevel="0" collapsed="false">
      <c r="A28" s="12" t="s">
        <v>70</v>
      </c>
      <c r="B28" s="25" t="n">
        <v>0.4</v>
      </c>
      <c r="C28" s="14" t="s">
        <v>71</v>
      </c>
      <c r="D28" s="14" t="s">
        <v>38</v>
      </c>
      <c r="E28" s="15" t="s">
        <v>39</v>
      </c>
    </row>
    <row r="29" customFormat="false" ht="15" hidden="false" customHeight="true" outlineLevel="0" collapsed="false">
      <c r="A29" s="12" t="s">
        <v>72</v>
      </c>
      <c r="B29" s="25" t="n">
        <v>2</v>
      </c>
      <c r="C29" s="14" t="s">
        <v>73</v>
      </c>
      <c r="D29" s="14" t="s">
        <v>38</v>
      </c>
      <c r="E29" s="15" t="s">
        <v>39</v>
      </c>
    </row>
    <row r="30" customFormat="false" ht="15" hidden="false" customHeight="true" outlineLevel="0" collapsed="false">
      <c r="A30" s="12" t="s">
        <v>74</v>
      </c>
      <c r="B30" s="25" t="n">
        <v>0.4</v>
      </c>
      <c r="C30" s="14" t="s">
        <v>75</v>
      </c>
      <c r="D30" s="14" t="s">
        <v>38</v>
      </c>
      <c r="E30" s="15" t="s">
        <v>39</v>
      </c>
    </row>
    <row r="31" customFormat="false" ht="15" hidden="false" customHeight="true" outlineLevel="0" collapsed="false">
      <c r="A31" s="12" t="s">
        <v>76</v>
      </c>
      <c r="B31" s="25" t="n">
        <v>0.4</v>
      </c>
      <c r="C31" s="14" t="s">
        <v>77</v>
      </c>
      <c r="D31" s="14" t="s">
        <v>38</v>
      </c>
      <c r="E31" s="15" t="s">
        <v>39</v>
      </c>
    </row>
    <row r="32" customFormat="false" ht="23.25" hidden="false" customHeight="true" outlineLevel="0" collapsed="false">
      <c r="A32" s="12" t="s">
        <v>78</v>
      </c>
      <c r="B32" s="25" t="n">
        <v>0.4</v>
      </c>
      <c r="C32" s="14" t="s">
        <v>79</v>
      </c>
      <c r="D32" s="14" t="s">
        <v>38</v>
      </c>
      <c r="E32" s="15" t="s">
        <v>39</v>
      </c>
    </row>
    <row r="33" customFormat="false" ht="23.25" hidden="false" customHeight="true" outlineLevel="0" collapsed="false">
      <c r="A33" s="12" t="s">
        <v>80</v>
      </c>
      <c r="B33" s="25" t="n">
        <v>2</v>
      </c>
      <c r="C33" s="14" t="s">
        <v>81</v>
      </c>
      <c r="D33" s="14" t="s">
        <v>38</v>
      </c>
      <c r="E33" s="15" t="s">
        <v>39</v>
      </c>
    </row>
    <row r="34" customFormat="false" ht="15" hidden="false" customHeight="true" outlineLevel="0" collapsed="false">
      <c r="A34" s="12" t="s">
        <v>82</v>
      </c>
      <c r="B34" s="25" t="n">
        <v>0.5</v>
      </c>
      <c r="C34" s="14" t="s">
        <v>83</v>
      </c>
      <c r="D34" s="14" t="s">
        <v>38</v>
      </c>
      <c r="E34" s="15" t="s">
        <v>39</v>
      </c>
    </row>
    <row r="35" customFormat="false" ht="15" hidden="false" customHeight="true" outlineLevel="0" collapsed="false">
      <c r="A35" s="12" t="s">
        <v>84</v>
      </c>
      <c r="B35" s="25" t="s">
        <v>85</v>
      </c>
      <c r="C35" s="14" t="s">
        <v>86</v>
      </c>
      <c r="D35" s="14" t="s">
        <v>38</v>
      </c>
      <c r="E35" s="15" t="s">
        <v>39</v>
      </c>
    </row>
    <row r="36" customFormat="false" ht="15" hidden="false" customHeight="true" outlineLevel="0" collapsed="false">
      <c r="A36" s="17" t="s">
        <v>87</v>
      </c>
      <c r="B36" s="27" t="s">
        <v>88</v>
      </c>
      <c r="C36" s="18" t="s">
        <v>89</v>
      </c>
      <c r="D36" s="18" t="s">
        <v>38</v>
      </c>
      <c r="E36" s="19" t="s">
        <v>39</v>
      </c>
    </row>
    <row r="37" customFormat="false" ht="25.5" hidden="false" customHeight="true" outlineLevel="0" collapsed="false">
      <c r="A37" s="1" t="s">
        <v>90</v>
      </c>
      <c r="B37" s="28" t="n">
        <v>0.95</v>
      </c>
      <c r="C37" s="29" t="s">
        <v>91</v>
      </c>
      <c r="D37" s="1" t="s">
        <v>38</v>
      </c>
      <c r="E37" s="1" t="s">
        <v>39</v>
      </c>
    </row>
  </sheetData>
  <mergeCells count="3">
    <mergeCell ref="A1:L1"/>
    <mergeCell ref="A2:L2"/>
    <mergeCell ref="A3:C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K15" activeCellId="0" sqref="K15"/>
    </sheetView>
  </sheetViews>
  <sheetFormatPr defaultColWidth="8.58984375" defaultRowHeight="15" customHeight="false" zeroHeight="false" outlineLevelRow="0" outlineLevelCol="0"/>
  <cols>
    <col collapsed="false" customWidth="true" hidden="false" outlineLevel="0" max="1" min="1" style="1" width="11.11"/>
    <col collapsed="false" customWidth="true" hidden="false" outlineLevel="0" max="2" min="2" style="1" width="20"/>
    <col collapsed="false" customWidth="true" hidden="false" outlineLevel="0" max="3" min="3" style="1" width="11.11"/>
    <col collapsed="false" customWidth="true" hidden="false" outlineLevel="0" max="4" min="4" style="1" width="57.79"/>
    <col collapsed="false" customWidth="true" hidden="false" outlineLevel="0" max="6" min="5" style="1" width="12.22"/>
  </cols>
  <sheetData>
    <row r="1" customFormat="false" ht="27" hidden="false" customHeight="true" outlineLevel="0" collapsed="false">
      <c r="A1" s="2" t="s">
        <v>92</v>
      </c>
      <c r="B1" s="2"/>
      <c r="C1" s="2"/>
      <c r="D1" s="2"/>
      <c r="E1" s="2"/>
      <c r="F1" s="2"/>
      <c r="G1" s="2"/>
      <c r="H1" s="2"/>
      <c r="I1" s="2"/>
      <c r="J1" s="2"/>
      <c r="K1" s="2"/>
      <c r="L1" s="2"/>
    </row>
    <row r="2" customFormat="false" ht="36" hidden="false" customHeight="true" outlineLevel="0" collapsed="false">
      <c r="A2" s="3" t="s">
        <v>93</v>
      </c>
      <c r="B2" s="3"/>
      <c r="C2" s="3"/>
      <c r="D2" s="3"/>
      <c r="E2" s="3"/>
      <c r="F2" s="3"/>
      <c r="G2" s="3"/>
      <c r="H2" s="3"/>
      <c r="I2" s="3"/>
      <c r="J2" s="3"/>
      <c r="K2" s="3"/>
      <c r="L2" s="3"/>
    </row>
    <row r="3" customFormat="false" ht="48" hidden="false" customHeight="true" outlineLevel="0" collapsed="false">
      <c r="A3" s="20" t="s">
        <v>94</v>
      </c>
      <c r="B3" s="20"/>
      <c r="C3" s="20"/>
      <c r="D3" s="20"/>
      <c r="E3" s="20"/>
      <c r="F3" s="20"/>
    </row>
    <row r="4" customFormat="false" ht="15" hidden="false" customHeight="true" outlineLevel="0" collapsed="false">
      <c r="A4" s="30" t="s">
        <v>95</v>
      </c>
      <c r="B4" s="30"/>
      <c r="C4" s="30"/>
      <c r="D4" s="30"/>
      <c r="E4" s="30"/>
      <c r="F4" s="30"/>
      <c r="G4" s="30"/>
      <c r="H4" s="30"/>
      <c r="I4" s="30"/>
      <c r="J4" s="30"/>
      <c r="K4" s="30"/>
      <c r="L4" s="30"/>
    </row>
    <row r="5" customFormat="false" ht="34.85" hidden="false" customHeight="true" outlineLevel="0" collapsed="false">
      <c r="A5" s="31" t="s">
        <v>96</v>
      </c>
      <c r="B5" s="31"/>
      <c r="C5" s="31"/>
      <c r="D5" s="31"/>
      <c r="E5" s="31"/>
      <c r="F5" s="31"/>
      <c r="G5" s="31"/>
      <c r="H5" s="31"/>
      <c r="I5" s="31"/>
      <c r="J5" s="31"/>
      <c r="K5" s="31"/>
      <c r="L5" s="31"/>
    </row>
    <row r="6" customFormat="false" ht="15" hidden="false" customHeight="false" outlineLevel="0" collapsed="false">
      <c r="A6" s="32" t="s">
        <v>97</v>
      </c>
      <c r="B6" s="33"/>
      <c r="C6" s="33"/>
      <c r="D6" s="33"/>
      <c r="E6" s="33"/>
      <c r="F6" s="33"/>
      <c r="G6" s="34"/>
      <c r="H6" s="34"/>
      <c r="I6" s="34"/>
      <c r="J6" s="34"/>
      <c r="K6" s="34"/>
      <c r="L6" s="35"/>
    </row>
    <row r="7" customFormat="false" ht="15" hidden="false" customHeight="false" outlineLevel="0" collapsed="false">
      <c r="A7" s="36" t="s">
        <v>98</v>
      </c>
      <c r="B7" s="37"/>
      <c r="C7" s="37"/>
      <c r="D7" s="37"/>
      <c r="E7" s="37"/>
      <c r="F7" s="37"/>
      <c r="G7" s="38"/>
      <c r="H7" s="38"/>
      <c r="I7" s="38"/>
      <c r="J7" s="38"/>
      <c r="K7" s="38"/>
      <c r="L7" s="39"/>
    </row>
    <row r="8" customFormat="false" ht="15" hidden="false" customHeight="false" outlineLevel="0" collapsed="false">
      <c r="A8" s="36" t="s">
        <v>99</v>
      </c>
      <c r="B8" s="37"/>
      <c r="C8" s="37"/>
      <c r="D8" s="37"/>
      <c r="E8" s="37"/>
      <c r="F8" s="37"/>
      <c r="G8" s="38"/>
      <c r="H8" s="38"/>
      <c r="I8" s="38"/>
      <c r="J8" s="38"/>
      <c r="K8" s="38"/>
      <c r="L8" s="39"/>
    </row>
    <row r="9" customFormat="false" ht="15" hidden="false" customHeight="false" outlineLevel="0" collapsed="false">
      <c r="A9" s="40" t="s">
        <v>100</v>
      </c>
      <c r="B9" s="41"/>
      <c r="C9" s="41"/>
      <c r="D9" s="41"/>
      <c r="E9" s="41"/>
      <c r="F9" s="41"/>
      <c r="G9" s="42"/>
      <c r="H9" s="42"/>
      <c r="I9" s="42"/>
      <c r="J9" s="42"/>
      <c r="K9" s="42"/>
      <c r="L9" s="43"/>
    </row>
    <row r="15" customFormat="false" ht="23.25" hidden="false" customHeight="true" outlineLevel="0" collapsed="false">
      <c r="A15" s="21" t="s">
        <v>101</v>
      </c>
      <c r="B15" s="22" t="s">
        <v>102</v>
      </c>
      <c r="C15" s="22" t="s">
        <v>103</v>
      </c>
      <c r="D15" s="22" t="s">
        <v>104</v>
      </c>
      <c r="E15" s="22" t="s">
        <v>33</v>
      </c>
      <c r="F15" s="23" t="s">
        <v>34</v>
      </c>
    </row>
    <row r="16" customFormat="false" ht="23.25" hidden="false" customHeight="true" outlineLevel="0" collapsed="false">
      <c r="A16" s="8" t="s">
        <v>105</v>
      </c>
      <c r="B16" s="10" t="s">
        <v>106</v>
      </c>
      <c r="C16" s="44" t="n">
        <v>0.1</v>
      </c>
      <c r="D16" s="10" t="s">
        <v>107</v>
      </c>
      <c r="E16" s="10" t="s">
        <v>38</v>
      </c>
      <c r="F16" s="11" t="s">
        <v>39</v>
      </c>
    </row>
    <row r="17" customFormat="false" ht="23.25" hidden="false" customHeight="true" outlineLevel="0" collapsed="false">
      <c r="A17" s="12" t="s">
        <v>108</v>
      </c>
      <c r="B17" s="14" t="s">
        <v>109</v>
      </c>
      <c r="C17" s="45" t="n">
        <v>0.8</v>
      </c>
      <c r="D17" s="14" t="s">
        <v>110</v>
      </c>
      <c r="E17" s="14" t="s">
        <v>38</v>
      </c>
      <c r="F17" s="15" t="s">
        <v>39</v>
      </c>
    </row>
    <row r="18" customFormat="false" ht="15" hidden="false" customHeight="true" outlineLevel="0" collapsed="false">
      <c r="A18" s="12" t="s">
        <v>111</v>
      </c>
      <c r="B18" s="14" t="s">
        <v>112</v>
      </c>
      <c r="C18" s="45" t="n">
        <v>0.08</v>
      </c>
      <c r="D18" s="14" t="s">
        <v>113</v>
      </c>
      <c r="E18" s="14" t="s">
        <v>38</v>
      </c>
      <c r="F18" s="15" t="s">
        <v>39</v>
      </c>
    </row>
    <row r="19" customFormat="false" ht="23.25" hidden="false" customHeight="true" outlineLevel="0" collapsed="false">
      <c r="A19" s="17" t="s">
        <v>114</v>
      </c>
      <c r="B19" s="18" t="s">
        <v>115</v>
      </c>
      <c r="C19" s="46" t="n">
        <v>0.02</v>
      </c>
      <c r="D19" s="18" t="s">
        <v>116</v>
      </c>
      <c r="E19" s="18" t="s">
        <v>38</v>
      </c>
      <c r="F19" s="19" t="s">
        <v>117</v>
      </c>
    </row>
    <row r="20" customFormat="false" ht="15" hidden="false" customHeight="true" outlineLevel="0" collapsed="false">
      <c r="A20" s="1" t="s">
        <v>118</v>
      </c>
      <c r="B20" s="1" t="s">
        <v>119</v>
      </c>
      <c r="C20" s="47" t="n">
        <f aca="false">SUM(C16:C19)</f>
        <v>1</v>
      </c>
      <c r="D20" s="1" t="s">
        <v>120</v>
      </c>
    </row>
  </sheetData>
  <mergeCells count="5">
    <mergeCell ref="A1:L1"/>
    <mergeCell ref="A2:L2"/>
    <mergeCell ref="A3:F3"/>
    <mergeCell ref="A4:L4"/>
    <mergeCell ref="A5:L5"/>
  </mergeCells>
  <hyperlinks>
    <hyperlink ref="A7" r:id="rId1" display="Verizon 2026 DBIR Executive Summary  Financial and Insurance (p.14)"/>
    <hyperlink ref="A8" r:id="rId2" display="Mandiant M-Trends 2026"/>
    <hyperlink ref="A9" r:id="rId3" display="Microsoft Digital Defense Report 2025"/>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21" activeCellId="0" sqref="J21"/>
    </sheetView>
  </sheetViews>
  <sheetFormatPr defaultColWidth="8.58984375" defaultRowHeight="15" customHeight="false" zeroHeight="false" outlineLevelRow="0" outlineLevelCol="0"/>
  <cols>
    <col collapsed="false" customWidth="true" hidden="false" outlineLevel="0" max="1" min="1" style="1" width="13.34"/>
    <col collapsed="false" customWidth="true" hidden="false" outlineLevel="0" max="3" min="2" style="1" width="17.78"/>
    <col collapsed="false" customWidth="true" hidden="false" outlineLevel="0" max="4" min="4" style="1" width="20"/>
    <col collapsed="false" customWidth="true" hidden="false" outlineLevel="0" max="5" min="5" style="1" width="17.78"/>
    <col collapsed="false" customWidth="true" hidden="false" outlineLevel="0" max="6" min="6" style="1" width="11.11"/>
  </cols>
  <sheetData>
    <row r="1" customFormat="false" ht="27" hidden="false" customHeight="true" outlineLevel="0" collapsed="false">
      <c r="A1" s="2" t="s">
        <v>121</v>
      </c>
      <c r="B1" s="2"/>
      <c r="C1" s="2"/>
      <c r="D1" s="2"/>
      <c r="E1" s="2"/>
      <c r="F1" s="2"/>
      <c r="G1" s="2"/>
      <c r="H1" s="2"/>
      <c r="I1" s="2"/>
      <c r="J1" s="2"/>
      <c r="K1" s="2"/>
      <c r="L1" s="2"/>
    </row>
    <row r="2" customFormat="false" ht="36" hidden="false" customHeight="true" outlineLevel="0" collapsed="false">
      <c r="A2" s="3" t="s">
        <v>122</v>
      </c>
      <c r="B2" s="3"/>
      <c r="C2" s="3"/>
      <c r="D2" s="3"/>
      <c r="E2" s="3"/>
      <c r="F2" s="3"/>
      <c r="G2" s="3"/>
      <c r="H2" s="3"/>
      <c r="I2" s="3"/>
      <c r="J2" s="3"/>
      <c r="K2" s="3"/>
      <c r="L2" s="3"/>
    </row>
    <row r="3" customFormat="false" ht="15" hidden="false" customHeight="true" outlineLevel="0" collapsed="false">
      <c r="A3" s="20" t="s">
        <v>123</v>
      </c>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5" customFormat="false" ht="23.65" hidden="false" customHeight="true" outlineLevel="0" collapsed="false">
      <c r="A5" s="48" t="s">
        <v>124</v>
      </c>
      <c r="B5" s="48"/>
      <c r="C5" s="48"/>
      <c r="D5" s="48"/>
      <c r="E5" s="48"/>
      <c r="F5" s="48"/>
      <c r="G5" s="48"/>
      <c r="H5" s="48"/>
      <c r="I5" s="48"/>
      <c r="J5" s="48"/>
      <c r="K5" s="48"/>
      <c r="L5" s="48"/>
    </row>
    <row r="6" customFormat="false" ht="79.6" hidden="false" customHeight="true" outlineLevel="0" collapsed="false">
      <c r="A6" s="31" t="s">
        <v>125</v>
      </c>
      <c r="B6" s="31"/>
      <c r="C6" s="31"/>
      <c r="D6" s="31"/>
      <c r="E6" s="31"/>
      <c r="F6" s="31"/>
      <c r="G6" s="31"/>
      <c r="H6" s="31"/>
      <c r="I6" s="31"/>
      <c r="J6" s="31"/>
      <c r="K6" s="31"/>
      <c r="L6" s="31"/>
    </row>
    <row r="7" customFormat="false" ht="15" hidden="false" customHeight="false" outlineLevel="0" collapsed="false">
      <c r="A7" s="32" t="s">
        <v>97</v>
      </c>
      <c r="B7" s="37"/>
      <c r="C7" s="37"/>
      <c r="D7" s="37"/>
      <c r="E7" s="37"/>
      <c r="F7" s="37"/>
      <c r="G7" s="38"/>
      <c r="H7" s="38"/>
      <c r="I7" s="38"/>
      <c r="J7" s="38"/>
      <c r="K7" s="38"/>
      <c r="L7" s="39"/>
    </row>
    <row r="8" customFormat="false" ht="15" hidden="false" customHeight="false" outlineLevel="0" collapsed="false">
      <c r="A8" s="36" t="s">
        <v>126</v>
      </c>
      <c r="B8" s="37"/>
      <c r="C8" s="37"/>
      <c r="D8" s="37"/>
      <c r="E8" s="37"/>
      <c r="F8" s="37"/>
      <c r="G8" s="38"/>
      <c r="H8" s="38"/>
      <c r="I8" s="38"/>
      <c r="J8" s="38"/>
      <c r="K8" s="38"/>
      <c r="L8" s="39"/>
    </row>
    <row r="9" customFormat="false" ht="15" hidden="false" customHeight="false" outlineLevel="0" collapsed="false">
      <c r="A9" s="36" t="s">
        <v>127</v>
      </c>
      <c r="B9" s="37"/>
      <c r="C9" s="37"/>
      <c r="D9" s="37"/>
      <c r="E9" s="37"/>
      <c r="F9" s="37"/>
      <c r="G9" s="38"/>
      <c r="H9" s="38"/>
      <c r="I9" s="38"/>
      <c r="J9" s="38"/>
      <c r="K9" s="38"/>
      <c r="L9" s="39"/>
    </row>
    <row r="10" customFormat="false" ht="15" hidden="false" customHeight="false" outlineLevel="0" collapsed="false">
      <c r="A10" s="40" t="s">
        <v>99</v>
      </c>
      <c r="B10" s="41"/>
      <c r="C10" s="41"/>
      <c r="D10" s="41"/>
      <c r="E10" s="41"/>
      <c r="F10" s="41"/>
      <c r="G10" s="42"/>
      <c r="H10" s="42"/>
      <c r="I10" s="42"/>
      <c r="J10" s="42"/>
      <c r="K10" s="42"/>
      <c r="L10" s="43"/>
    </row>
    <row r="15" customFormat="false" ht="15" hidden="false" customHeight="true" outlineLevel="0" collapsed="false">
      <c r="A15" s="49" t="s">
        <v>101</v>
      </c>
      <c r="B15" s="50" t="s">
        <v>128</v>
      </c>
      <c r="C15" s="50" t="s">
        <v>129</v>
      </c>
      <c r="D15" s="50" t="s">
        <v>130</v>
      </c>
      <c r="E15" s="50" t="s">
        <v>131</v>
      </c>
      <c r="F15" s="51" t="s">
        <v>132</v>
      </c>
    </row>
    <row r="16" customFormat="false" ht="15" hidden="false" customHeight="true" outlineLevel="0" collapsed="false">
      <c r="A16" s="52" t="s">
        <v>105</v>
      </c>
      <c r="B16" s="53" t="n">
        <v>0.25</v>
      </c>
      <c r="C16" s="53" t="n">
        <v>0.35</v>
      </c>
      <c r="D16" s="53" t="n">
        <v>0.3</v>
      </c>
      <c r="E16" s="53" t="n">
        <v>0.1</v>
      </c>
      <c r="F16" s="54" t="n">
        <f aca="false">SUM(B16:E16)</f>
        <v>1</v>
      </c>
    </row>
    <row r="17" customFormat="false" ht="15" hidden="false" customHeight="true" outlineLevel="0" collapsed="false">
      <c r="A17" s="55" t="s">
        <v>108</v>
      </c>
      <c r="B17" s="56" t="n">
        <v>0.3</v>
      </c>
      <c r="C17" s="56" t="n">
        <v>0.25</v>
      </c>
      <c r="D17" s="56" t="n">
        <v>0.1</v>
      </c>
      <c r="E17" s="56" t="n">
        <v>0.35</v>
      </c>
      <c r="F17" s="57" t="n">
        <f aca="false">SUM(B17:E17)</f>
        <v>1</v>
      </c>
    </row>
    <row r="18" customFormat="false" ht="15" hidden="false" customHeight="true" outlineLevel="0" collapsed="false">
      <c r="A18" s="55" t="s">
        <v>111</v>
      </c>
      <c r="B18" s="56" t="n">
        <v>0.2</v>
      </c>
      <c r="C18" s="56" t="n">
        <v>0.3</v>
      </c>
      <c r="D18" s="56" t="n">
        <v>0.25</v>
      </c>
      <c r="E18" s="56" t="n">
        <v>0.25</v>
      </c>
      <c r="F18" s="57" t="n">
        <f aca="false">SUM(B18:E18)</f>
        <v>1</v>
      </c>
    </row>
    <row r="19" customFormat="false" ht="15" hidden="false" customHeight="true" outlineLevel="0" collapsed="false">
      <c r="A19" s="58" t="s">
        <v>114</v>
      </c>
      <c r="B19" s="59" t="n">
        <v>0.75</v>
      </c>
      <c r="C19" s="59" t="n">
        <v>0.15</v>
      </c>
      <c r="D19" s="59" t="n">
        <v>0.08</v>
      </c>
      <c r="E19" s="59" t="n">
        <v>0.02</v>
      </c>
      <c r="F19" s="60" t="n">
        <f aca="false">SUM(B19:E19)</f>
        <v>1</v>
      </c>
    </row>
  </sheetData>
  <mergeCells count="5">
    <mergeCell ref="A1:L1"/>
    <mergeCell ref="A2:L2"/>
    <mergeCell ref="A3:L4"/>
    <mergeCell ref="A5:L5"/>
    <mergeCell ref="A6:L6"/>
  </mergeCells>
  <hyperlinks>
    <hyperlink ref="A8" r:id="rId1" display="CISA/FBI  Pro-Russia Hacktivists Conduct Opportunistic Attacks Against Critical Infrastructure"/>
    <hyperlink ref="A9" r:id="rId2" display="CMU SEI  Insider Fraud in Financial Services (National Insider Threat Center)"/>
    <hyperlink ref="A10" r:id="rId3" display="Mandiant M-Trends 2026"/>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8.58984375" defaultRowHeight="15" customHeight="false" zeroHeight="false" outlineLevelRow="0" outlineLevelCol="0"/>
  <cols>
    <col collapsed="false" customWidth="true" hidden="false" outlineLevel="0" max="1" min="1" style="1" width="10"/>
    <col collapsed="false" customWidth="true" hidden="false" outlineLevel="0" max="2" min="2" style="1" width="28.89"/>
    <col collapsed="false" customWidth="true" hidden="false" outlineLevel="0" max="3" min="3" style="1" width="57.79"/>
    <col collapsed="false" customWidth="true" hidden="false" outlineLevel="0" max="4" min="4" style="1" width="12.22"/>
    <col collapsed="false" customWidth="true" hidden="false" outlineLevel="0" max="5" min="5" style="1" width="14.44"/>
  </cols>
  <sheetData>
    <row r="1" customFormat="false" ht="27" hidden="false" customHeight="true" outlineLevel="0" collapsed="false">
      <c r="A1" s="2" t="s">
        <v>133</v>
      </c>
      <c r="B1" s="2"/>
      <c r="C1" s="2"/>
      <c r="D1" s="2"/>
      <c r="E1" s="2"/>
      <c r="F1" s="2"/>
      <c r="G1" s="2"/>
      <c r="H1" s="2"/>
      <c r="I1" s="2"/>
      <c r="J1" s="2"/>
      <c r="K1" s="2"/>
      <c r="L1" s="2"/>
    </row>
    <row r="2" customFormat="false" ht="36" hidden="false" customHeight="true" outlineLevel="0" collapsed="false">
      <c r="A2" s="3" t="s">
        <v>134</v>
      </c>
      <c r="B2" s="3"/>
      <c r="C2" s="3"/>
      <c r="D2" s="3"/>
      <c r="E2" s="3"/>
      <c r="F2" s="3"/>
      <c r="G2" s="3"/>
      <c r="H2" s="3"/>
      <c r="I2" s="3"/>
      <c r="J2" s="3"/>
      <c r="K2" s="3"/>
      <c r="L2" s="3"/>
    </row>
    <row r="3" customFormat="false" ht="48" hidden="false" customHeight="true" outlineLevel="0" collapsed="false">
      <c r="A3" s="20" t="s">
        <v>135</v>
      </c>
      <c r="B3" s="20"/>
      <c r="C3" s="20"/>
      <c r="D3" s="20"/>
      <c r="E3" s="20"/>
    </row>
    <row r="15" customFormat="false" ht="23.25" hidden="false" customHeight="true" outlineLevel="0" collapsed="false">
      <c r="A15" s="21" t="s">
        <v>136</v>
      </c>
      <c r="B15" s="22" t="s">
        <v>137</v>
      </c>
      <c r="C15" s="22" t="s">
        <v>138</v>
      </c>
      <c r="D15" s="22" t="s">
        <v>33</v>
      </c>
      <c r="E15" s="23" t="s">
        <v>34</v>
      </c>
    </row>
    <row r="16" customFormat="false" ht="23.25" hidden="false" customHeight="true" outlineLevel="0" collapsed="false">
      <c r="A16" s="8" t="s">
        <v>139</v>
      </c>
      <c r="B16" s="10" t="s">
        <v>140</v>
      </c>
      <c r="C16" s="10" t="s">
        <v>141</v>
      </c>
      <c r="D16" s="10" t="s">
        <v>62</v>
      </c>
      <c r="E16" s="11" t="s">
        <v>142</v>
      </c>
    </row>
    <row r="17" customFormat="false" ht="23.25" hidden="false" customHeight="true" outlineLevel="0" collapsed="false">
      <c r="A17" s="12" t="s">
        <v>143</v>
      </c>
      <c r="B17" s="14" t="s">
        <v>144</v>
      </c>
      <c r="C17" s="14" t="s">
        <v>145</v>
      </c>
      <c r="D17" s="14" t="s">
        <v>62</v>
      </c>
      <c r="E17" s="15" t="s">
        <v>142</v>
      </c>
    </row>
    <row r="18" customFormat="false" ht="23.25" hidden="false" customHeight="true" outlineLevel="0" collapsed="false">
      <c r="A18" s="12" t="s">
        <v>146</v>
      </c>
      <c r="B18" s="14" t="s">
        <v>147</v>
      </c>
      <c r="C18" s="14" t="s">
        <v>148</v>
      </c>
      <c r="D18" s="14" t="s">
        <v>62</v>
      </c>
      <c r="E18" s="15" t="s">
        <v>142</v>
      </c>
    </row>
    <row r="19" customFormat="false" ht="23.25" hidden="false" customHeight="true" outlineLevel="0" collapsed="false">
      <c r="A19" s="12" t="s">
        <v>149</v>
      </c>
      <c r="B19" s="14" t="s">
        <v>150</v>
      </c>
      <c r="C19" s="14" t="s">
        <v>151</v>
      </c>
      <c r="D19" s="14" t="s">
        <v>62</v>
      </c>
      <c r="E19" s="15" t="s">
        <v>142</v>
      </c>
    </row>
    <row r="20" customFormat="false" ht="15" hidden="false" customHeight="true" outlineLevel="0" collapsed="false">
      <c r="A20" s="12" t="s">
        <v>152</v>
      </c>
      <c r="B20" s="14" t="s">
        <v>153</v>
      </c>
      <c r="C20" s="14" t="s">
        <v>154</v>
      </c>
      <c r="D20" s="14" t="s">
        <v>62</v>
      </c>
      <c r="E20" s="15" t="s">
        <v>155</v>
      </c>
    </row>
    <row r="21" customFormat="false" ht="23.25" hidden="false" customHeight="true" outlineLevel="0" collapsed="false">
      <c r="A21" s="17" t="s">
        <v>156</v>
      </c>
      <c r="B21" s="18" t="s">
        <v>157</v>
      </c>
      <c r="C21" s="18" t="s">
        <v>158</v>
      </c>
      <c r="D21" s="18" t="s">
        <v>62</v>
      </c>
      <c r="E21" s="19" t="s">
        <v>142</v>
      </c>
    </row>
  </sheetData>
  <mergeCells count="3">
    <mergeCell ref="A1:L1"/>
    <mergeCell ref="A2:L2"/>
    <mergeCell ref="A3:E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N16" activeCellId="0" sqref="N16"/>
    </sheetView>
  </sheetViews>
  <sheetFormatPr defaultColWidth="8.58984375" defaultRowHeight="15" customHeight="false" zeroHeight="false" outlineLevelRow="0" outlineLevelCol="0"/>
  <cols>
    <col collapsed="false" customWidth="true" hidden="false" outlineLevel="0" max="1" min="1" style="1" width="11.11"/>
    <col collapsed="false" customWidth="true" hidden="false" outlineLevel="0" max="7" min="2" style="1" width="10.56"/>
    <col collapsed="false" customWidth="true" hidden="false" outlineLevel="0" max="8" min="8" style="1" width="11.11"/>
  </cols>
  <sheetData>
    <row r="1" customFormat="false" ht="27" hidden="false" customHeight="true" outlineLevel="0" collapsed="false">
      <c r="A1" s="2" t="s">
        <v>159</v>
      </c>
      <c r="B1" s="2"/>
      <c r="C1" s="2"/>
      <c r="D1" s="2"/>
      <c r="E1" s="2"/>
      <c r="F1" s="2"/>
      <c r="G1" s="2"/>
      <c r="H1" s="2"/>
      <c r="I1" s="2"/>
      <c r="J1" s="2"/>
      <c r="K1" s="2"/>
      <c r="L1" s="2"/>
    </row>
    <row r="2" customFormat="false" ht="36" hidden="false" customHeight="true" outlineLevel="0" collapsed="false">
      <c r="A2" s="3" t="s">
        <v>160</v>
      </c>
      <c r="B2" s="3"/>
      <c r="C2" s="3"/>
      <c r="D2" s="3"/>
      <c r="E2" s="3"/>
      <c r="F2" s="3"/>
      <c r="G2" s="3"/>
      <c r="H2" s="3"/>
      <c r="I2" s="3"/>
      <c r="J2" s="3"/>
      <c r="K2" s="3"/>
      <c r="L2" s="3"/>
    </row>
    <row r="3" customFormat="false" ht="15" hidden="false" customHeight="true" outlineLevel="0" collapsed="false">
      <c r="A3" s="20" t="s">
        <v>161</v>
      </c>
      <c r="B3" s="20"/>
      <c r="C3" s="20"/>
      <c r="D3" s="20"/>
      <c r="E3" s="20"/>
      <c r="F3" s="20"/>
      <c r="G3" s="20"/>
      <c r="H3" s="20"/>
      <c r="I3" s="20"/>
      <c r="J3" s="20"/>
      <c r="K3" s="20"/>
      <c r="L3" s="20"/>
    </row>
    <row r="4" customFormat="false" ht="23.65" hidden="false" customHeight="true" outlineLevel="0" collapsed="false">
      <c r="A4" s="48" t="s">
        <v>162</v>
      </c>
      <c r="B4" s="48"/>
      <c r="C4" s="48"/>
      <c r="D4" s="48"/>
      <c r="E4" s="48"/>
      <c r="F4" s="48"/>
      <c r="G4" s="48"/>
      <c r="H4" s="48"/>
      <c r="I4" s="48"/>
      <c r="J4" s="48"/>
      <c r="K4" s="48"/>
      <c r="L4" s="48"/>
    </row>
    <row r="5" customFormat="false" ht="57.2" hidden="false" customHeight="true" outlineLevel="0" collapsed="false">
      <c r="A5" s="31" t="s">
        <v>163</v>
      </c>
      <c r="B5" s="31"/>
      <c r="C5" s="31"/>
      <c r="D5" s="31"/>
      <c r="E5" s="31"/>
      <c r="F5" s="31"/>
      <c r="G5" s="31"/>
      <c r="H5" s="31"/>
      <c r="I5" s="31"/>
      <c r="J5" s="31"/>
      <c r="K5" s="31"/>
      <c r="L5" s="31"/>
    </row>
    <row r="6" customFormat="false" ht="15" hidden="false" customHeight="false" outlineLevel="0" collapsed="false">
      <c r="A6" s="32" t="s">
        <v>97</v>
      </c>
      <c r="B6" s="37"/>
      <c r="C6" s="37"/>
      <c r="D6" s="37"/>
      <c r="E6" s="37"/>
      <c r="F6" s="37"/>
      <c r="G6" s="37"/>
      <c r="H6" s="37"/>
      <c r="I6" s="38"/>
      <c r="J6" s="38"/>
      <c r="K6" s="38"/>
      <c r="L6" s="39"/>
    </row>
    <row r="7" customFormat="false" ht="15" hidden="false" customHeight="false" outlineLevel="0" collapsed="false">
      <c r="A7" s="36" t="s">
        <v>126</v>
      </c>
      <c r="B7" s="37"/>
      <c r="C7" s="37"/>
      <c r="D7" s="37"/>
      <c r="E7" s="37"/>
      <c r="F7" s="37"/>
      <c r="G7" s="37"/>
      <c r="H7" s="37"/>
      <c r="I7" s="38"/>
      <c r="J7" s="38"/>
      <c r="K7" s="38"/>
      <c r="L7" s="39"/>
    </row>
    <row r="8" customFormat="false" ht="15" hidden="false" customHeight="false" outlineLevel="0" collapsed="false">
      <c r="A8" s="40" t="s">
        <v>164</v>
      </c>
      <c r="B8" s="41"/>
      <c r="C8" s="41"/>
      <c r="D8" s="41"/>
      <c r="E8" s="41"/>
      <c r="F8" s="41"/>
      <c r="G8" s="41"/>
      <c r="H8" s="41"/>
      <c r="I8" s="42"/>
      <c r="J8" s="42"/>
      <c r="K8" s="42"/>
      <c r="L8" s="43"/>
    </row>
    <row r="15" customFormat="false" ht="15" hidden="false" customHeight="true" outlineLevel="0" collapsed="false">
      <c r="A15" s="21" t="s">
        <v>101</v>
      </c>
      <c r="B15" s="22" t="s">
        <v>139</v>
      </c>
      <c r="C15" s="22" t="s">
        <v>143</v>
      </c>
      <c r="D15" s="22" t="s">
        <v>146</v>
      </c>
      <c r="E15" s="22" t="s">
        <v>149</v>
      </c>
      <c r="F15" s="22" t="s">
        <v>152</v>
      </c>
      <c r="G15" s="22" t="s">
        <v>156</v>
      </c>
      <c r="H15" s="23" t="s">
        <v>132</v>
      </c>
    </row>
    <row r="16" customFormat="false" ht="15" hidden="false" customHeight="true" outlineLevel="0" collapsed="false">
      <c r="A16" s="8" t="s">
        <v>105</v>
      </c>
      <c r="B16" s="53" t="n">
        <v>0.25</v>
      </c>
      <c r="C16" s="53" t="n">
        <v>0.15</v>
      </c>
      <c r="D16" s="53" t="n">
        <v>0.25</v>
      </c>
      <c r="E16" s="53" t="n">
        <v>0.25</v>
      </c>
      <c r="F16" s="53" t="n">
        <v>0.05</v>
      </c>
      <c r="G16" s="53" t="n">
        <v>0.05</v>
      </c>
      <c r="H16" s="54" t="n">
        <f aca="false">SUM(B16:G16)</f>
        <v>1</v>
      </c>
    </row>
    <row r="17" customFormat="false" ht="15" hidden="false" customHeight="true" outlineLevel="0" collapsed="false">
      <c r="A17" s="12" t="s">
        <v>108</v>
      </c>
      <c r="B17" s="56" t="n">
        <v>0.3</v>
      </c>
      <c r="C17" s="56" t="n">
        <v>0.25</v>
      </c>
      <c r="D17" s="56" t="n">
        <v>0.22</v>
      </c>
      <c r="E17" s="56" t="n">
        <v>0.1</v>
      </c>
      <c r="F17" s="56" t="n">
        <v>0.08</v>
      </c>
      <c r="G17" s="56" t="n">
        <v>0.05</v>
      </c>
      <c r="H17" s="57" t="n">
        <f aca="false">SUM(B17:G17)</f>
        <v>1</v>
      </c>
    </row>
    <row r="18" customFormat="false" ht="15" hidden="false" customHeight="true" outlineLevel="0" collapsed="false">
      <c r="A18" s="12" t="s">
        <v>111</v>
      </c>
      <c r="B18" s="56" t="n">
        <v>0.05</v>
      </c>
      <c r="C18" s="56" t="n">
        <v>0.03</v>
      </c>
      <c r="D18" s="56" t="n">
        <v>0</v>
      </c>
      <c r="E18" s="56" t="n">
        <v>0.05</v>
      </c>
      <c r="F18" s="56" t="n">
        <v>0</v>
      </c>
      <c r="G18" s="56" t="n">
        <v>0.87</v>
      </c>
      <c r="H18" s="57" t="n">
        <f aca="false">SUM(B18:G18)</f>
        <v>1</v>
      </c>
    </row>
    <row r="19" customFormat="false" ht="15" hidden="false" customHeight="true" outlineLevel="0" collapsed="false">
      <c r="A19" s="17" t="s">
        <v>114</v>
      </c>
      <c r="B19" s="59" t="n">
        <v>0.1</v>
      </c>
      <c r="C19" s="59" t="n">
        <v>0.08</v>
      </c>
      <c r="D19" s="59" t="n">
        <v>0.15</v>
      </c>
      <c r="E19" s="59" t="n">
        <v>0.05</v>
      </c>
      <c r="F19" s="59" t="n">
        <v>0.6</v>
      </c>
      <c r="G19" s="59" t="n">
        <v>0.02</v>
      </c>
      <c r="H19" s="60" t="n">
        <f aca="false">SUM(B19:G19)</f>
        <v>1</v>
      </c>
    </row>
  </sheetData>
  <mergeCells count="5">
    <mergeCell ref="A1:L1"/>
    <mergeCell ref="A2:L2"/>
    <mergeCell ref="A3:L3"/>
    <mergeCell ref="A4:L4"/>
    <mergeCell ref="A5:L5"/>
  </mergeCells>
  <hyperlinks>
    <hyperlink ref="A7" r:id="rId1" display="CISA/FBI  Pro-Russia Hacktivists Conduct Opportunistic Attacks Against Critical Infrastructure"/>
    <hyperlink ref="A8" r:id="rId2" display="Verizon 2026 Data Breach Investigations Repor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O6" activeCellId="0" sqref="O6"/>
    </sheetView>
  </sheetViews>
  <sheetFormatPr defaultColWidth="8.58984375" defaultRowHeight="15" customHeight="false" zeroHeight="false" outlineLevelRow="0" outlineLevelCol="0"/>
  <cols>
    <col collapsed="false" customWidth="true" hidden="false" outlineLevel="0" max="1" min="1" style="1" width="13.34"/>
    <col collapsed="false" customWidth="true" hidden="false" outlineLevel="0" max="7" min="2" style="1" width="10.56"/>
    <col collapsed="false" customWidth="true" hidden="false" outlineLevel="0" max="8" min="8" style="1" width="11.11"/>
  </cols>
  <sheetData>
    <row r="1" customFormat="false" ht="27" hidden="false" customHeight="true" outlineLevel="0" collapsed="false">
      <c r="A1" s="2" t="s">
        <v>165</v>
      </c>
      <c r="B1" s="2"/>
      <c r="C1" s="2"/>
      <c r="D1" s="2"/>
      <c r="E1" s="2"/>
      <c r="F1" s="2"/>
      <c r="G1" s="2"/>
      <c r="H1" s="2"/>
      <c r="I1" s="2"/>
      <c r="J1" s="2"/>
      <c r="K1" s="2"/>
      <c r="L1" s="2"/>
    </row>
    <row r="2" customFormat="false" ht="36" hidden="false" customHeight="true" outlineLevel="0" collapsed="false">
      <c r="A2" s="3" t="s">
        <v>166</v>
      </c>
      <c r="B2" s="3"/>
      <c r="C2" s="3"/>
      <c r="D2" s="3"/>
      <c r="E2" s="3"/>
      <c r="F2" s="3"/>
      <c r="G2" s="3"/>
      <c r="H2" s="3"/>
      <c r="I2" s="3"/>
      <c r="J2" s="3"/>
      <c r="K2" s="3"/>
      <c r="L2" s="3"/>
    </row>
    <row r="3" customFormat="false" ht="48" hidden="false" customHeight="false" outlineLevel="0" collapsed="false">
      <c r="A3" s="61" t="s">
        <v>167</v>
      </c>
      <c r="B3" s="61"/>
      <c r="C3" s="61"/>
      <c r="D3" s="61"/>
      <c r="E3" s="61"/>
      <c r="F3" s="61"/>
      <c r="G3" s="61"/>
      <c r="H3" s="61"/>
      <c r="I3" s="61"/>
      <c r="J3" s="61"/>
      <c r="K3" s="61"/>
      <c r="L3" s="61"/>
    </row>
    <row r="4" customFormat="false" ht="15" hidden="false" customHeight="false" outlineLevel="0" collapsed="false">
      <c r="A4" s="61"/>
      <c r="B4" s="61"/>
      <c r="C4" s="61"/>
      <c r="D4" s="61"/>
      <c r="E4" s="61"/>
      <c r="F4" s="61"/>
      <c r="G4" s="61"/>
      <c r="H4" s="61"/>
      <c r="I4" s="61"/>
      <c r="J4" s="61"/>
      <c r="K4" s="61"/>
      <c r="L4" s="61"/>
    </row>
    <row r="5" customFormat="false" ht="23.65" hidden="false" customHeight="true" outlineLevel="0" collapsed="false">
      <c r="A5" s="48" t="s">
        <v>168</v>
      </c>
      <c r="B5" s="48"/>
      <c r="C5" s="48"/>
      <c r="D5" s="48"/>
      <c r="E5" s="48"/>
      <c r="F5" s="48"/>
      <c r="G5" s="48"/>
      <c r="H5" s="48"/>
      <c r="I5" s="48"/>
      <c r="J5" s="48"/>
      <c r="K5" s="48"/>
      <c r="L5" s="48"/>
    </row>
    <row r="6" customFormat="false" ht="68.4" hidden="false" customHeight="true" outlineLevel="0" collapsed="false">
      <c r="A6" s="31" t="s">
        <v>169</v>
      </c>
      <c r="B6" s="31"/>
      <c r="C6" s="31"/>
      <c r="D6" s="31"/>
      <c r="E6" s="31"/>
      <c r="F6" s="31"/>
      <c r="G6" s="31"/>
      <c r="H6" s="31"/>
      <c r="I6" s="31"/>
      <c r="J6" s="31"/>
      <c r="K6" s="31"/>
      <c r="L6" s="31"/>
    </row>
    <row r="7" customFormat="false" ht="15" hidden="false" customHeight="false" outlineLevel="0" collapsed="false">
      <c r="A7" s="62" t="s">
        <v>97</v>
      </c>
      <c r="B7" s="37"/>
      <c r="C7" s="37"/>
      <c r="D7" s="37"/>
      <c r="E7" s="37"/>
      <c r="F7" s="37"/>
      <c r="G7" s="37"/>
      <c r="H7" s="37"/>
      <c r="I7" s="63"/>
      <c r="J7" s="63"/>
      <c r="K7" s="63"/>
      <c r="L7" s="64"/>
    </row>
    <row r="8" customFormat="false" ht="15" hidden="false" customHeight="false" outlineLevel="0" collapsed="false">
      <c r="A8" s="36" t="s">
        <v>170</v>
      </c>
      <c r="B8" s="37"/>
      <c r="C8" s="37"/>
      <c r="D8" s="37"/>
      <c r="E8" s="37"/>
      <c r="F8" s="37"/>
      <c r="G8" s="37"/>
      <c r="H8" s="37"/>
      <c r="I8" s="38"/>
      <c r="J8" s="38"/>
      <c r="K8" s="38"/>
      <c r="L8" s="39"/>
    </row>
    <row r="9" customFormat="false" ht="15" hidden="false" customHeight="false" outlineLevel="0" collapsed="false">
      <c r="A9" s="40" t="s">
        <v>164</v>
      </c>
      <c r="B9" s="41"/>
      <c r="C9" s="41"/>
      <c r="D9" s="41"/>
      <c r="E9" s="41"/>
      <c r="F9" s="41"/>
      <c r="G9" s="41"/>
      <c r="H9" s="41"/>
      <c r="I9" s="42"/>
      <c r="J9" s="42"/>
      <c r="K9" s="42"/>
      <c r="L9" s="43"/>
    </row>
    <row r="15" customFormat="false" ht="15" hidden="false" customHeight="true" outlineLevel="0" collapsed="false">
      <c r="A15" s="21" t="s">
        <v>171</v>
      </c>
      <c r="B15" s="22" t="s">
        <v>139</v>
      </c>
      <c r="C15" s="22" t="s">
        <v>143</v>
      </c>
      <c r="D15" s="22" t="s">
        <v>146</v>
      </c>
      <c r="E15" s="22" t="s">
        <v>149</v>
      </c>
      <c r="F15" s="22" t="s">
        <v>152</v>
      </c>
      <c r="G15" s="22" t="s">
        <v>156</v>
      </c>
      <c r="H15" s="23" t="s">
        <v>132</v>
      </c>
    </row>
    <row r="16" customFormat="false" ht="15" hidden="false" customHeight="true" outlineLevel="0" collapsed="false">
      <c r="A16" s="8" t="s">
        <v>128</v>
      </c>
      <c r="B16" s="44" t="n">
        <v>0.15</v>
      </c>
      <c r="C16" s="44" t="n">
        <v>0.22</v>
      </c>
      <c r="D16" s="44" t="n">
        <v>0.23</v>
      </c>
      <c r="E16" s="44" t="n">
        <v>0.15</v>
      </c>
      <c r="F16" s="44" t="n">
        <v>0.2</v>
      </c>
      <c r="G16" s="44" t="n">
        <v>0.05</v>
      </c>
      <c r="H16" s="65" t="n">
        <f aca="false">SUM(B16:G16)</f>
        <v>1</v>
      </c>
    </row>
    <row r="17" customFormat="false" ht="15" hidden="false" customHeight="true" outlineLevel="0" collapsed="false">
      <c r="A17" s="12" t="s">
        <v>129</v>
      </c>
      <c r="B17" s="45" t="n">
        <v>0.3</v>
      </c>
      <c r="C17" s="45" t="n">
        <v>0.22</v>
      </c>
      <c r="D17" s="45" t="n">
        <v>0.23</v>
      </c>
      <c r="E17" s="45" t="n">
        <v>0.17</v>
      </c>
      <c r="F17" s="45" t="n">
        <v>0</v>
      </c>
      <c r="G17" s="45" t="n">
        <v>0.08</v>
      </c>
      <c r="H17" s="66" t="n">
        <f aca="false">SUM(B17:G17)</f>
        <v>1</v>
      </c>
    </row>
    <row r="18" customFormat="false" ht="15" hidden="false" customHeight="true" outlineLevel="0" collapsed="false">
      <c r="A18" s="12" t="s">
        <v>130</v>
      </c>
      <c r="B18" s="45" t="n">
        <v>0.22</v>
      </c>
      <c r="C18" s="45" t="n">
        <v>0.15</v>
      </c>
      <c r="D18" s="45" t="n">
        <v>0.2</v>
      </c>
      <c r="E18" s="45" t="n">
        <v>0.2</v>
      </c>
      <c r="F18" s="45" t="n">
        <v>0</v>
      </c>
      <c r="G18" s="45" t="n">
        <v>0.23</v>
      </c>
      <c r="H18" s="66" t="n">
        <f aca="false">SUM(B18:G18)</f>
        <v>1</v>
      </c>
    </row>
    <row r="19" customFormat="false" ht="15" hidden="false" customHeight="true" outlineLevel="0" collapsed="false">
      <c r="A19" s="17" t="s">
        <v>131</v>
      </c>
      <c r="B19" s="46" t="n">
        <v>0.35</v>
      </c>
      <c r="C19" s="46" t="n">
        <v>0.15</v>
      </c>
      <c r="D19" s="46" t="n">
        <v>0.12</v>
      </c>
      <c r="E19" s="46" t="n">
        <v>0.1</v>
      </c>
      <c r="F19" s="46" t="n">
        <v>0</v>
      </c>
      <c r="G19" s="46" t="n">
        <v>0.28</v>
      </c>
      <c r="H19" s="67" t="n">
        <f aca="false">SUM(B19:G19)</f>
        <v>1</v>
      </c>
    </row>
  </sheetData>
  <mergeCells count="5">
    <mergeCell ref="A1:L1"/>
    <mergeCell ref="A2:L2"/>
    <mergeCell ref="A3:L4"/>
    <mergeCell ref="A5:L5"/>
    <mergeCell ref="A6:L6"/>
  </mergeCells>
  <hyperlinks>
    <hyperlink ref="A8" r:id="rId1" display="MITRE ATT&amp;CK Enterprise Matrix (Impact tactic)"/>
    <hyperlink ref="A9" r:id="rId2" display="Verizon 2026 Data Breach Investigations Repor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G8" activeCellId="0" sqref="G8"/>
    </sheetView>
  </sheetViews>
  <sheetFormatPr defaultColWidth="8.58984375" defaultRowHeight="15" customHeight="false" zeroHeight="false" outlineLevelRow="0" outlineLevelCol="0"/>
  <cols>
    <col collapsed="false" customWidth="true" hidden="false" outlineLevel="0" max="1" min="1" style="1" width="10"/>
    <col collapsed="false" customWidth="true" hidden="false" outlineLevel="0" max="2" min="2" style="1" width="12.22"/>
    <col collapsed="false" customWidth="true" hidden="false" outlineLevel="0" max="3" min="3" style="1" width="10"/>
    <col collapsed="false" customWidth="true" hidden="false" outlineLevel="0" max="8" min="4" style="1" width="6.11"/>
    <col collapsed="false" customWidth="true" hidden="false" outlineLevel="0" max="9" min="9" style="1" width="45.56"/>
    <col collapsed="false" customWidth="true" hidden="false" outlineLevel="0" max="10" min="10" style="1" width="11.11"/>
    <col collapsed="false" customWidth="true" hidden="false" outlineLevel="0" max="11" min="11" style="1" width="12.22"/>
    <col collapsed="false" customWidth="true" hidden="false" outlineLevel="0" max="12" min="12" style="1" width="23.33"/>
  </cols>
  <sheetData>
    <row r="1" customFormat="false" ht="27" hidden="false" customHeight="true" outlineLevel="0" collapsed="false">
      <c r="A1" s="2" t="s">
        <v>172</v>
      </c>
      <c r="B1" s="2"/>
      <c r="C1" s="2"/>
      <c r="D1" s="2"/>
      <c r="E1" s="2"/>
      <c r="F1" s="2"/>
      <c r="G1" s="2"/>
      <c r="H1" s="2"/>
      <c r="I1" s="2"/>
      <c r="J1" s="2"/>
      <c r="K1" s="2"/>
      <c r="L1" s="2"/>
    </row>
    <row r="2" customFormat="false" ht="36" hidden="false" customHeight="true" outlineLevel="0" collapsed="false">
      <c r="A2" s="3" t="s">
        <v>173</v>
      </c>
      <c r="B2" s="3"/>
      <c r="C2" s="3"/>
      <c r="D2" s="3"/>
      <c r="E2" s="3"/>
      <c r="F2" s="3"/>
      <c r="G2" s="3"/>
      <c r="H2" s="3"/>
      <c r="I2" s="3"/>
      <c r="J2" s="3"/>
      <c r="K2" s="3"/>
      <c r="L2" s="3"/>
    </row>
    <row r="3" customFormat="false" ht="48" hidden="false" customHeight="true" outlineLevel="0" collapsed="false">
      <c r="A3" s="20" t="s">
        <v>174</v>
      </c>
      <c r="B3" s="20"/>
      <c r="C3" s="20"/>
      <c r="D3" s="20"/>
      <c r="E3" s="20"/>
      <c r="F3" s="20"/>
      <c r="G3" s="20"/>
      <c r="H3" s="20"/>
      <c r="I3" s="20"/>
      <c r="J3" s="20"/>
      <c r="K3" s="20"/>
      <c r="L3" s="20"/>
    </row>
    <row r="15" customFormat="false" ht="23.25" hidden="false" customHeight="true" outlineLevel="0" collapsed="false">
      <c r="A15" s="21" t="s">
        <v>136</v>
      </c>
      <c r="B15" s="22" t="s">
        <v>171</v>
      </c>
      <c r="C15" s="22" t="s">
        <v>101</v>
      </c>
      <c r="D15" s="22" t="s">
        <v>175</v>
      </c>
      <c r="E15" s="22" t="s">
        <v>176</v>
      </c>
      <c r="F15" s="22" t="s">
        <v>177</v>
      </c>
      <c r="G15" s="22" t="s">
        <v>178</v>
      </c>
      <c r="H15" s="22" t="s">
        <v>179</v>
      </c>
      <c r="I15" s="22" t="s">
        <v>180</v>
      </c>
      <c r="J15" s="22" t="s">
        <v>33</v>
      </c>
      <c r="K15" s="22" t="s">
        <v>34</v>
      </c>
      <c r="L15" s="23" t="s">
        <v>181</v>
      </c>
    </row>
    <row r="16" customFormat="false" ht="23.25" hidden="false" customHeight="true" outlineLevel="0" collapsed="false">
      <c r="A16" s="8" t="s">
        <v>139</v>
      </c>
      <c r="B16" s="10" t="s">
        <v>128</v>
      </c>
      <c r="C16" s="10" t="s">
        <v>182</v>
      </c>
      <c r="D16" s="68" t="n">
        <v>1</v>
      </c>
      <c r="E16" s="68" t="n">
        <v>0</v>
      </c>
      <c r="F16" s="68" t="n">
        <v>1</v>
      </c>
      <c r="G16" s="68" t="n">
        <v>1</v>
      </c>
      <c r="H16" s="68" t="n">
        <v>1</v>
      </c>
      <c r="I16" s="10" t="s">
        <v>183</v>
      </c>
      <c r="J16" s="10" t="s">
        <v>38</v>
      </c>
      <c r="K16" s="10" t="s">
        <v>39</v>
      </c>
      <c r="L16" s="11" t="s">
        <v>184</v>
      </c>
    </row>
    <row r="17" customFormat="false" ht="23.25" hidden="false" customHeight="true" outlineLevel="0" collapsed="false">
      <c r="A17" s="12" t="s">
        <v>139</v>
      </c>
      <c r="B17" s="14" t="s">
        <v>129</v>
      </c>
      <c r="C17" s="14" t="s">
        <v>182</v>
      </c>
      <c r="D17" s="69" t="n">
        <v>1</v>
      </c>
      <c r="E17" s="69" t="n">
        <v>0</v>
      </c>
      <c r="F17" s="69" t="n">
        <v>1</v>
      </c>
      <c r="G17" s="69" t="n">
        <v>1</v>
      </c>
      <c r="H17" s="69" t="n">
        <v>1</v>
      </c>
      <c r="I17" s="14" t="s">
        <v>183</v>
      </c>
      <c r="J17" s="14" t="s">
        <v>38</v>
      </c>
      <c r="K17" s="14" t="s">
        <v>39</v>
      </c>
      <c r="L17" s="15" t="s">
        <v>184</v>
      </c>
    </row>
    <row r="18" customFormat="false" ht="23.25" hidden="false" customHeight="true" outlineLevel="0" collapsed="false">
      <c r="A18" s="12" t="s">
        <v>139</v>
      </c>
      <c r="B18" s="14" t="s">
        <v>130</v>
      </c>
      <c r="C18" s="14" t="s">
        <v>182</v>
      </c>
      <c r="D18" s="69" t="n">
        <v>1</v>
      </c>
      <c r="E18" s="69" t="n">
        <v>0</v>
      </c>
      <c r="F18" s="69" t="n">
        <v>1</v>
      </c>
      <c r="G18" s="69" t="n">
        <v>1</v>
      </c>
      <c r="H18" s="69" t="n">
        <v>1</v>
      </c>
      <c r="I18" s="14" t="s">
        <v>183</v>
      </c>
      <c r="J18" s="14" t="s">
        <v>38</v>
      </c>
      <c r="K18" s="14" t="s">
        <v>39</v>
      </c>
      <c r="L18" s="15" t="s">
        <v>184</v>
      </c>
    </row>
    <row r="19" customFormat="false" ht="23.25" hidden="false" customHeight="true" outlineLevel="0" collapsed="false">
      <c r="A19" s="12" t="s">
        <v>139</v>
      </c>
      <c r="B19" s="14" t="s">
        <v>131</v>
      </c>
      <c r="C19" s="14" t="s">
        <v>182</v>
      </c>
      <c r="D19" s="69" t="n">
        <v>1</v>
      </c>
      <c r="E19" s="69" t="n">
        <v>0</v>
      </c>
      <c r="F19" s="69" t="n">
        <v>1</v>
      </c>
      <c r="G19" s="69" t="n">
        <v>0</v>
      </c>
      <c r="H19" s="69" t="n">
        <v>1</v>
      </c>
      <c r="I19" s="14" t="s">
        <v>183</v>
      </c>
      <c r="J19" s="14" t="s">
        <v>38</v>
      </c>
      <c r="K19" s="14" t="s">
        <v>39</v>
      </c>
      <c r="L19" s="15" t="s">
        <v>184</v>
      </c>
    </row>
    <row r="20" customFormat="false" ht="23.25" hidden="false" customHeight="true" outlineLevel="0" collapsed="false">
      <c r="A20" s="12" t="s">
        <v>143</v>
      </c>
      <c r="B20" s="14" t="s">
        <v>128</v>
      </c>
      <c r="C20" s="14" t="s">
        <v>182</v>
      </c>
      <c r="D20" s="69" t="n">
        <v>1</v>
      </c>
      <c r="E20" s="69" t="n">
        <v>1</v>
      </c>
      <c r="F20" s="69" t="n">
        <v>1</v>
      </c>
      <c r="G20" s="69" t="n">
        <v>1</v>
      </c>
      <c r="H20" s="69" t="n">
        <v>1</v>
      </c>
      <c r="I20" s="14" t="s">
        <v>183</v>
      </c>
      <c r="J20" s="14" t="s">
        <v>38</v>
      </c>
      <c r="K20" s="14" t="s">
        <v>39</v>
      </c>
      <c r="L20" s="15" t="s">
        <v>184</v>
      </c>
    </row>
    <row r="21" customFormat="false" ht="23.25" hidden="false" customHeight="true" outlineLevel="0" collapsed="false">
      <c r="A21" s="12" t="s">
        <v>143</v>
      </c>
      <c r="B21" s="14" t="s">
        <v>129</v>
      </c>
      <c r="C21" s="14" t="s">
        <v>182</v>
      </c>
      <c r="D21" s="69" t="n">
        <v>1</v>
      </c>
      <c r="E21" s="69" t="n">
        <v>1</v>
      </c>
      <c r="F21" s="69" t="n">
        <v>1</v>
      </c>
      <c r="G21" s="69" t="n">
        <v>1</v>
      </c>
      <c r="H21" s="69" t="n">
        <v>1</v>
      </c>
      <c r="I21" s="14" t="s">
        <v>183</v>
      </c>
      <c r="J21" s="14" t="s">
        <v>38</v>
      </c>
      <c r="K21" s="14" t="s">
        <v>39</v>
      </c>
      <c r="L21" s="15" t="s">
        <v>184</v>
      </c>
    </row>
    <row r="22" customFormat="false" ht="23.25" hidden="false" customHeight="true" outlineLevel="0" collapsed="false">
      <c r="A22" s="12" t="s">
        <v>143</v>
      </c>
      <c r="B22" s="14" t="s">
        <v>130</v>
      </c>
      <c r="C22" s="14" t="s">
        <v>182</v>
      </c>
      <c r="D22" s="69" t="n">
        <v>1</v>
      </c>
      <c r="E22" s="69" t="n">
        <v>1</v>
      </c>
      <c r="F22" s="69" t="n">
        <v>1</v>
      </c>
      <c r="G22" s="69" t="n">
        <v>1</v>
      </c>
      <c r="H22" s="69" t="n">
        <v>1</v>
      </c>
      <c r="I22" s="14" t="s">
        <v>183</v>
      </c>
      <c r="J22" s="14" t="s">
        <v>38</v>
      </c>
      <c r="K22" s="14" t="s">
        <v>39</v>
      </c>
      <c r="L22" s="15" t="s">
        <v>184</v>
      </c>
    </row>
    <row r="23" customFormat="false" ht="23.25" hidden="false" customHeight="true" outlineLevel="0" collapsed="false">
      <c r="A23" s="12" t="s">
        <v>143</v>
      </c>
      <c r="B23" s="14" t="s">
        <v>131</v>
      </c>
      <c r="C23" s="14" t="s">
        <v>182</v>
      </c>
      <c r="D23" s="69" t="n">
        <v>1</v>
      </c>
      <c r="E23" s="69" t="n">
        <v>1</v>
      </c>
      <c r="F23" s="69" t="n">
        <v>0</v>
      </c>
      <c r="G23" s="69" t="n">
        <v>0</v>
      </c>
      <c r="H23" s="69" t="n">
        <v>1</v>
      </c>
      <c r="I23" s="14" t="s">
        <v>183</v>
      </c>
      <c r="J23" s="14" t="s">
        <v>38</v>
      </c>
      <c r="K23" s="14" t="s">
        <v>39</v>
      </c>
      <c r="L23" s="15" t="s">
        <v>184</v>
      </c>
    </row>
    <row r="24" customFormat="false" ht="23.25" hidden="false" customHeight="true" outlineLevel="0" collapsed="false">
      <c r="A24" s="12" t="s">
        <v>146</v>
      </c>
      <c r="B24" s="14" t="s">
        <v>128</v>
      </c>
      <c r="C24" s="14" t="s">
        <v>182</v>
      </c>
      <c r="D24" s="69" t="n">
        <v>1</v>
      </c>
      <c r="E24" s="69" t="n">
        <v>1</v>
      </c>
      <c r="F24" s="69" t="n">
        <v>1</v>
      </c>
      <c r="G24" s="69" t="n">
        <v>1</v>
      </c>
      <c r="H24" s="69" t="n">
        <v>1</v>
      </c>
      <c r="I24" s="14" t="s">
        <v>183</v>
      </c>
      <c r="J24" s="14" t="s">
        <v>38</v>
      </c>
      <c r="K24" s="14" t="s">
        <v>39</v>
      </c>
      <c r="L24" s="15" t="s">
        <v>184</v>
      </c>
    </row>
    <row r="25" customFormat="false" ht="23.25" hidden="false" customHeight="true" outlineLevel="0" collapsed="false">
      <c r="A25" s="12" t="s">
        <v>146</v>
      </c>
      <c r="B25" s="14" t="s">
        <v>129</v>
      </c>
      <c r="C25" s="14" t="s">
        <v>182</v>
      </c>
      <c r="D25" s="69" t="n">
        <v>1</v>
      </c>
      <c r="E25" s="69" t="n">
        <v>1</v>
      </c>
      <c r="F25" s="69" t="n">
        <v>1</v>
      </c>
      <c r="G25" s="69" t="n">
        <v>1</v>
      </c>
      <c r="H25" s="69" t="n">
        <v>1</v>
      </c>
      <c r="I25" s="14" t="s">
        <v>183</v>
      </c>
      <c r="J25" s="14" t="s">
        <v>38</v>
      </c>
      <c r="K25" s="14" t="s">
        <v>39</v>
      </c>
      <c r="L25" s="15" t="s">
        <v>184</v>
      </c>
    </row>
    <row r="26" customFormat="false" ht="23.25" hidden="false" customHeight="true" outlineLevel="0" collapsed="false">
      <c r="A26" s="12" t="s">
        <v>146</v>
      </c>
      <c r="B26" s="14" t="s">
        <v>130</v>
      </c>
      <c r="C26" s="14" t="s">
        <v>182</v>
      </c>
      <c r="D26" s="69" t="n">
        <v>1</v>
      </c>
      <c r="E26" s="69" t="n">
        <v>1</v>
      </c>
      <c r="F26" s="69" t="n">
        <v>1</v>
      </c>
      <c r="G26" s="69" t="n">
        <v>1</v>
      </c>
      <c r="H26" s="69" t="n">
        <v>1</v>
      </c>
      <c r="I26" s="14" t="s">
        <v>183</v>
      </c>
      <c r="J26" s="14" t="s">
        <v>38</v>
      </c>
      <c r="K26" s="14" t="s">
        <v>39</v>
      </c>
      <c r="L26" s="15" t="s">
        <v>184</v>
      </c>
    </row>
    <row r="27" customFormat="false" ht="23.25" hidden="false" customHeight="true" outlineLevel="0" collapsed="false">
      <c r="A27" s="12" t="s">
        <v>146</v>
      </c>
      <c r="B27" s="14" t="s">
        <v>131</v>
      </c>
      <c r="C27" s="14" t="s">
        <v>182</v>
      </c>
      <c r="D27" s="69" t="n">
        <v>1</v>
      </c>
      <c r="E27" s="69" t="n">
        <v>1</v>
      </c>
      <c r="F27" s="69" t="n">
        <v>1</v>
      </c>
      <c r="G27" s="69" t="n">
        <v>1</v>
      </c>
      <c r="H27" s="69" t="n">
        <v>1</v>
      </c>
      <c r="I27" s="14" t="s">
        <v>183</v>
      </c>
      <c r="J27" s="14" t="s">
        <v>38</v>
      </c>
      <c r="K27" s="14" t="s">
        <v>39</v>
      </c>
      <c r="L27" s="15" t="s">
        <v>184</v>
      </c>
    </row>
    <row r="28" customFormat="false" ht="23.25" hidden="false" customHeight="true" outlineLevel="0" collapsed="false">
      <c r="A28" s="12" t="s">
        <v>149</v>
      </c>
      <c r="B28" s="14" t="s">
        <v>128</v>
      </c>
      <c r="C28" s="14" t="s">
        <v>182</v>
      </c>
      <c r="D28" s="69" t="n">
        <v>0</v>
      </c>
      <c r="E28" s="69" t="n">
        <v>0</v>
      </c>
      <c r="F28" s="69" t="n">
        <v>1</v>
      </c>
      <c r="G28" s="69" t="n">
        <v>1</v>
      </c>
      <c r="H28" s="69" t="n">
        <v>1</v>
      </c>
      <c r="I28" s="14" t="s">
        <v>183</v>
      </c>
      <c r="J28" s="14" t="s">
        <v>38</v>
      </c>
      <c r="K28" s="14" t="s">
        <v>39</v>
      </c>
      <c r="L28" s="15" t="s">
        <v>184</v>
      </c>
    </row>
    <row r="29" customFormat="false" ht="23.25" hidden="false" customHeight="true" outlineLevel="0" collapsed="false">
      <c r="A29" s="12" t="s">
        <v>149</v>
      </c>
      <c r="B29" s="14" t="s">
        <v>129</v>
      </c>
      <c r="C29" s="14" t="s">
        <v>182</v>
      </c>
      <c r="D29" s="69" t="n">
        <v>0</v>
      </c>
      <c r="E29" s="69" t="n">
        <v>0</v>
      </c>
      <c r="F29" s="69" t="n">
        <v>1</v>
      </c>
      <c r="G29" s="69" t="n">
        <v>1</v>
      </c>
      <c r="H29" s="69" t="n">
        <v>1</v>
      </c>
      <c r="I29" s="14" t="s">
        <v>183</v>
      </c>
      <c r="J29" s="14" t="s">
        <v>38</v>
      </c>
      <c r="K29" s="14" t="s">
        <v>39</v>
      </c>
      <c r="L29" s="15" t="s">
        <v>184</v>
      </c>
    </row>
    <row r="30" customFormat="false" ht="23.25" hidden="false" customHeight="true" outlineLevel="0" collapsed="false">
      <c r="A30" s="12" t="s">
        <v>149</v>
      </c>
      <c r="B30" s="14" t="s">
        <v>130</v>
      </c>
      <c r="C30" s="14" t="s">
        <v>182</v>
      </c>
      <c r="D30" s="69" t="n">
        <v>0</v>
      </c>
      <c r="E30" s="69" t="n">
        <v>0</v>
      </c>
      <c r="F30" s="69" t="n">
        <v>1</v>
      </c>
      <c r="G30" s="69" t="n">
        <v>1</v>
      </c>
      <c r="H30" s="69" t="n">
        <v>1</v>
      </c>
      <c r="I30" s="14" t="s">
        <v>183</v>
      </c>
      <c r="J30" s="14" t="s">
        <v>38</v>
      </c>
      <c r="K30" s="14" t="s">
        <v>39</v>
      </c>
      <c r="L30" s="15" t="s">
        <v>184</v>
      </c>
    </row>
    <row r="31" customFormat="false" ht="23.25" hidden="false" customHeight="true" outlineLevel="0" collapsed="false">
      <c r="A31" s="12" t="s">
        <v>149</v>
      </c>
      <c r="B31" s="14" t="s">
        <v>131</v>
      </c>
      <c r="C31" s="14" t="s">
        <v>182</v>
      </c>
      <c r="D31" s="69" t="n">
        <v>0</v>
      </c>
      <c r="E31" s="69" t="n">
        <v>0</v>
      </c>
      <c r="F31" s="69" t="n">
        <v>1</v>
      </c>
      <c r="G31" s="69" t="n">
        <v>1</v>
      </c>
      <c r="H31" s="69" t="n">
        <v>1</v>
      </c>
      <c r="I31" s="14" t="s">
        <v>183</v>
      </c>
      <c r="J31" s="14" t="s">
        <v>38</v>
      </c>
      <c r="K31" s="14" t="s">
        <v>39</v>
      </c>
      <c r="L31" s="15" t="s">
        <v>184</v>
      </c>
    </row>
    <row r="32" customFormat="false" ht="23.25" hidden="false" customHeight="true" outlineLevel="0" collapsed="false">
      <c r="A32" s="12" t="s">
        <v>152</v>
      </c>
      <c r="B32" s="14" t="s">
        <v>128</v>
      </c>
      <c r="C32" s="14" t="s">
        <v>182</v>
      </c>
      <c r="D32" s="69" t="n">
        <v>1</v>
      </c>
      <c r="E32" s="69" t="n">
        <v>0</v>
      </c>
      <c r="F32" s="69" t="n">
        <v>0</v>
      </c>
      <c r="G32" s="69" t="n">
        <v>0</v>
      </c>
      <c r="H32" s="69" t="n">
        <v>1</v>
      </c>
      <c r="I32" s="14" t="s">
        <v>183</v>
      </c>
      <c r="J32" s="14" t="s">
        <v>38</v>
      </c>
      <c r="K32" s="14" t="s">
        <v>39</v>
      </c>
      <c r="L32" s="15" t="s">
        <v>184</v>
      </c>
    </row>
    <row r="33" customFormat="false" ht="23.25" hidden="false" customHeight="true" outlineLevel="0" collapsed="false">
      <c r="A33" s="12" t="s">
        <v>152</v>
      </c>
      <c r="B33" s="14" t="s">
        <v>129</v>
      </c>
      <c r="C33" s="14" t="s">
        <v>182</v>
      </c>
      <c r="D33" s="69" t="n">
        <v>0</v>
      </c>
      <c r="E33" s="69" t="n">
        <v>0</v>
      </c>
      <c r="F33" s="69" t="n">
        <v>0</v>
      </c>
      <c r="G33" s="69" t="n">
        <v>0</v>
      </c>
      <c r="H33" s="69" t="n">
        <v>0</v>
      </c>
      <c r="I33" s="14" t="s">
        <v>183</v>
      </c>
      <c r="J33" s="14" t="s">
        <v>38</v>
      </c>
      <c r="K33" s="14" t="s">
        <v>39</v>
      </c>
      <c r="L33" s="15" t="s">
        <v>184</v>
      </c>
    </row>
    <row r="34" customFormat="false" ht="23.25" hidden="false" customHeight="true" outlineLevel="0" collapsed="false">
      <c r="A34" s="12" t="s">
        <v>152</v>
      </c>
      <c r="B34" s="14" t="s">
        <v>130</v>
      </c>
      <c r="C34" s="14" t="s">
        <v>182</v>
      </c>
      <c r="D34" s="69" t="n">
        <v>0</v>
      </c>
      <c r="E34" s="69" t="n">
        <v>0</v>
      </c>
      <c r="F34" s="69" t="n">
        <v>0</v>
      </c>
      <c r="G34" s="69" t="n">
        <v>0</v>
      </c>
      <c r="H34" s="69" t="n">
        <v>0</v>
      </c>
      <c r="I34" s="14" t="s">
        <v>183</v>
      </c>
      <c r="J34" s="14" t="s">
        <v>38</v>
      </c>
      <c r="K34" s="14" t="s">
        <v>39</v>
      </c>
      <c r="L34" s="15" t="s">
        <v>184</v>
      </c>
    </row>
    <row r="35" customFormat="false" ht="23.25" hidden="false" customHeight="true" outlineLevel="0" collapsed="false">
      <c r="A35" s="12" t="s">
        <v>152</v>
      </c>
      <c r="B35" s="14" t="s">
        <v>131</v>
      </c>
      <c r="C35" s="14" t="s">
        <v>182</v>
      </c>
      <c r="D35" s="69" t="n">
        <v>0</v>
      </c>
      <c r="E35" s="69" t="n">
        <v>0</v>
      </c>
      <c r="F35" s="69" t="n">
        <v>0</v>
      </c>
      <c r="G35" s="69" t="n">
        <v>0</v>
      </c>
      <c r="H35" s="69" t="n">
        <v>0</v>
      </c>
      <c r="I35" s="14" t="s">
        <v>183</v>
      </c>
      <c r="J35" s="14" t="s">
        <v>38</v>
      </c>
      <c r="K35" s="14" t="s">
        <v>39</v>
      </c>
      <c r="L35" s="15" t="s">
        <v>184</v>
      </c>
    </row>
    <row r="36" customFormat="false" ht="23.25" hidden="false" customHeight="true" outlineLevel="0" collapsed="false">
      <c r="A36" s="12" t="s">
        <v>156</v>
      </c>
      <c r="B36" s="14" t="s">
        <v>128</v>
      </c>
      <c r="C36" s="14" t="s">
        <v>182</v>
      </c>
      <c r="D36" s="69" t="n">
        <v>0</v>
      </c>
      <c r="E36" s="69" t="n">
        <v>0</v>
      </c>
      <c r="F36" s="69" t="n">
        <v>1</v>
      </c>
      <c r="G36" s="69" t="n">
        <v>1</v>
      </c>
      <c r="H36" s="69" t="n">
        <v>1</v>
      </c>
      <c r="I36" s="14" t="s">
        <v>183</v>
      </c>
      <c r="J36" s="14" t="s">
        <v>38</v>
      </c>
      <c r="K36" s="14" t="s">
        <v>39</v>
      </c>
      <c r="L36" s="15" t="s">
        <v>184</v>
      </c>
    </row>
    <row r="37" customFormat="false" ht="23.25" hidden="false" customHeight="true" outlineLevel="0" collapsed="false">
      <c r="A37" s="12" t="s">
        <v>156</v>
      </c>
      <c r="B37" s="14" t="s">
        <v>129</v>
      </c>
      <c r="C37" s="14" t="s">
        <v>182</v>
      </c>
      <c r="D37" s="69" t="n">
        <v>0</v>
      </c>
      <c r="E37" s="69" t="n">
        <v>0</v>
      </c>
      <c r="F37" s="69" t="n">
        <v>1</v>
      </c>
      <c r="G37" s="69" t="n">
        <v>1</v>
      </c>
      <c r="H37" s="69" t="n">
        <v>1</v>
      </c>
      <c r="I37" s="14" t="s">
        <v>183</v>
      </c>
      <c r="J37" s="14" t="s">
        <v>38</v>
      </c>
      <c r="K37" s="14" t="s">
        <v>39</v>
      </c>
      <c r="L37" s="15" t="s">
        <v>184</v>
      </c>
    </row>
    <row r="38" customFormat="false" ht="23.25" hidden="false" customHeight="true" outlineLevel="0" collapsed="false">
      <c r="A38" s="12" t="s">
        <v>156</v>
      </c>
      <c r="B38" s="14" t="s">
        <v>130</v>
      </c>
      <c r="C38" s="14" t="s">
        <v>182</v>
      </c>
      <c r="D38" s="69" t="n">
        <v>0</v>
      </c>
      <c r="E38" s="69" t="n">
        <v>0</v>
      </c>
      <c r="F38" s="69" t="n">
        <v>1</v>
      </c>
      <c r="G38" s="69" t="n">
        <v>1</v>
      </c>
      <c r="H38" s="69" t="n">
        <v>1</v>
      </c>
      <c r="I38" s="14" t="s">
        <v>183</v>
      </c>
      <c r="J38" s="14" t="s">
        <v>38</v>
      </c>
      <c r="K38" s="14" t="s">
        <v>39</v>
      </c>
      <c r="L38" s="15" t="s">
        <v>184</v>
      </c>
    </row>
    <row r="39" customFormat="false" ht="23.25" hidden="false" customHeight="true" outlineLevel="0" collapsed="false">
      <c r="A39" s="17" t="s">
        <v>156</v>
      </c>
      <c r="B39" s="18" t="s">
        <v>131</v>
      </c>
      <c r="C39" s="18" t="s">
        <v>182</v>
      </c>
      <c r="D39" s="70" t="n">
        <v>0</v>
      </c>
      <c r="E39" s="70" t="n">
        <v>0</v>
      </c>
      <c r="F39" s="70" t="n">
        <v>1</v>
      </c>
      <c r="G39" s="70" t="n">
        <v>0</v>
      </c>
      <c r="H39" s="70" t="n">
        <v>1</v>
      </c>
      <c r="I39" s="18" t="s">
        <v>183</v>
      </c>
      <c r="J39" s="18" t="s">
        <v>38</v>
      </c>
      <c r="K39" s="18" t="s">
        <v>39</v>
      </c>
      <c r="L39" s="19" t="s">
        <v>184</v>
      </c>
    </row>
  </sheetData>
  <mergeCells count="3">
    <mergeCell ref="A1:L1"/>
    <mergeCell ref="A2:L2"/>
    <mergeCell ref="A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6" activeCellId="0" sqref="E16"/>
    </sheetView>
  </sheetViews>
  <sheetFormatPr defaultColWidth="8.58984375" defaultRowHeight="15" customHeight="false"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7" min="3" style="1" width="8.89"/>
  </cols>
  <sheetData>
    <row r="1" customFormat="false" ht="27" hidden="false" customHeight="true" outlineLevel="0" collapsed="false">
      <c r="A1" s="2" t="s">
        <v>185</v>
      </c>
      <c r="B1" s="2"/>
      <c r="C1" s="2"/>
      <c r="D1" s="2"/>
      <c r="E1" s="2"/>
      <c r="F1" s="2"/>
      <c r="G1" s="2"/>
      <c r="H1" s="2"/>
      <c r="I1" s="2"/>
      <c r="J1" s="2"/>
      <c r="K1" s="2"/>
      <c r="L1" s="2"/>
    </row>
    <row r="2" customFormat="false" ht="36" hidden="false" customHeight="true" outlineLevel="0" collapsed="false">
      <c r="A2" s="3" t="s">
        <v>186</v>
      </c>
      <c r="B2" s="3"/>
      <c r="C2" s="3"/>
      <c r="D2" s="3"/>
      <c r="E2" s="3"/>
      <c r="F2" s="3"/>
      <c r="G2" s="3"/>
      <c r="H2" s="3"/>
      <c r="I2" s="3"/>
      <c r="J2" s="3"/>
      <c r="K2" s="3"/>
      <c r="L2" s="3"/>
    </row>
    <row r="3" customFormat="false" ht="48" hidden="false" customHeight="true" outlineLevel="0" collapsed="false">
      <c r="A3" s="20" t="s">
        <v>187</v>
      </c>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15" customFormat="false" ht="15" hidden="false" customHeight="true" outlineLevel="0" collapsed="false">
      <c r="A15" s="21" t="s">
        <v>136</v>
      </c>
      <c r="B15" s="22" t="s">
        <v>188</v>
      </c>
      <c r="C15" s="22" t="s">
        <v>175</v>
      </c>
      <c r="D15" s="22" t="s">
        <v>176</v>
      </c>
      <c r="E15" s="22" t="s">
        <v>177</v>
      </c>
      <c r="F15" s="22" t="s">
        <v>178</v>
      </c>
      <c r="G15" s="23" t="s">
        <v>179</v>
      </c>
    </row>
    <row r="16" customFormat="false" ht="23.25" hidden="false" customHeight="true" outlineLevel="0" collapsed="false">
      <c r="A16" s="8" t="s">
        <v>139</v>
      </c>
      <c r="B16" s="10" t="s">
        <v>140</v>
      </c>
      <c r="C16" s="44" t="n">
        <v>0.3</v>
      </c>
      <c r="D16" s="44" t="n">
        <v>1</v>
      </c>
      <c r="E16" s="44" t="n">
        <v>0.55</v>
      </c>
      <c r="F16" s="44" t="n">
        <v>0.55</v>
      </c>
      <c r="G16" s="71" t="n">
        <v>0.65</v>
      </c>
    </row>
    <row r="17" customFormat="false" ht="23.25" hidden="false" customHeight="true" outlineLevel="0" collapsed="false">
      <c r="A17" s="12" t="s">
        <v>143</v>
      </c>
      <c r="B17" s="14" t="s">
        <v>144</v>
      </c>
      <c r="C17" s="45" t="n">
        <v>0.35</v>
      </c>
      <c r="D17" s="45" t="n">
        <v>0.6</v>
      </c>
      <c r="E17" s="45" t="n">
        <v>0.45</v>
      </c>
      <c r="F17" s="45" t="n">
        <v>0.45</v>
      </c>
      <c r="G17" s="72" t="n">
        <v>0.6</v>
      </c>
    </row>
    <row r="18" customFormat="false" ht="23.25" hidden="false" customHeight="true" outlineLevel="0" collapsed="false">
      <c r="A18" s="12" t="s">
        <v>146</v>
      </c>
      <c r="B18" s="14" t="s">
        <v>147</v>
      </c>
      <c r="C18" s="45" t="n">
        <v>0.25</v>
      </c>
      <c r="D18" s="45" t="n">
        <v>0.6</v>
      </c>
      <c r="E18" s="45" t="n">
        <v>0.5</v>
      </c>
      <c r="F18" s="45" t="n">
        <v>0.45</v>
      </c>
      <c r="G18" s="72" t="n">
        <v>0.6</v>
      </c>
    </row>
    <row r="19" customFormat="false" ht="23.25" hidden="false" customHeight="true" outlineLevel="0" collapsed="false">
      <c r="A19" s="12" t="s">
        <v>149</v>
      </c>
      <c r="B19" s="14" t="s">
        <v>150</v>
      </c>
      <c r="C19" s="45" t="n">
        <v>1</v>
      </c>
      <c r="D19" s="45" t="n">
        <v>1</v>
      </c>
      <c r="E19" s="45" t="n">
        <v>0.55</v>
      </c>
      <c r="F19" s="45" t="n">
        <v>0.55</v>
      </c>
      <c r="G19" s="72" t="n">
        <v>0.65</v>
      </c>
    </row>
    <row r="20" customFormat="false" ht="15" hidden="false" customHeight="true" outlineLevel="0" collapsed="false">
      <c r="A20" s="12" t="s">
        <v>152</v>
      </c>
      <c r="B20" s="14" t="s">
        <v>153</v>
      </c>
      <c r="C20" s="45" t="n">
        <v>0.6</v>
      </c>
      <c r="D20" s="45" t="n">
        <v>1</v>
      </c>
      <c r="E20" s="45" t="n">
        <v>1</v>
      </c>
      <c r="F20" s="45" t="n">
        <v>1</v>
      </c>
      <c r="G20" s="72" t="n">
        <v>0.6</v>
      </c>
    </row>
    <row r="21" customFormat="false" ht="15" hidden="false" customHeight="true" outlineLevel="0" collapsed="false">
      <c r="A21" s="17" t="s">
        <v>156</v>
      </c>
      <c r="B21" s="18" t="s">
        <v>157</v>
      </c>
      <c r="C21" s="46" t="n">
        <v>1</v>
      </c>
      <c r="D21" s="46" t="n">
        <v>1</v>
      </c>
      <c r="E21" s="46" t="n">
        <v>0.7</v>
      </c>
      <c r="F21" s="46" t="n">
        <v>0.65</v>
      </c>
      <c r="G21" s="73" t="n">
        <v>0.65</v>
      </c>
    </row>
  </sheetData>
  <mergeCells count="3">
    <mergeCell ref="A1:L1"/>
    <mergeCell ref="A2:L2"/>
    <mergeCell ref="A3:L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P16" activeCellId="0" sqref="P16"/>
    </sheetView>
  </sheetViews>
  <sheetFormatPr defaultColWidth="8.58984375" defaultRowHeight="15" customHeight="false" zeroHeight="false" outlineLevelRow="0" outlineLevelCol="0"/>
  <cols>
    <col collapsed="false" customWidth="true" hidden="false" outlineLevel="0" max="1" min="1" style="1" width="12.22"/>
    <col collapsed="false" customWidth="true" hidden="false" outlineLevel="0" max="2" min="2" style="1" width="28.89"/>
    <col collapsed="false" customWidth="true" hidden="false" outlineLevel="0" max="38" min="3" style="1" width="13.89"/>
  </cols>
  <sheetData>
    <row r="1" customFormat="false" ht="27" hidden="false" customHeight="true" outlineLevel="0" collapsed="false">
      <c r="A1" s="2" t="s">
        <v>189</v>
      </c>
      <c r="B1" s="2"/>
      <c r="C1" s="2"/>
      <c r="D1" s="2"/>
      <c r="E1" s="2"/>
      <c r="F1" s="2"/>
      <c r="G1" s="2"/>
      <c r="H1" s="2"/>
      <c r="I1" s="2"/>
      <c r="J1" s="2"/>
      <c r="K1" s="2"/>
      <c r="L1" s="2"/>
    </row>
    <row r="2" customFormat="false" ht="36" hidden="false" customHeight="true" outlineLevel="0" collapsed="false">
      <c r="A2" s="3" t="s">
        <v>190</v>
      </c>
      <c r="B2" s="3"/>
      <c r="C2" s="3"/>
      <c r="D2" s="3"/>
      <c r="E2" s="3"/>
      <c r="F2" s="3"/>
      <c r="G2" s="3"/>
      <c r="H2" s="3"/>
      <c r="I2" s="3"/>
      <c r="J2" s="3"/>
      <c r="K2" s="3"/>
      <c r="L2" s="3"/>
    </row>
    <row r="3" customFormat="false" ht="48" hidden="false" customHeight="true" outlineLevel="0" collapsed="false">
      <c r="A3" s="20" t="s">
        <v>191</v>
      </c>
      <c r="B3" s="20"/>
      <c r="C3" s="20"/>
      <c r="D3" s="20"/>
      <c r="E3" s="20"/>
      <c r="F3" s="20"/>
      <c r="G3" s="20"/>
      <c r="H3" s="20"/>
      <c r="I3" s="20"/>
      <c r="J3" s="20"/>
      <c r="K3" s="20"/>
      <c r="L3" s="20"/>
    </row>
    <row r="15" customFormat="false" ht="34.5" hidden="false" customHeight="true" outlineLevel="0" collapsed="false">
      <c r="A15" s="21" t="s">
        <v>171</v>
      </c>
      <c r="B15" s="22" t="s">
        <v>192</v>
      </c>
      <c r="C15" s="22" t="s">
        <v>193</v>
      </c>
      <c r="D15" s="22" t="s">
        <v>194</v>
      </c>
      <c r="E15" s="22" t="s">
        <v>195</v>
      </c>
      <c r="F15" s="22" t="s">
        <v>196</v>
      </c>
      <c r="G15" s="22" t="s">
        <v>197</v>
      </c>
      <c r="H15" s="22" t="s">
        <v>198</v>
      </c>
      <c r="I15" s="22" t="s">
        <v>199</v>
      </c>
      <c r="J15" s="22" t="s">
        <v>200</v>
      </c>
      <c r="K15" s="22" t="s">
        <v>201</v>
      </c>
      <c r="L15" s="22" t="s">
        <v>202</v>
      </c>
      <c r="M15" s="22" t="s">
        <v>203</v>
      </c>
      <c r="N15" s="22" t="s">
        <v>204</v>
      </c>
      <c r="O15" s="22" t="s">
        <v>205</v>
      </c>
      <c r="P15" s="22" t="s">
        <v>206</v>
      </c>
      <c r="Q15" s="22" t="s">
        <v>207</v>
      </c>
      <c r="R15" s="22" t="s">
        <v>208</v>
      </c>
      <c r="S15" s="22" t="s">
        <v>209</v>
      </c>
      <c r="T15" s="22" t="s">
        <v>210</v>
      </c>
      <c r="U15" s="22" t="s">
        <v>211</v>
      </c>
      <c r="V15" s="22" t="s">
        <v>212</v>
      </c>
      <c r="W15" s="22" t="s">
        <v>213</v>
      </c>
      <c r="X15" s="22" t="s">
        <v>214</v>
      </c>
      <c r="Y15" s="22" t="s">
        <v>215</v>
      </c>
      <c r="Z15" s="22" t="s">
        <v>216</v>
      </c>
      <c r="AA15" s="22" t="s">
        <v>217</v>
      </c>
      <c r="AB15" s="22" t="s">
        <v>218</v>
      </c>
      <c r="AC15" s="22" t="s">
        <v>219</v>
      </c>
      <c r="AD15" s="22" t="s">
        <v>220</v>
      </c>
      <c r="AE15" s="22" t="s">
        <v>221</v>
      </c>
      <c r="AF15" s="22" t="s">
        <v>222</v>
      </c>
      <c r="AG15" s="22" t="s">
        <v>223</v>
      </c>
      <c r="AH15" s="22" t="s">
        <v>224</v>
      </c>
      <c r="AI15" s="22" t="s">
        <v>225</v>
      </c>
      <c r="AJ15" s="22" t="s">
        <v>226</v>
      </c>
      <c r="AK15" s="22" t="s">
        <v>33</v>
      </c>
      <c r="AL15" s="23" t="s">
        <v>34</v>
      </c>
    </row>
    <row r="16" customFormat="false" ht="23.25" hidden="false" customHeight="true" outlineLevel="0" collapsed="false">
      <c r="A16" s="8" t="s">
        <v>128</v>
      </c>
      <c r="B16" s="10" t="s">
        <v>227</v>
      </c>
      <c r="C16" s="68" t="n">
        <v>10</v>
      </c>
      <c r="D16" s="68" t="n">
        <v>60</v>
      </c>
      <c r="E16" s="68" t="n">
        <v>10</v>
      </c>
      <c r="F16" s="68" t="n">
        <v>90</v>
      </c>
      <c r="G16" s="68" t="n">
        <v>5</v>
      </c>
      <c r="H16" s="68" t="n">
        <v>45</v>
      </c>
      <c r="I16" s="68" t="n">
        <v>15</v>
      </c>
      <c r="J16" s="68" t="n">
        <v>120</v>
      </c>
      <c r="K16" s="68" t="n">
        <v>3</v>
      </c>
      <c r="L16" s="68" t="n">
        <v>30</v>
      </c>
      <c r="M16" s="68" t="n">
        <v>0.3</v>
      </c>
      <c r="N16" s="68" t="n">
        <v>0.85</v>
      </c>
      <c r="O16" s="68" t="n">
        <v>0</v>
      </c>
      <c r="P16" s="68" t="n">
        <v>0.05</v>
      </c>
      <c r="Q16" s="68" t="n">
        <v>0.1</v>
      </c>
      <c r="R16" s="68" t="n">
        <v>0.5</v>
      </c>
      <c r="S16" s="68" t="n">
        <v>0.1</v>
      </c>
      <c r="T16" s="68" t="n">
        <v>0.6</v>
      </c>
      <c r="U16" s="68" t="n">
        <v>0</v>
      </c>
      <c r="V16" s="68" t="n">
        <v>0.002</v>
      </c>
      <c r="W16" s="68" t="n">
        <v>0</v>
      </c>
      <c r="X16" s="68" t="n">
        <v>0</v>
      </c>
      <c r="Y16" s="68" t="n">
        <v>0</v>
      </c>
      <c r="Z16" s="68" t="n">
        <v>0</v>
      </c>
      <c r="AA16" s="68" t="n">
        <v>0</v>
      </c>
      <c r="AB16" s="68" t="n">
        <v>0</v>
      </c>
      <c r="AC16" s="68" t="n">
        <v>0.05</v>
      </c>
      <c r="AD16" s="68" t="n">
        <v>0.2</v>
      </c>
      <c r="AE16" s="68" t="n">
        <v>1000000</v>
      </c>
      <c r="AF16" s="68" t="n">
        <v>20000000</v>
      </c>
      <c r="AG16" s="68" t="n">
        <v>0.0005</v>
      </c>
      <c r="AH16" s="68" t="n">
        <v>0.005</v>
      </c>
      <c r="AI16" s="68" t="n">
        <v>0.001</v>
      </c>
      <c r="AJ16" s="68" t="n">
        <v>0.01</v>
      </c>
      <c r="AK16" s="10" t="s">
        <v>38</v>
      </c>
      <c r="AL16" s="11" t="s">
        <v>39</v>
      </c>
    </row>
    <row r="17" customFormat="false" ht="15" hidden="false" customHeight="true" outlineLevel="0" collapsed="false">
      <c r="A17" s="12" t="s">
        <v>129</v>
      </c>
      <c r="B17" s="14" t="s">
        <v>228</v>
      </c>
      <c r="C17" s="69" t="n">
        <v>20</v>
      </c>
      <c r="D17" s="69" t="n">
        <v>120</v>
      </c>
      <c r="E17" s="69" t="n">
        <v>30</v>
      </c>
      <c r="F17" s="69" t="n">
        <v>180</v>
      </c>
      <c r="G17" s="69" t="n">
        <v>30</v>
      </c>
      <c r="H17" s="69" t="n">
        <v>180</v>
      </c>
      <c r="I17" s="69" t="n">
        <v>20</v>
      </c>
      <c r="J17" s="69" t="n">
        <v>120</v>
      </c>
      <c r="K17" s="69" t="n">
        <v>1</v>
      </c>
      <c r="L17" s="69" t="n">
        <v>10</v>
      </c>
      <c r="M17" s="69" t="n">
        <v>0.1</v>
      </c>
      <c r="N17" s="69" t="n">
        <v>0.4</v>
      </c>
      <c r="O17" s="69" t="n">
        <v>0.05</v>
      </c>
      <c r="P17" s="69" t="n">
        <v>0.8</v>
      </c>
      <c r="Q17" s="69" t="n">
        <v>0.05</v>
      </c>
      <c r="R17" s="69" t="n">
        <v>0.3</v>
      </c>
      <c r="S17" s="69" t="n">
        <v>0.05</v>
      </c>
      <c r="T17" s="69" t="n">
        <v>0.25</v>
      </c>
      <c r="U17" s="69" t="n">
        <v>0.001</v>
      </c>
      <c r="V17" s="69" t="n">
        <v>0.01</v>
      </c>
      <c r="W17" s="69" t="n">
        <v>0</v>
      </c>
      <c r="X17" s="69" t="n">
        <v>0</v>
      </c>
      <c r="Y17" s="69" t="n">
        <v>0</v>
      </c>
      <c r="Z17" s="69" t="n">
        <v>0</v>
      </c>
      <c r="AA17" s="69" t="n">
        <v>0</v>
      </c>
      <c r="AB17" s="69" t="n">
        <v>0</v>
      </c>
      <c r="AC17" s="69" t="n">
        <v>0.1</v>
      </c>
      <c r="AD17" s="69" t="n">
        <v>0.25</v>
      </c>
      <c r="AE17" s="69" t="n">
        <v>500000</v>
      </c>
      <c r="AF17" s="69" t="n">
        <v>10000000</v>
      </c>
      <c r="AG17" s="69" t="n">
        <v>0.001</v>
      </c>
      <c r="AH17" s="69" t="n">
        <v>0.008</v>
      </c>
      <c r="AI17" s="69" t="n">
        <v>0.002</v>
      </c>
      <c r="AJ17" s="69" t="n">
        <v>0.03</v>
      </c>
      <c r="AK17" s="14" t="s">
        <v>38</v>
      </c>
      <c r="AL17" s="15" t="s">
        <v>39</v>
      </c>
    </row>
    <row r="18" customFormat="false" ht="23.25" hidden="false" customHeight="true" outlineLevel="0" collapsed="false">
      <c r="A18" s="12" t="s">
        <v>130</v>
      </c>
      <c r="B18" s="14" t="s">
        <v>229</v>
      </c>
      <c r="C18" s="69" t="n">
        <v>15</v>
      </c>
      <c r="D18" s="69" t="n">
        <v>90</v>
      </c>
      <c r="E18" s="69" t="n">
        <v>20</v>
      </c>
      <c r="F18" s="69" t="n">
        <v>150</v>
      </c>
      <c r="G18" s="69" t="n">
        <v>20</v>
      </c>
      <c r="H18" s="69" t="n">
        <v>120</v>
      </c>
      <c r="I18" s="69" t="n">
        <v>20</v>
      </c>
      <c r="J18" s="69" t="n">
        <v>150</v>
      </c>
      <c r="K18" s="69" t="n">
        <v>2</v>
      </c>
      <c r="L18" s="69" t="n">
        <v>20</v>
      </c>
      <c r="M18" s="69" t="n">
        <v>0.2</v>
      </c>
      <c r="N18" s="69" t="n">
        <v>0.7</v>
      </c>
      <c r="O18" s="69" t="n">
        <v>0</v>
      </c>
      <c r="P18" s="69" t="n">
        <v>0.1</v>
      </c>
      <c r="Q18" s="69" t="n">
        <v>0.1</v>
      </c>
      <c r="R18" s="69" t="n">
        <v>0.4</v>
      </c>
      <c r="S18" s="69" t="n">
        <v>0.1</v>
      </c>
      <c r="T18" s="69" t="n">
        <v>0.5</v>
      </c>
      <c r="U18" s="69" t="n">
        <v>0.0005</v>
      </c>
      <c r="V18" s="69" t="n">
        <v>0.006</v>
      </c>
      <c r="W18" s="69" t="n">
        <v>2</v>
      </c>
      <c r="X18" s="69" t="n">
        <v>10</v>
      </c>
      <c r="Y18" s="69" t="n">
        <v>0.005</v>
      </c>
      <c r="Z18" s="69" t="n">
        <v>0.05</v>
      </c>
      <c r="AA18" s="69" t="n">
        <v>0.8</v>
      </c>
      <c r="AB18" s="69" t="n">
        <v>0.3</v>
      </c>
      <c r="AC18" s="69" t="n">
        <v>0.05</v>
      </c>
      <c r="AD18" s="69" t="n">
        <v>0.2</v>
      </c>
      <c r="AE18" s="69" t="n">
        <v>0</v>
      </c>
      <c r="AF18" s="69" t="n">
        <v>0</v>
      </c>
      <c r="AG18" s="69" t="n">
        <v>0.001</v>
      </c>
      <c r="AH18" s="69" t="n">
        <v>0.008</v>
      </c>
      <c r="AI18" s="69" t="n">
        <v>0.001</v>
      </c>
      <c r="AJ18" s="69" t="n">
        <v>0.02</v>
      </c>
      <c r="AK18" s="14" t="s">
        <v>38</v>
      </c>
      <c r="AL18" s="15" t="s">
        <v>39</v>
      </c>
    </row>
    <row r="19" customFormat="false" ht="15" hidden="false" customHeight="true" outlineLevel="0" collapsed="false">
      <c r="A19" s="17" t="s">
        <v>131</v>
      </c>
      <c r="B19" s="18" t="s">
        <v>230</v>
      </c>
      <c r="C19" s="70" t="n">
        <v>10</v>
      </c>
      <c r="D19" s="70" t="n">
        <v>60</v>
      </c>
      <c r="E19" s="70" t="n">
        <v>10</v>
      </c>
      <c r="F19" s="70" t="n">
        <v>90</v>
      </c>
      <c r="G19" s="70" t="n">
        <v>15</v>
      </c>
      <c r="H19" s="70" t="n">
        <v>90</v>
      </c>
      <c r="I19" s="70" t="n">
        <v>5</v>
      </c>
      <c r="J19" s="70" t="n">
        <v>60</v>
      </c>
      <c r="K19" s="70" t="n">
        <v>0</v>
      </c>
      <c r="L19" s="70" t="n">
        <v>5</v>
      </c>
      <c r="M19" s="70" t="n">
        <v>0</v>
      </c>
      <c r="N19" s="70" t="n">
        <v>0.2</v>
      </c>
      <c r="O19" s="70" t="n">
        <v>0</v>
      </c>
      <c r="P19" s="70" t="n">
        <v>0.05</v>
      </c>
      <c r="Q19" s="70" t="n">
        <v>0.02</v>
      </c>
      <c r="R19" s="70" t="n">
        <v>0.15</v>
      </c>
      <c r="S19" s="70" t="n">
        <v>0.02</v>
      </c>
      <c r="T19" s="70" t="n">
        <v>0.1</v>
      </c>
      <c r="U19" s="70" t="n">
        <v>0.0002</v>
      </c>
      <c r="V19" s="70" t="n">
        <v>0.003</v>
      </c>
      <c r="W19" s="70" t="n">
        <v>2</v>
      </c>
      <c r="X19" s="70" t="n">
        <v>15</v>
      </c>
      <c r="Y19" s="70" t="n">
        <v>0.01</v>
      </c>
      <c r="Z19" s="70" t="n">
        <v>0.1</v>
      </c>
      <c r="AA19" s="70" t="n">
        <v>0.8</v>
      </c>
      <c r="AB19" s="70" t="n">
        <v>0.2</v>
      </c>
      <c r="AC19" s="70" t="n">
        <v>0.05</v>
      </c>
      <c r="AD19" s="70" t="n">
        <v>0.2</v>
      </c>
      <c r="AE19" s="70" t="n">
        <v>0</v>
      </c>
      <c r="AF19" s="70" t="n">
        <v>0</v>
      </c>
      <c r="AG19" s="70" t="n">
        <v>0.0005</v>
      </c>
      <c r="AH19" s="70" t="n">
        <v>0.005</v>
      </c>
      <c r="AI19" s="70" t="n">
        <v>0.001</v>
      </c>
      <c r="AJ19" s="70" t="n">
        <v>0.02</v>
      </c>
      <c r="AK19" s="18" t="s">
        <v>38</v>
      </c>
      <c r="AL19" s="19" t="s">
        <v>39</v>
      </c>
    </row>
  </sheetData>
  <mergeCells count="3">
    <mergeCell ref="A1:L1"/>
    <mergeCell ref="A2:L2"/>
    <mergeCell ref="A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24" activeCellId="0" sqref="F24"/>
    </sheetView>
  </sheetViews>
  <sheetFormatPr defaultColWidth="8.58984375" defaultRowHeight="15" customHeight="false" zeroHeight="false" outlineLevelRow="0" outlineLevelCol="0"/>
  <cols>
    <col collapsed="false" customWidth="true" hidden="false" outlineLevel="0" max="1" min="1" style="1" width="25.56"/>
    <col collapsed="false" customWidth="true" hidden="false" outlineLevel="0" max="2" min="2" style="1" width="33.33"/>
    <col collapsed="false" customWidth="true" hidden="false" outlineLevel="0" max="4" min="3" style="1" width="12.22"/>
    <col collapsed="false" customWidth="true" hidden="false" outlineLevel="0" max="5" min="5" style="1" width="14.44"/>
    <col collapsed="false" customWidth="true" hidden="false" outlineLevel="0" max="6" min="6" style="1" width="36.67"/>
    <col collapsed="false" customWidth="true" hidden="false" outlineLevel="0" max="8" min="7" style="1" width="12.22"/>
  </cols>
  <sheetData>
    <row r="1" customFormat="false" ht="27" hidden="false" customHeight="true" outlineLevel="0" collapsed="false">
      <c r="A1" s="2" t="s">
        <v>231</v>
      </c>
      <c r="B1" s="2"/>
      <c r="C1" s="2"/>
      <c r="D1" s="2"/>
      <c r="E1" s="2"/>
      <c r="F1" s="2"/>
      <c r="G1" s="2"/>
      <c r="H1" s="2"/>
      <c r="I1" s="2"/>
      <c r="J1" s="2"/>
      <c r="K1" s="2"/>
      <c r="L1" s="2"/>
    </row>
    <row r="2" customFormat="false" ht="36" hidden="false" customHeight="true" outlineLevel="0" collapsed="false">
      <c r="A2" s="3" t="s">
        <v>232</v>
      </c>
      <c r="B2" s="3"/>
      <c r="C2" s="3"/>
      <c r="D2" s="3"/>
      <c r="E2" s="3"/>
      <c r="F2" s="3"/>
      <c r="G2" s="3"/>
      <c r="H2" s="3"/>
      <c r="I2" s="3"/>
      <c r="J2" s="3"/>
      <c r="K2" s="3"/>
      <c r="L2" s="3"/>
    </row>
    <row r="3" customFormat="false" ht="48" hidden="false" customHeight="true" outlineLevel="0" collapsed="false">
      <c r="A3" s="20" t="s">
        <v>233</v>
      </c>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15" customFormat="false" ht="23.25" hidden="false" customHeight="true" outlineLevel="0" collapsed="false">
      <c r="A15" s="21" t="s">
        <v>234</v>
      </c>
      <c r="B15" s="22" t="s">
        <v>235</v>
      </c>
      <c r="C15" s="22" t="s">
        <v>236</v>
      </c>
      <c r="D15" s="22" t="s">
        <v>237</v>
      </c>
      <c r="E15" s="22" t="s">
        <v>238</v>
      </c>
      <c r="F15" s="22" t="s">
        <v>239</v>
      </c>
      <c r="G15" s="22" t="s">
        <v>33</v>
      </c>
      <c r="H15" s="23" t="s">
        <v>34</v>
      </c>
    </row>
    <row r="16" customFormat="false" ht="15" hidden="false" customHeight="true" outlineLevel="0" collapsed="false">
      <c r="A16" s="8" t="s">
        <v>240</v>
      </c>
      <c r="B16" s="10" t="s">
        <v>241</v>
      </c>
      <c r="C16" s="74" t="n">
        <v>0.5</v>
      </c>
      <c r="D16" s="74" t="n">
        <v>1</v>
      </c>
      <c r="E16" s="10" t="s">
        <v>242</v>
      </c>
      <c r="F16" s="10"/>
      <c r="G16" s="10" t="s">
        <v>38</v>
      </c>
      <c r="H16" s="11" t="s">
        <v>243</v>
      </c>
    </row>
    <row r="17" customFormat="false" ht="23.25" hidden="false" customHeight="true" outlineLevel="0" collapsed="false">
      <c r="A17" s="12" t="s">
        <v>244</v>
      </c>
      <c r="B17" s="14" t="s">
        <v>245</v>
      </c>
      <c r="C17" s="75" t="n">
        <v>8</v>
      </c>
      <c r="D17" s="75" t="n">
        <v>20</v>
      </c>
      <c r="E17" s="14" t="s">
        <v>242</v>
      </c>
      <c r="F17" s="14"/>
      <c r="G17" s="14" t="s">
        <v>38</v>
      </c>
      <c r="H17" s="15" t="s">
        <v>243</v>
      </c>
    </row>
    <row r="18" customFormat="false" ht="15" hidden="false" customHeight="true" outlineLevel="0" collapsed="false">
      <c r="A18" s="12" t="s">
        <v>246</v>
      </c>
      <c r="B18" s="14" t="s">
        <v>247</v>
      </c>
      <c r="C18" s="75" t="n">
        <v>2000</v>
      </c>
      <c r="D18" s="75" t="n">
        <v>4000</v>
      </c>
      <c r="E18" s="14" t="s">
        <v>248</v>
      </c>
      <c r="F18" s="14"/>
      <c r="G18" s="14" t="s">
        <v>38</v>
      </c>
      <c r="H18" s="15" t="s">
        <v>243</v>
      </c>
    </row>
    <row r="19" customFormat="false" ht="15" hidden="false" customHeight="true" outlineLevel="0" collapsed="false">
      <c r="A19" s="12" t="s">
        <v>249</v>
      </c>
      <c r="B19" s="14" t="s">
        <v>250</v>
      </c>
      <c r="C19" s="75" t="n">
        <v>3000</v>
      </c>
      <c r="D19" s="75" t="n">
        <v>5000</v>
      </c>
      <c r="E19" s="14" t="s">
        <v>248</v>
      </c>
      <c r="F19" s="14"/>
      <c r="G19" s="14" t="s">
        <v>38</v>
      </c>
      <c r="H19" s="15" t="s">
        <v>243</v>
      </c>
    </row>
    <row r="20" customFormat="false" ht="15" hidden="false" customHeight="true" outlineLevel="0" collapsed="false">
      <c r="A20" s="12" t="s">
        <v>251</v>
      </c>
      <c r="B20" s="14" t="s">
        <v>252</v>
      </c>
      <c r="C20" s="75" t="n">
        <v>2000</v>
      </c>
      <c r="D20" s="75" t="n">
        <v>4000</v>
      </c>
      <c r="E20" s="14" t="s">
        <v>248</v>
      </c>
      <c r="F20" s="14"/>
      <c r="G20" s="14" t="s">
        <v>38</v>
      </c>
      <c r="H20" s="15" t="s">
        <v>243</v>
      </c>
    </row>
    <row r="21" customFormat="false" ht="15" hidden="false" customHeight="true" outlineLevel="0" collapsed="false">
      <c r="A21" s="12" t="s">
        <v>253</v>
      </c>
      <c r="B21" s="14" t="s">
        <v>254</v>
      </c>
      <c r="C21" s="75" t="n">
        <v>5000</v>
      </c>
      <c r="D21" s="75" t="n">
        <v>10000</v>
      </c>
      <c r="E21" s="14" t="s">
        <v>248</v>
      </c>
      <c r="F21" s="14"/>
      <c r="G21" s="14" t="s">
        <v>38</v>
      </c>
      <c r="H21" s="15" t="s">
        <v>243</v>
      </c>
    </row>
    <row r="22" customFormat="false" ht="15" hidden="false" customHeight="true" outlineLevel="0" collapsed="false">
      <c r="A22" s="12" t="s">
        <v>255</v>
      </c>
      <c r="B22" s="14" t="s">
        <v>256</v>
      </c>
      <c r="C22" s="75" t="n">
        <v>200</v>
      </c>
      <c r="D22" s="75" t="n">
        <v>500</v>
      </c>
      <c r="E22" s="14" t="s">
        <v>257</v>
      </c>
      <c r="F22" s="14"/>
      <c r="G22" s="14" t="s">
        <v>38</v>
      </c>
      <c r="H22" s="15" t="s">
        <v>243</v>
      </c>
    </row>
    <row r="23" customFormat="false" ht="15" hidden="false" customHeight="true" outlineLevel="0" collapsed="false">
      <c r="A23" s="17" t="s">
        <v>258</v>
      </c>
      <c r="B23" s="18" t="s">
        <v>259</v>
      </c>
      <c r="C23" s="76" t="n">
        <v>5000</v>
      </c>
      <c r="D23" s="76" t="n">
        <v>8000</v>
      </c>
      <c r="E23" s="18" t="s">
        <v>260</v>
      </c>
      <c r="F23" s="18"/>
      <c r="G23" s="18" t="s">
        <v>38</v>
      </c>
      <c r="H23" s="19" t="s">
        <v>243</v>
      </c>
    </row>
  </sheetData>
  <mergeCells count="3">
    <mergeCell ref="A1:L1"/>
    <mergeCell ref="A2:L2"/>
    <mergeCell ref="A3:L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O38" activeCellId="0" sqref="O38"/>
    </sheetView>
  </sheetViews>
  <sheetFormatPr defaultColWidth="8.58984375" defaultRowHeight="15" customHeight="false" zeroHeight="false" outlineLevelRow="0" outlineLevelCol="0"/>
  <cols>
    <col collapsed="false" customWidth="true" hidden="false" outlineLevel="0" max="1" min="1" style="1" width="18.89"/>
    <col collapsed="false" customWidth="true" hidden="false" outlineLevel="0" max="2" min="2" style="1" width="27.78"/>
    <col collapsed="false" customWidth="true" hidden="false" outlineLevel="0" max="3" min="3" style="1" width="12.22"/>
    <col collapsed="false" customWidth="true" hidden="false" outlineLevel="0" max="5" min="4" style="1" width="10.56"/>
    <col collapsed="false" customWidth="true" hidden="false" outlineLevel="0" max="6" min="6" style="1" width="12.22"/>
    <col collapsed="false" customWidth="true" hidden="false" outlineLevel="0" max="11" min="7" style="1" width="10.56"/>
    <col collapsed="false" customWidth="true" hidden="false" outlineLevel="0" max="12" min="12" style="1" width="11.11"/>
    <col collapsed="false" customWidth="true" hidden="false" outlineLevel="0" max="13" min="13" style="1" width="12.22"/>
    <col collapsed="false" customWidth="true" hidden="false" outlineLevel="0" max="14" min="14" style="1" width="47.79"/>
  </cols>
  <sheetData>
    <row r="1" customFormat="false" ht="27" hidden="false" customHeight="true" outlineLevel="0" collapsed="false">
      <c r="A1" s="2" t="s">
        <v>261</v>
      </c>
      <c r="B1" s="2"/>
      <c r="C1" s="2"/>
      <c r="D1" s="2"/>
      <c r="E1" s="2"/>
      <c r="F1" s="2"/>
      <c r="G1" s="2"/>
      <c r="H1" s="2"/>
      <c r="I1" s="2"/>
      <c r="J1" s="2"/>
      <c r="K1" s="2"/>
      <c r="L1" s="2"/>
    </row>
    <row r="2" customFormat="false" ht="36" hidden="false" customHeight="true" outlineLevel="0" collapsed="false">
      <c r="A2" s="3" t="s">
        <v>262</v>
      </c>
      <c r="B2" s="3"/>
      <c r="C2" s="3"/>
      <c r="D2" s="3"/>
      <c r="E2" s="3"/>
      <c r="F2" s="3"/>
      <c r="G2" s="3"/>
      <c r="H2" s="3"/>
      <c r="I2" s="3"/>
      <c r="J2" s="3"/>
      <c r="K2" s="3"/>
      <c r="L2" s="3"/>
    </row>
    <row r="3" customFormat="false" ht="48" hidden="false" customHeight="true" outlineLevel="0" collapsed="false">
      <c r="A3" s="20" t="s">
        <v>263</v>
      </c>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15" customFormat="false" ht="23.25" hidden="false" customHeight="true" outlineLevel="0" collapsed="false">
      <c r="A15" s="21" t="s">
        <v>264</v>
      </c>
      <c r="B15" s="22" t="s">
        <v>235</v>
      </c>
      <c r="C15" s="22" t="s">
        <v>265</v>
      </c>
      <c r="D15" s="22" t="s">
        <v>106</v>
      </c>
      <c r="E15" s="22" t="s">
        <v>109</v>
      </c>
      <c r="F15" s="22" t="s">
        <v>112</v>
      </c>
      <c r="G15" s="22" t="s">
        <v>115</v>
      </c>
      <c r="H15" s="22" t="s">
        <v>128</v>
      </c>
      <c r="I15" s="22" t="s">
        <v>129</v>
      </c>
      <c r="J15" s="22" t="s">
        <v>130</v>
      </c>
      <c r="K15" s="22" t="s">
        <v>131</v>
      </c>
      <c r="L15" s="22" t="s">
        <v>33</v>
      </c>
      <c r="M15" s="22" t="s">
        <v>34</v>
      </c>
      <c r="N15" s="23" t="s">
        <v>180</v>
      </c>
    </row>
    <row r="16" customFormat="false" ht="15" hidden="false" customHeight="true" outlineLevel="0" collapsed="false">
      <c r="A16" s="8" t="s">
        <v>266</v>
      </c>
      <c r="B16" s="10" t="s">
        <v>267</v>
      </c>
      <c r="C16" s="10" t="s">
        <v>268</v>
      </c>
      <c r="D16" s="68" t="n">
        <v>1</v>
      </c>
      <c r="E16" s="68" t="n">
        <v>1</v>
      </c>
      <c r="F16" s="68" t="n">
        <v>1</v>
      </c>
      <c r="G16" s="68" t="n">
        <v>1</v>
      </c>
      <c r="H16" s="68" t="n">
        <v>1</v>
      </c>
      <c r="I16" s="68" t="n">
        <v>1</v>
      </c>
      <c r="J16" s="68" t="n">
        <v>1</v>
      </c>
      <c r="K16" s="68" t="n">
        <v>1</v>
      </c>
      <c r="L16" s="10" t="s">
        <v>38</v>
      </c>
      <c r="M16" s="10" t="s">
        <v>39</v>
      </c>
      <c r="N16" s="11" t="s">
        <v>269</v>
      </c>
    </row>
    <row r="17" customFormat="false" ht="15" hidden="false" customHeight="true" outlineLevel="0" collapsed="false">
      <c r="A17" s="12" t="s">
        <v>270</v>
      </c>
      <c r="B17" s="14" t="s">
        <v>271</v>
      </c>
      <c r="C17" s="14" t="s">
        <v>268</v>
      </c>
      <c r="D17" s="69" t="n">
        <v>1</v>
      </c>
      <c r="E17" s="69" t="n">
        <v>1</v>
      </c>
      <c r="F17" s="69" t="n">
        <v>1</v>
      </c>
      <c r="G17" s="69" t="n">
        <v>1</v>
      </c>
      <c r="H17" s="69" t="n">
        <v>1</v>
      </c>
      <c r="I17" s="69" t="n">
        <v>1</v>
      </c>
      <c r="J17" s="69" t="n">
        <v>1</v>
      </c>
      <c r="K17" s="69" t="n">
        <v>1</v>
      </c>
      <c r="L17" s="14" t="s">
        <v>38</v>
      </c>
      <c r="M17" s="14" t="s">
        <v>39</v>
      </c>
      <c r="N17" s="15" t="s">
        <v>272</v>
      </c>
    </row>
    <row r="18" customFormat="false" ht="15" hidden="false" customHeight="true" outlineLevel="0" collapsed="false">
      <c r="A18" s="12" t="s">
        <v>273</v>
      </c>
      <c r="B18" s="14" t="s">
        <v>274</v>
      </c>
      <c r="C18" s="14" t="s">
        <v>268</v>
      </c>
      <c r="D18" s="69" t="n">
        <v>1</v>
      </c>
      <c r="E18" s="69" t="n">
        <v>1</v>
      </c>
      <c r="F18" s="69" t="n">
        <v>1</v>
      </c>
      <c r="G18" s="69" t="n">
        <v>1</v>
      </c>
      <c r="H18" s="69" t="n">
        <v>1</v>
      </c>
      <c r="I18" s="69" t="n">
        <v>1</v>
      </c>
      <c r="J18" s="69" t="n">
        <v>1</v>
      </c>
      <c r="K18" s="69" t="n">
        <v>1</v>
      </c>
      <c r="L18" s="14" t="s">
        <v>38</v>
      </c>
      <c r="M18" s="14" t="s">
        <v>39</v>
      </c>
      <c r="N18" s="15" t="s">
        <v>275</v>
      </c>
    </row>
    <row r="19" customFormat="false" ht="15" hidden="false" customHeight="true" outlineLevel="0" collapsed="false">
      <c r="A19" s="12" t="s">
        <v>276</v>
      </c>
      <c r="B19" s="14" t="s">
        <v>277</v>
      </c>
      <c r="C19" s="14" t="s">
        <v>268</v>
      </c>
      <c r="D19" s="69" t="n">
        <v>1</v>
      </c>
      <c r="E19" s="69" t="n">
        <v>1</v>
      </c>
      <c r="F19" s="69" t="n">
        <v>1</v>
      </c>
      <c r="G19" s="69" t="n">
        <v>1</v>
      </c>
      <c r="H19" s="69" t="n">
        <v>1</v>
      </c>
      <c r="I19" s="69" t="n">
        <v>1</v>
      </c>
      <c r="J19" s="69" t="n">
        <v>1</v>
      </c>
      <c r="K19" s="69" t="n">
        <v>1</v>
      </c>
      <c r="L19" s="14" t="s">
        <v>38</v>
      </c>
      <c r="M19" s="14" t="s">
        <v>39</v>
      </c>
      <c r="N19" s="15" t="s">
        <v>278</v>
      </c>
    </row>
    <row r="20" customFormat="false" ht="23.25" hidden="false" customHeight="true" outlineLevel="0" collapsed="false">
      <c r="A20" s="12" t="s">
        <v>279</v>
      </c>
      <c r="B20" s="14" t="s">
        <v>280</v>
      </c>
      <c r="C20" s="14" t="s">
        <v>268</v>
      </c>
      <c r="D20" s="69" t="n">
        <v>1</v>
      </c>
      <c r="E20" s="69" t="n">
        <v>1</v>
      </c>
      <c r="F20" s="69" t="n">
        <v>1</v>
      </c>
      <c r="G20" s="69" t="n">
        <v>1</v>
      </c>
      <c r="H20" s="69" t="n">
        <v>1</v>
      </c>
      <c r="I20" s="69" t="n">
        <v>1</v>
      </c>
      <c r="J20" s="69" t="n">
        <v>1</v>
      </c>
      <c r="K20" s="69" t="n">
        <v>0</v>
      </c>
      <c r="L20" s="14" t="s">
        <v>38</v>
      </c>
      <c r="M20" s="14" t="s">
        <v>39</v>
      </c>
      <c r="N20" s="15" t="s">
        <v>281</v>
      </c>
    </row>
    <row r="21" customFormat="false" ht="23.25" hidden="false" customHeight="true" outlineLevel="0" collapsed="false">
      <c r="A21" s="12" t="s">
        <v>282</v>
      </c>
      <c r="B21" s="14" t="s">
        <v>283</v>
      </c>
      <c r="C21" s="14" t="s">
        <v>268</v>
      </c>
      <c r="D21" s="69" t="n">
        <v>1</v>
      </c>
      <c r="E21" s="69" t="n">
        <v>1</v>
      </c>
      <c r="F21" s="69" t="n">
        <v>1</v>
      </c>
      <c r="G21" s="69" t="n">
        <v>1</v>
      </c>
      <c r="H21" s="69" t="n">
        <v>1</v>
      </c>
      <c r="I21" s="69" t="n">
        <v>1</v>
      </c>
      <c r="J21" s="69" t="n">
        <v>1</v>
      </c>
      <c r="K21" s="69" t="n">
        <v>0</v>
      </c>
      <c r="L21" s="14" t="s">
        <v>38</v>
      </c>
      <c r="M21" s="14" t="s">
        <v>39</v>
      </c>
      <c r="N21" s="15" t="s">
        <v>281</v>
      </c>
    </row>
    <row r="22" customFormat="false" ht="15" hidden="false" customHeight="true" outlineLevel="0" collapsed="false">
      <c r="A22" s="12" t="s">
        <v>284</v>
      </c>
      <c r="B22" s="14" t="s">
        <v>285</v>
      </c>
      <c r="C22" s="14" t="s">
        <v>268</v>
      </c>
      <c r="D22" s="69" t="n">
        <v>1</v>
      </c>
      <c r="E22" s="69" t="n">
        <v>1</v>
      </c>
      <c r="F22" s="69" t="n">
        <v>1</v>
      </c>
      <c r="G22" s="69" t="n">
        <v>1</v>
      </c>
      <c r="H22" s="69" t="n">
        <v>1</v>
      </c>
      <c r="I22" s="69" t="n">
        <v>1</v>
      </c>
      <c r="J22" s="69" t="n">
        <v>1</v>
      </c>
      <c r="K22" s="69" t="n">
        <v>0</v>
      </c>
      <c r="L22" s="14" t="s">
        <v>38</v>
      </c>
      <c r="M22" s="14" t="s">
        <v>39</v>
      </c>
      <c r="N22" s="15" t="s">
        <v>281</v>
      </c>
    </row>
    <row r="23" customFormat="false" ht="23.25" hidden="false" customHeight="true" outlineLevel="0" collapsed="false">
      <c r="A23" s="12" t="s">
        <v>286</v>
      </c>
      <c r="B23" s="14" t="s">
        <v>287</v>
      </c>
      <c r="C23" s="14" t="s">
        <v>288</v>
      </c>
      <c r="D23" s="69" t="n">
        <v>1</v>
      </c>
      <c r="E23" s="69" t="n">
        <v>1</v>
      </c>
      <c r="F23" s="69" t="n">
        <v>1</v>
      </c>
      <c r="G23" s="69" t="n">
        <v>0</v>
      </c>
      <c r="H23" s="69" t="n">
        <v>0</v>
      </c>
      <c r="I23" s="69" t="n">
        <v>1</v>
      </c>
      <c r="J23" s="69" t="n">
        <v>0</v>
      </c>
      <c r="K23" s="69" t="n">
        <v>0</v>
      </c>
      <c r="L23" s="14" t="s">
        <v>38</v>
      </c>
      <c r="M23" s="14" t="s">
        <v>39</v>
      </c>
      <c r="N23" s="15" t="s">
        <v>289</v>
      </c>
    </row>
    <row r="24" customFormat="false" ht="23.25" hidden="false" customHeight="true" outlineLevel="0" collapsed="false">
      <c r="A24" s="12" t="s">
        <v>290</v>
      </c>
      <c r="B24" s="14" t="s">
        <v>291</v>
      </c>
      <c r="C24" s="14" t="s">
        <v>288</v>
      </c>
      <c r="D24" s="69" t="n">
        <v>1</v>
      </c>
      <c r="E24" s="69" t="n">
        <v>1</v>
      </c>
      <c r="F24" s="69" t="n">
        <v>1</v>
      </c>
      <c r="G24" s="69" t="n">
        <v>0</v>
      </c>
      <c r="H24" s="69" t="n">
        <v>0</v>
      </c>
      <c r="I24" s="69" t="n">
        <v>1</v>
      </c>
      <c r="J24" s="69" t="n">
        <v>0</v>
      </c>
      <c r="K24" s="69" t="n">
        <v>0</v>
      </c>
      <c r="L24" s="14" t="s">
        <v>38</v>
      </c>
      <c r="M24" s="14" t="s">
        <v>39</v>
      </c>
      <c r="N24" s="15" t="s">
        <v>292</v>
      </c>
    </row>
    <row r="25" customFormat="false" ht="15" hidden="false" customHeight="true" outlineLevel="0" collapsed="false">
      <c r="A25" s="12" t="s">
        <v>293</v>
      </c>
      <c r="B25" s="14" t="s">
        <v>294</v>
      </c>
      <c r="C25" s="14" t="s">
        <v>288</v>
      </c>
      <c r="D25" s="69" t="n">
        <v>1</v>
      </c>
      <c r="E25" s="69" t="n">
        <v>1</v>
      </c>
      <c r="F25" s="69" t="n">
        <v>1</v>
      </c>
      <c r="G25" s="69" t="n">
        <v>1</v>
      </c>
      <c r="H25" s="69" t="n">
        <v>0</v>
      </c>
      <c r="I25" s="69" t="n">
        <v>1</v>
      </c>
      <c r="J25" s="69" t="n">
        <v>1</v>
      </c>
      <c r="K25" s="69" t="n">
        <v>1</v>
      </c>
      <c r="L25" s="14" t="s">
        <v>38</v>
      </c>
      <c r="M25" s="14" t="s">
        <v>39</v>
      </c>
      <c r="N25" s="15" t="s">
        <v>295</v>
      </c>
    </row>
    <row r="26" customFormat="false" ht="23.25" hidden="false" customHeight="true" outlineLevel="0" collapsed="false">
      <c r="A26" s="12" t="s">
        <v>296</v>
      </c>
      <c r="B26" s="14" t="s">
        <v>297</v>
      </c>
      <c r="C26" s="14" t="s">
        <v>288</v>
      </c>
      <c r="D26" s="69" t="n">
        <v>1</v>
      </c>
      <c r="E26" s="69" t="n">
        <v>1</v>
      </c>
      <c r="F26" s="69" t="n">
        <v>1</v>
      </c>
      <c r="G26" s="69" t="n">
        <v>1</v>
      </c>
      <c r="H26" s="69" t="n">
        <v>1</v>
      </c>
      <c r="I26" s="69" t="n">
        <v>1</v>
      </c>
      <c r="J26" s="69" t="n">
        <v>1</v>
      </c>
      <c r="K26" s="69" t="n">
        <v>1</v>
      </c>
      <c r="L26" s="14" t="s">
        <v>38</v>
      </c>
      <c r="M26" s="14" t="s">
        <v>39</v>
      </c>
      <c r="N26" s="15" t="s">
        <v>298</v>
      </c>
    </row>
    <row r="27" customFormat="false" ht="23.25" hidden="false" customHeight="true" outlineLevel="0" collapsed="false">
      <c r="A27" s="12" t="s">
        <v>299</v>
      </c>
      <c r="B27" s="14" t="s">
        <v>300</v>
      </c>
      <c r="C27" s="14" t="s">
        <v>301</v>
      </c>
      <c r="D27" s="69" t="n">
        <v>0</v>
      </c>
      <c r="E27" s="69" t="n">
        <v>1</v>
      </c>
      <c r="F27" s="69" t="n">
        <v>1</v>
      </c>
      <c r="G27" s="69" t="n">
        <v>0</v>
      </c>
      <c r="H27" s="69" t="n">
        <v>0</v>
      </c>
      <c r="I27" s="69" t="n">
        <v>0</v>
      </c>
      <c r="J27" s="69" t="n">
        <v>1</v>
      </c>
      <c r="K27" s="69" t="n">
        <v>1</v>
      </c>
      <c r="L27" s="14" t="s">
        <v>38</v>
      </c>
      <c r="M27" s="14" t="s">
        <v>39</v>
      </c>
      <c r="N27" s="15" t="s">
        <v>302</v>
      </c>
    </row>
    <row r="28" customFormat="false" ht="23.25" hidden="false" customHeight="true" outlineLevel="0" collapsed="false">
      <c r="A28" s="12" t="s">
        <v>303</v>
      </c>
      <c r="B28" s="14" t="s">
        <v>304</v>
      </c>
      <c r="C28" s="14" t="s">
        <v>301</v>
      </c>
      <c r="D28" s="69" t="n">
        <v>0</v>
      </c>
      <c r="E28" s="69" t="n">
        <v>1</v>
      </c>
      <c r="F28" s="69" t="n">
        <v>0</v>
      </c>
      <c r="G28" s="69" t="n">
        <v>0</v>
      </c>
      <c r="H28" s="69" t="n">
        <v>1</v>
      </c>
      <c r="I28" s="69" t="n">
        <v>1</v>
      </c>
      <c r="J28" s="69" t="n">
        <v>0</v>
      </c>
      <c r="K28" s="69" t="n">
        <v>0</v>
      </c>
      <c r="L28" s="14" t="s">
        <v>38</v>
      </c>
      <c r="M28" s="14" t="s">
        <v>39</v>
      </c>
      <c r="N28" s="15" t="s">
        <v>305</v>
      </c>
    </row>
    <row r="29" customFormat="false" ht="15" hidden="false" customHeight="true" outlineLevel="0" collapsed="false">
      <c r="A29" s="17" t="s">
        <v>306</v>
      </c>
      <c r="B29" s="18" t="s">
        <v>307</v>
      </c>
      <c r="C29" s="18" t="s">
        <v>301</v>
      </c>
      <c r="D29" s="70" t="n">
        <v>1</v>
      </c>
      <c r="E29" s="70" t="n">
        <v>1</v>
      </c>
      <c r="F29" s="70" t="n">
        <v>1</v>
      </c>
      <c r="G29" s="70" t="n">
        <v>1</v>
      </c>
      <c r="H29" s="70" t="n">
        <v>1</v>
      </c>
      <c r="I29" s="70" t="n">
        <v>1</v>
      </c>
      <c r="J29" s="70" t="n">
        <v>1</v>
      </c>
      <c r="K29" s="70" t="n">
        <v>1</v>
      </c>
      <c r="L29" s="18" t="s">
        <v>38</v>
      </c>
      <c r="M29" s="18" t="s">
        <v>39</v>
      </c>
      <c r="N29" s="19" t="s">
        <v>308</v>
      </c>
    </row>
  </sheetData>
  <mergeCells count="3">
    <mergeCell ref="A1:L1"/>
    <mergeCell ref="A2:L2"/>
    <mergeCell ref="A3:L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23" activeCellId="0" sqref="D23"/>
    </sheetView>
  </sheetViews>
  <sheetFormatPr defaultColWidth="8.58984375" defaultRowHeight="15" customHeight="false" zeroHeight="false" outlineLevelRow="0" outlineLevelCol="0"/>
  <cols>
    <col collapsed="false" customWidth="true" hidden="false" outlineLevel="0" max="1" min="1" style="1" width="10"/>
    <col collapsed="false" customWidth="true" hidden="false" outlineLevel="0" max="2" min="2" style="1" width="27.78"/>
    <col collapsed="false" customWidth="true" hidden="false" outlineLevel="0" max="3" min="3" style="1" width="7.22"/>
    <col collapsed="false" customWidth="true" hidden="false" outlineLevel="0" max="4" min="4" style="1" width="28.89"/>
    <col collapsed="false" customWidth="true" hidden="false" outlineLevel="0" max="5" min="5" style="1" width="36.67"/>
    <col collapsed="false" customWidth="true" hidden="false" outlineLevel="0" max="7" min="6" style="1" width="10.56"/>
    <col collapsed="false" customWidth="true" hidden="false" outlineLevel="0" max="8" min="8" style="1" width="12.22"/>
    <col collapsed="false" customWidth="true" hidden="false" outlineLevel="0" max="9" min="9" style="1" width="10"/>
    <col collapsed="false" customWidth="true" hidden="false" outlineLevel="0" max="13" min="10" style="1" width="10.56"/>
  </cols>
  <sheetData>
    <row r="1" customFormat="false" ht="27" hidden="false" customHeight="true" outlineLevel="0" collapsed="false">
      <c r="A1" s="2" t="s">
        <v>309</v>
      </c>
      <c r="B1" s="2"/>
      <c r="C1" s="2"/>
      <c r="D1" s="2"/>
      <c r="E1" s="2"/>
      <c r="F1" s="2"/>
      <c r="G1" s="2"/>
      <c r="H1" s="2"/>
      <c r="I1" s="2"/>
      <c r="J1" s="2"/>
      <c r="K1" s="2"/>
      <c r="L1" s="2"/>
    </row>
    <row r="2" customFormat="false" ht="36" hidden="false" customHeight="true" outlineLevel="0" collapsed="false">
      <c r="A2" s="3" t="s">
        <v>310</v>
      </c>
      <c r="B2" s="3"/>
      <c r="C2" s="3"/>
      <c r="D2" s="3"/>
      <c r="E2" s="3"/>
      <c r="F2" s="3"/>
      <c r="G2" s="3"/>
      <c r="H2" s="3"/>
      <c r="I2" s="3"/>
      <c r="J2" s="3"/>
      <c r="K2" s="3"/>
      <c r="L2" s="3"/>
    </row>
    <row r="3" customFormat="false" ht="48" hidden="false" customHeight="true" outlineLevel="0" collapsed="false">
      <c r="A3" s="20" t="s">
        <v>311</v>
      </c>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15" customFormat="false" ht="23.25" hidden="false" customHeight="true" outlineLevel="0" collapsed="false">
      <c r="A15" s="21" t="s">
        <v>312</v>
      </c>
      <c r="B15" s="22" t="s">
        <v>313</v>
      </c>
      <c r="C15" s="22" t="s">
        <v>314</v>
      </c>
      <c r="D15" s="22" t="s">
        <v>315</v>
      </c>
      <c r="E15" s="22" t="s">
        <v>316</v>
      </c>
      <c r="F15" s="22" t="s">
        <v>106</v>
      </c>
      <c r="G15" s="22" t="s">
        <v>109</v>
      </c>
      <c r="H15" s="22" t="s">
        <v>112</v>
      </c>
      <c r="I15" s="22" t="s">
        <v>115</v>
      </c>
      <c r="J15" s="22" t="s">
        <v>128</v>
      </c>
      <c r="K15" s="22" t="s">
        <v>129</v>
      </c>
      <c r="L15" s="22" t="s">
        <v>130</v>
      </c>
      <c r="M15" s="23" t="s">
        <v>131</v>
      </c>
    </row>
    <row r="16" customFormat="false" ht="23.25" hidden="false" customHeight="true" outlineLevel="0" collapsed="false">
      <c r="A16" s="8" t="s">
        <v>317</v>
      </c>
      <c r="B16" s="10" t="s">
        <v>318</v>
      </c>
      <c r="C16" s="10" t="s">
        <v>175</v>
      </c>
      <c r="D16" s="10" t="s">
        <v>319</v>
      </c>
      <c r="E16" s="10" t="s">
        <v>320</v>
      </c>
      <c r="F16" s="68" t="n">
        <v>1</v>
      </c>
      <c r="G16" s="68" t="n">
        <v>1</v>
      </c>
      <c r="H16" s="68" t="n">
        <v>1</v>
      </c>
      <c r="I16" s="68" t="n">
        <v>1</v>
      </c>
      <c r="J16" s="68" t="n">
        <v>1</v>
      </c>
      <c r="K16" s="68" t="n">
        <v>1</v>
      </c>
      <c r="L16" s="68" t="n">
        <v>1</v>
      </c>
      <c r="M16" s="77" t="n">
        <v>1</v>
      </c>
    </row>
    <row r="17" customFormat="false" ht="23.25" hidden="false" customHeight="true" outlineLevel="0" collapsed="false">
      <c r="A17" s="12" t="s">
        <v>321</v>
      </c>
      <c r="B17" s="14" t="s">
        <v>322</v>
      </c>
      <c r="C17" s="14" t="s">
        <v>175</v>
      </c>
      <c r="D17" s="14" t="s">
        <v>323</v>
      </c>
      <c r="E17" s="14" t="s">
        <v>324</v>
      </c>
      <c r="F17" s="69" t="n">
        <v>1</v>
      </c>
      <c r="G17" s="69" t="n">
        <v>1</v>
      </c>
      <c r="H17" s="69" t="n">
        <v>1</v>
      </c>
      <c r="I17" s="69" t="n">
        <v>1</v>
      </c>
      <c r="J17" s="69" t="n">
        <v>1</v>
      </c>
      <c r="K17" s="69" t="n">
        <v>1</v>
      </c>
      <c r="L17" s="69" t="n">
        <v>1</v>
      </c>
      <c r="M17" s="78" t="n">
        <v>1</v>
      </c>
    </row>
    <row r="18" customFormat="false" ht="23.25" hidden="false" customHeight="true" outlineLevel="0" collapsed="false">
      <c r="A18" s="12" t="s">
        <v>325</v>
      </c>
      <c r="B18" s="14" t="s">
        <v>326</v>
      </c>
      <c r="C18" s="14" t="s">
        <v>175</v>
      </c>
      <c r="D18" s="14" t="s">
        <v>327</v>
      </c>
      <c r="E18" s="14" t="s">
        <v>328</v>
      </c>
      <c r="F18" s="69" t="n">
        <v>1</v>
      </c>
      <c r="G18" s="69" t="n">
        <v>1</v>
      </c>
      <c r="H18" s="69" t="n">
        <v>0</v>
      </c>
      <c r="I18" s="69" t="n">
        <v>1</v>
      </c>
      <c r="J18" s="69" t="n">
        <v>1</v>
      </c>
      <c r="K18" s="69" t="n">
        <v>1</v>
      </c>
      <c r="L18" s="69" t="n">
        <v>1</v>
      </c>
      <c r="M18" s="78" t="n">
        <v>1</v>
      </c>
    </row>
    <row r="19" customFormat="false" ht="23.25" hidden="false" customHeight="true" outlineLevel="0" collapsed="false">
      <c r="A19" s="12" t="s">
        <v>329</v>
      </c>
      <c r="B19" s="14" t="s">
        <v>330</v>
      </c>
      <c r="C19" s="14" t="s">
        <v>175</v>
      </c>
      <c r="D19" s="14" t="s">
        <v>331</v>
      </c>
      <c r="E19" s="14" t="s">
        <v>332</v>
      </c>
      <c r="F19" s="69" t="n">
        <v>1</v>
      </c>
      <c r="G19" s="69" t="n">
        <v>1</v>
      </c>
      <c r="H19" s="69" t="n">
        <v>0</v>
      </c>
      <c r="I19" s="69" t="n">
        <v>1</v>
      </c>
      <c r="J19" s="69" t="n">
        <v>1</v>
      </c>
      <c r="K19" s="69" t="n">
        <v>1</v>
      </c>
      <c r="L19" s="69" t="n">
        <v>1</v>
      </c>
      <c r="M19" s="78" t="n">
        <v>1</v>
      </c>
    </row>
    <row r="20" customFormat="false" ht="23.25" hidden="false" customHeight="true" outlineLevel="0" collapsed="false">
      <c r="A20" s="12" t="s">
        <v>333</v>
      </c>
      <c r="B20" s="14" t="s">
        <v>334</v>
      </c>
      <c r="C20" s="14" t="s">
        <v>175</v>
      </c>
      <c r="D20" s="14" t="s">
        <v>335</v>
      </c>
      <c r="E20" s="14" t="s">
        <v>336</v>
      </c>
      <c r="F20" s="69" t="n">
        <v>1</v>
      </c>
      <c r="G20" s="69" t="n">
        <v>1</v>
      </c>
      <c r="H20" s="69" t="n">
        <v>0</v>
      </c>
      <c r="I20" s="69" t="n">
        <v>1</v>
      </c>
      <c r="J20" s="69" t="n">
        <v>1</v>
      </c>
      <c r="K20" s="69" t="n">
        <v>0</v>
      </c>
      <c r="L20" s="69" t="n">
        <v>0</v>
      </c>
      <c r="M20" s="78" t="n">
        <v>0</v>
      </c>
    </row>
    <row r="21" customFormat="false" ht="23.25" hidden="false" customHeight="true" outlineLevel="0" collapsed="false">
      <c r="A21" s="12" t="s">
        <v>337</v>
      </c>
      <c r="B21" s="14" t="s">
        <v>338</v>
      </c>
      <c r="C21" s="14" t="s">
        <v>176</v>
      </c>
      <c r="D21" s="14" t="s">
        <v>339</v>
      </c>
      <c r="E21" s="14" t="s">
        <v>340</v>
      </c>
      <c r="F21" s="69" t="n">
        <v>1</v>
      </c>
      <c r="G21" s="69" t="n">
        <v>1</v>
      </c>
      <c r="H21" s="69" t="n">
        <v>0</v>
      </c>
      <c r="I21" s="69" t="n">
        <v>0</v>
      </c>
      <c r="J21" s="69" t="n">
        <v>1</v>
      </c>
      <c r="K21" s="69" t="n">
        <v>1</v>
      </c>
      <c r="L21" s="69" t="n">
        <v>1</v>
      </c>
      <c r="M21" s="78" t="n">
        <v>1</v>
      </c>
    </row>
    <row r="22" customFormat="false" ht="23.25" hidden="false" customHeight="true" outlineLevel="0" collapsed="false">
      <c r="A22" s="12" t="s">
        <v>341</v>
      </c>
      <c r="B22" s="14" t="s">
        <v>342</v>
      </c>
      <c r="C22" s="14" t="s">
        <v>176</v>
      </c>
      <c r="D22" s="14" t="s">
        <v>343</v>
      </c>
      <c r="E22" s="14" t="s">
        <v>344</v>
      </c>
      <c r="F22" s="69" t="n">
        <v>1</v>
      </c>
      <c r="G22" s="69" t="n">
        <v>1</v>
      </c>
      <c r="H22" s="69" t="n">
        <v>1</v>
      </c>
      <c r="I22" s="69" t="n">
        <v>1</v>
      </c>
      <c r="J22" s="69" t="n">
        <v>1</v>
      </c>
      <c r="K22" s="69" t="n">
        <v>1</v>
      </c>
      <c r="L22" s="69" t="n">
        <v>1</v>
      </c>
      <c r="M22" s="78" t="n">
        <v>1</v>
      </c>
    </row>
    <row r="23" customFormat="false" ht="23.25" hidden="false" customHeight="true" outlineLevel="0" collapsed="false">
      <c r="A23" s="12" t="s">
        <v>345</v>
      </c>
      <c r="B23" s="14" t="s">
        <v>346</v>
      </c>
      <c r="C23" s="14" t="s">
        <v>176</v>
      </c>
      <c r="D23" s="14" t="s">
        <v>339</v>
      </c>
      <c r="E23" s="14" t="s">
        <v>347</v>
      </c>
      <c r="F23" s="69" t="n">
        <v>1</v>
      </c>
      <c r="G23" s="69" t="n">
        <v>1</v>
      </c>
      <c r="H23" s="69" t="n">
        <v>0</v>
      </c>
      <c r="I23" s="69" t="n">
        <v>0</v>
      </c>
      <c r="J23" s="69" t="n">
        <v>1</v>
      </c>
      <c r="K23" s="69" t="n">
        <v>1</v>
      </c>
      <c r="L23" s="69" t="n">
        <v>1</v>
      </c>
      <c r="M23" s="78" t="n">
        <v>1</v>
      </c>
    </row>
    <row r="24" customFormat="false" ht="23.25" hidden="false" customHeight="true" outlineLevel="0" collapsed="false">
      <c r="A24" s="12" t="s">
        <v>348</v>
      </c>
      <c r="B24" s="14" t="s">
        <v>349</v>
      </c>
      <c r="C24" s="14" t="s">
        <v>177</v>
      </c>
      <c r="D24" s="14" t="s">
        <v>339</v>
      </c>
      <c r="E24" s="14" t="s">
        <v>350</v>
      </c>
      <c r="F24" s="69" t="n">
        <v>1</v>
      </c>
      <c r="G24" s="69" t="n">
        <v>1</v>
      </c>
      <c r="H24" s="69" t="n">
        <v>1</v>
      </c>
      <c r="I24" s="69" t="n">
        <v>1</v>
      </c>
      <c r="J24" s="69" t="n">
        <v>1</v>
      </c>
      <c r="K24" s="69" t="n">
        <v>1</v>
      </c>
      <c r="L24" s="69" t="n">
        <v>1</v>
      </c>
      <c r="M24" s="78" t="n">
        <v>1</v>
      </c>
    </row>
    <row r="25" customFormat="false" ht="23.25" hidden="false" customHeight="true" outlineLevel="0" collapsed="false">
      <c r="A25" s="12" t="s">
        <v>351</v>
      </c>
      <c r="B25" s="14" t="s">
        <v>352</v>
      </c>
      <c r="C25" s="14" t="s">
        <v>177</v>
      </c>
      <c r="D25" s="14" t="s">
        <v>353</v>
      </c>
      <c r="E25" s="14" t="s">
        <v>354</v>
      </c>
      <c r="F25" s="69" t="n">
        <v>1</v>
      </c>
      <c r="G25" s="69" t="n">
        <v>1</v>
      </c>
      <c r="H25" s="69" t="n">
        <v>1</v>
      </c>
      <c r="I25" s="69" t="n">
        <v>1</v>
      </c>
      <c r="J25" s="69" t="n">
        <v>1</v>
      </c>
      <c r="K25" s="69" t="n">
        <v>1</v>
      </c>
      <c r="L25" s="69" t="n">
        <v>1</v>
      </c>
      <c r="M25" s="78" t="n">
        <v>1</v>
      </c>
    </row>
    <row r="26" customFormat="false" ht="23.25" hidden="false" customHeight="true" outlineLevel="0" collapsed="false">
      <c r="A26" s="12" t="s">
        <v>355</v>
      </c>
      <c r="B26" s="14" t="s">
        <v>356</v>
      </c>
      <c r="C26" s="14" t="s">
        <v>177</v>
      </c>
      <c r="D26" s="14" t="s">
        <v>327</v>
      </c>
      <c r="E26" s="14" t="s">
        <v>357</v>
      </c>
      <c r="F26" s="69" t="n">
        <v>1</v>
      </c>
      <c r="G26" s="69" t="n">
        <v>1</v>
      </c>
      <c r="H26" s="69" t="n">
        <v>1</v>
      </c>
      <c r="I26" s="69" t="n">
        <v>1</v>
      </c>
      <c r="J26" s="69" t="n">
        <v>1</v>
      </c>
      <c r="K26" s="69" t="n">
        <v>1</v>
      </c>
      <c r="L26" s="69" t="n">
        <v>1</v>
      </c>
      <c r="M26" s="78" t="n">
        <v>1</v>
      </c>
    </row>
    <row r="27" customFormat="false" ht="23.25" hidden="false" customHeight="true" outlineLevel="0" collapsed="false">
      <c r="A27" s="12" t="s">
        <v>358</v>
      </c>
      <c r="B27" s="14" t="s">
        <v>359</v>
      </c>
      <c r="C27" s="14" t="s">
        <v>177</v>
      </c>
      <c r="D27" s="14" t="s">
        <v>360</v>
      </c>
      <c r="E27" s="14" t="s">
        <v>361</v>
      </c>
      <c r="F27" s="69" t="n">
        <v>1</v>
      </c>
      <c r="G27" s="69" t="n">
        <v>1</v>
      </c>
      <c r="H27" s="69" t="n">
        <v>1</v>
      </c>
      <c r="I27" s="69" t="n">
        <v>1</v>
      </c>
      <c r="J27" s="69" t="n">
        <v>1</v>
      </c>
      <c r="K27" s="69" t="n">
        <v>1</v>
      </c>
      <c r="L27" s="69" t="n">
        <v>1</v>
      </c>
      <c r="M27" s="78" t="n">
        <v>1</v>
      </c>
    </row>
    <row r="28" customFormat="false" ht="23.25" hidden="false" customHeight="true" outlineLevel="0" collapsed="false">
      <c r="A28" s="12" t="s">
        <v>362</v>
      </c>
      <c r="B28" s="14" t="s">
        <v>363</v>
      </c>
      <c r="C28" s="14" t="s">
        <v>178</v>
      </c>
      <c r="D28" s="14" t="s">
        <v>327</v>
      </c>
      <c r="E28" s="14" t="s">
        <v>364</v>
      </c>
      <c r="F28" s="69" t="n">
        <v>1</v>
      </c>
      <c r="G28" s="69" t="n">
        <v>1</v>
      </c>
      <c r="H28" s="69" t="n">
        <v>1</v>
      </c>
      <c r="I28" s="69" t="n">
        <v>1</v>
      </c>
      <c r="J28" s="69" t="n">
        <v>1</v>
      </c>
      <c r="K28" s="69" t="n">
        <v>1</v>
      </c>
      <c r="L28" s="69" t="n">
        <v>1</v>
      </c>
      <c r="M28" s="78" t="n">
        <v>1</v>
      </c>
    </row>
    <row r="29" customFormat="false" ht="23.25" hidden="false" customHeight="true" outlineLevel="0" collapsed="false">
      <c r="A29" s="12" t="s">
        <v>365</v>
      </c>
      <c r="B29" s="14" t="s">
        <v>366</v>
      </c>
      <c r="C29" s="14" t="s">
        <v>178</v>
      </c>
      <c r="D29" s="14" t="s">
        <v>367</v>
      </c>
      <c r="E29" s="14" t="s">
        <v>368</v>
      </c>
      <c r="F29" s="69" t="n">
        <v>1</v>
      </c>
      <c r="G29" s="69" t="n">
        <v>1</v>
      </c>
      <c r="H29" s="69" t="n">
        <v>1</v>
      </c>
      <c r="I29" s="69" t="n">
        <v>1</v>
      </c>
      <c r="J29" s="69" t="n">
        <v>1</v>
      </c>
      <c r="K29" s="69" t="n">
        <v>1</v>
      </c>
      <c r="L29" s="69" t="n">
        <v>1</v>
      </c>
      <c r="M29" s="78" t="n">
        <v>1</v>
      </c>
    </row>
    <row r="30" customFormat="false" ht="23.25" hidden="false" customHeight="true" outlineLevel="0" collapsed="false">
      <c r="A30" s="12" t="s">
        <v>369</v>
      </c>
      <c r="B30" s="14" t="s">
        <v>370</v>
      </c>
      <c r="C30" s="14" t="s">
        <v>178</v>
      </c>
      <c r="D30" s="14" t="s">
        <v>371</v>
      </c>
      <c r="E30" s="14" t="s">
        <v>372</v>
      </c>
      <c r="F30" s="69" t="n">
        <v>1</v>
      </c>
      <c r="G30" s="69" t="n">
        <v>1</v>
      </c>
      <c r="H30" s="69" t="n">
        <v>1</v>
      </c>
      <c r="I30" s="69" t="n">
        <v>1</v>
      </c>
      <c r="J30" s="69" t="n">
        <v>1</v>
      </c>
      <c r="K30" s="69" t="n">
        <v>1</v>
      </c>
      <c r="L30" s="69" t="n">
        <v>1</v>
      </c>
      <c r="M30" s="78" t="n">
        <v>1</v>
      </c>
    </row>
    <row r="31" customFormat="false" ht="23.25" hidden="false" customHeight="true" outlineLevel="0" collapsed="false">
      <c r="A31" s="12" t="s">
        <v>373</v>
      </c>
      <c r="B31" s="14" t="s">
        <v>374</v>
      </c>
      <c r="C31" s="14" t="s">
        <v>178</v>
      </c>
      <c r="D31" s="14" t="s">
        <v>371</v>
      </c>
      <c r="E31" s="14" t="s">
        <v>375</v>
      </c>
      <c r="F31" s="69" t="n">
        <v>1</v>
      </c>
      <c r="G31" s="69" t="n">
        <v>1</v>
      </c>
      <c r="H31" s="69" t="n">
        <v>1</v>
      </c>
      <c r="I31" s="69" t="n">
        <v>1</v>
      </c>
      <c r="J31" s="69" t="n">
        <v>1</v>
      </c>
      <c r="K31" s="69" t="n">
        <v>1</v>
      </c>
      <c r="L31" s="69" t="n">
        <v>1</v>
      </c>
      <c r="M31" s="78" t="n">
        <v>1</v>
      </c>
    </row>
    <row r="32" customFormat="false" ht="23.25" hidden="false" customHeight="true" outlineLevel="0" collapsed="false">
      <c r="A32" s="12" t="s">
        <v>376</v>
      </c>
      <c r="B32" s="14" t="s">
        <v>377</v>
      </c>
      <c r="C32" s="14" t="s">
        <v>178</v>
      </c>
      <c r="D32" s="14" t="s">
        <v>378</v>
      </c>
      <c r="E32" s="14" t="s">
        <v>379</v>
      </c>
      <c r="F32" s="69" t="n">
        <v>1</v>
      </c>
      <c r="G32" s="69" t="n">
        <v>1</v>
      </c>
      <c r="H32" s="69" t="n">
        <v>1</v>
      </c>
      <c r="I32" s="69" t="n">
        <v>0</v>
      </c>
      <c r="J32" s="69" t="n">
        <v>0</v>
      </c>
      <c r="K32" s="69" t="n">
        <v>1</v>
      </c>
      <c r="L32" s="69" t="n">
        <v>1</v>
      </c>
      <c r="M32" s="78" t="n">
        <v>1</v>
      </c>
    </row>
    <row r="33" customFormat="false" ht="23.25" hidden="false" customHeight="true" outlineLevel="0" collapsed="false">
      <c r="A33" s="12" t="s">
        <v>380</v>
      </c>
      <c r="B33" s="14" t="s">
        <v>381</v>
      </c>
      <c r="C33" s="14" t="s">
        <v>179</v>
      </c>
      <c r="D33" s="14" t="s">
        <v>382</v>
      </c>
      <c r="E33" s="14" t="s">
        <v>383</v>
      </c>
      <c r="F33" s="69" t="n">
        <v>1</v>
      </c>
      <c r="G33" s="69" t="n">
        <v>1</v>
      </c>
      <c r="H33" s="69" t="n">
        <v>1</v>
      </c>
      <c r="I33" s="69" t="n">
        <v>1</v>
      </c>
      <c r="J33" s="69" t="n">
        <v>0</v>
      </c>
      <c r="K33" s="69" t="n">
        <v>1</v>
      </c>
      <c r="L33" s="69" t="n">
        <v>0</v>
      </c>
      <c r="M33" s="78" t="n">
        <v>0</v>
      </c>
    </row>
    <row r="34" customFormat="false" ht="23.25" hidden="false" customHeight="true" outlineLevel="0" collapsed="false">
      <c r="A34" s="12" t="s">
        <v>384</v>
      </c>
      <c r="B34" s="14" t="s">
        <v>385</v>
      </c>
      <c r="C34" s="14" t="s">
        <v>179</v>
      </c>
      <c r="D34" s="14" t="s">
        <v>386</v>
      </c>
      <c r="E34" s="14" t="s">
        <v>387</v>
      </c>
      <c r="F34" s="69" t="n">
        <v>1</v>
      </c>
      <c r="G34" s="69" t="n">
        <v>1</v>
      </c>
      <c r="H34" s="69" t="n">
        <v>1</v>
      </c>
      <c r="I34" s="69" t="n">
        <v>0</v>
      </c>
      <c r="J34" s="69" t="n">
        <v>1</v>
      </c>
      <c r="K34" s="69" t="n">
        <v>0</v>
      </c>
      <c r="L34" s="69" t="n">
        <v>1</v>
      </c>
      <c r="M34" s="78" t="n">
        <v>0</v>
      </c>
    </row>
    <row r="35" customFormat="false" ht="23.25" hidden="false" customHeight="true" outlineLevel="0" collapsed="false">
      <c r="A35" s="12" t="s">
        <v>388</v>
      </c>
      <c r="B35" s="14" t="s">
        <v>389</v>
      </c>
      <c r="C35" s="14" t="s">
        <v>179</v>
      </c>
      <c r="D35" s="14" t="s">
        <v>386</v>
      </c>
      <c r="E35" s="14" t="s">
        <v>390</v>
      </c>
      <c r="F35" s="69" t="n">
        <v>1</v>
      </c>
      <c r="G35" s="69" t="n">
        <v>1</v>
      </c>
      <c r="H35" s="69" t="n">
        <v>1</v>
      </c>
      <c r="I35" s="69" t="n">
        <v>0</v>
      </c>
      <c r="J35" s="69" t="n">
        <v>1</v>
      </c>
      <c r="K35" s="69" t="n">
        <v>0</v>
      </c>
      <c r="L35" s="69" t="n">
        <v>1</v>
      </c>
      <c r="M35" s="78" t="n">
        <v>0</v>
      </c>
    </row>
    <row r="36" customFormat="false" ht="23.25" hidden="false" customHeight="true" outlineLevel="0" collapsed="false">
      <c r="A36" s="12" t="s">
        <v>391</v>
      </c>
      <c r="B36" s="14" t="s">
        <v>392</v>
      </c>
      <c r="C36" s="14" t="s">
        <v>179</v>
      </c>
      <c r="D36" s="14" t="s">
        <v>371</v>
      </c>
      <c r="E36" s="14" t="s">
        <v>393</v>
      </c>
      <c r="F36" s="69" t="n">
        <v>1</v>
      </c>
      <c r="G36" s="69" t="n">
        <v>1</v>
      </c>
      <c r="H36" s="69" t="n">
        <v>0</v>
      </c>
      <c r="I36" s="69" t="n">
        <v>1</v>
      </c>
      <c r="J36" s="69" t="n">
        <v>1</v>
      </c>
      <c r="K36" s="69" t="n">
        <v>0</v>
      </c>
      <c r="L36" s="69" t="n">
        <v>0</v>
      </c>
      <c r="M36" s="78" t="n">
        <v>0</v>
      </c>
    </row>
    <row r="37" customFormat="false" ht="23.25" hidden="false" customHeight="true" outlineLevel="0" collapsed="false">
      <c r="A37" s="12" t="s">
        <v>394</v>
      </c>
      <c r="B37" s="14" t="s">
        <v>395</v>
      </c>
      <c r="C37" s="14" t="s">
        <v>179</v>
      </c>
      <c r="D37" s="14" t="s">
        <v>396</v>
      </c>
      <c r="E37" s="14" t="s">
        <v>397</v>
      </c>
      <c r="F37" s="69" t="n">
        <v>1</v>
      </c>
      <c r="G37" s="69" t="n">
        <v>1</v>
      </c>
      <c r="H37" s="69" t="n">
        <v>1</v>
      </c>
      <c r="I37" s="69" t="n">
        <v>1</v>
      </c>
      <c r="J37" s="69" t="n">
        <v>1</v>
      </c>
      <c r="K37" s="69" t="n">
        <v>0</v>
      </c>
      <c r="L37" s="69" t="n">
        <v>1</v>
      </c>
      <c r="M37" s="78" t="n">
        <v>1</v>
      </c>
    </row>
    <row r="38" customFormat="false" ht="23.25" hidden="false" customHeight="true" outlineLevel="0" collapsed="false">
      <c r="A38" s="17" t="s">
        <v>398</v>
      </c>
      <c r="B38" s="18" t="s">
        <v>399</v>
      </c>
      <c r="C38" s="18" t="s">
        <v>179</v>
      </c>
      <c r="D38" s="18" t="s">
        <v>400</v>
      </c>
      <c r="E38" s="18" t="s">
        <v>401</v>
      </c>
      <c r="F38" s="70" t="n">
        <v>1</v>
      </c>
      <c r="G38" s="70" t="n">
        <v>1</v>
      </c>
      <c r="H38" s="70" t="n">
        <v>1</v>
      </c>
      <c r="I38" s="70" t="n">
        <v>0</v>
      </c>
      <c r="J38" s="70" t="n">
        <v>0</v>
      </c>
      <c r="K38" s="70" t="n">
        <v>0</v>
      </c>
      <c r="L38" s="70" t="n">
        <v>0</v>
      </c>
      <c r="M38" s="79" t="n">
        <v>1</v>
      </c>
    </row>
  </sheetData>
  <mergeCells count="3">
    <mergeCell ref="A1:L1"/>
    <mergeCell ref="A2:L2"/>
    <mergeCell ref="A3:L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7"/>
  <sheetViews>
    <sheetView showFormulas="false" showGridLines="false" showRowColHeaders="true" showZeros="true" rightToLeft="false" tabSelected="false" showOutlineSymbols="true" defaultGridColor="true" view="normal" topLeftCell="A21" colorId="64" zoomScale="100" zoomScaleNormal="100" zoomScalePageLayoutView="100" workbookViewId="0">
      <selection pane="topLeft" activeCell="G72" activeCellId="0" sqref="G72"/>
    </sheetView>
  </sheetViews>
  <sheetFormatPr defaultColWidth="8.58984375" defaultRowHeight="15" customHeight="false" zeroHeight="false" outlineLevelRow="0" outlineLevelCol="0"/>
  <cols>
    <col collapsed="false" customWidth="true" hidden="false" outlineLevel="0" max="2" min="1" style="1" width="10"/>
    <col collapsed="false" customWidth="true" hidden="false" outlineLevel="0" max="3" min="3" style="1" width="13.34"/>
    <col collapsed="false" customWidth="true" hidden="false" outlineLevel="0" max="4" min="4" style="1" width="51.11"/>
  </cols>
  <sheetData>
    <row r="1" customFormat="false" ht="27" hidden="false" customHeight="true" outlineLevel="0" collapsed="false">
      <c r="A1" s="2" t="s">
        <v>402</v>
      </c>
      <c r="B1" s="2"/>
      <c r="C1" s="2"/>
      <c r="D1" s="2"/>
      <c r="E1" s="2"/>
      <c r="F1" s="2"/>
      <c r="G1" s="2"/>
      <c r="H1" s="2"/>
      <c r="I1" s="2"/>
      <c r="J1" s="2"/>
      <c r="K1" s="2"/>
      <c r="L1" s="2"/>
    </row>
    <row r="2" customFormat="false" ht="36" hidden="false" customHeight="true" outlineLevel="0" collapsed="false">
      <c r="A2" s="3" t="s">
        <v>403</v>
      </c>
      <c r="B2" s="3"/>
      <c r="C2" s="3"/>
      <c r="D2" s="3"/>
      <c r="E2" s="3"/>
      <c r="F2" s="3"/>
      <c r="G2" s="3"/>
      <c r="H2" s="3"/>
      <c r="I2" s="3"/>
      <c r="J2" s="3"/>
      <c r="K2" s="3"/>
      <c r="L2" s="3"/>
    </row>
    <row r="3" customFormat="false" ht="48" hidden="false" customHeight="true" outlineLevel="0" collapsed="false">
      <c r="A3" s="20" t="s">
        <v>404</v>
      </c>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15" customFormat="false" ht="23.25" hidden="false" customHeight="true" outlineLevel="0" collapsed="false">
      <c r="A15" s="21" t="s">
        <v>136</v>
      </c>
      <c r="B15" s="22" t="s">
        <v>312</v>
      </c>
      <c r="C15" s="22" t="s">
        <v>405</v>
      </c>
      <c r="D15" s="23" t="s">
        <v>180</v>
      </c>
    </row>
    <row r="16" customFormat="false" ht="23.25" hidden="false" customHeight="true" outlineLevel="0" collapsed="false">
      <c r="A16" s="8" t="s">
        <v>139</v>
      </c>
      <c r="B16" s="10" t="s">
        <v>317</v>
      </c>
      <c r="C16" s="80" t="n">
        <v>1</v>
      </c>
      <c r="D16" s="11" t="s">
        <v>406</v>
      </c>
    </row>
    <row r="17" customFormat="false" ht="23.25" hidden="false" customHeight="true" outlineLevel="0" collapsed="false">
      <c r="A17" s="12" t="s">
        <v>139</v>
      </c>
      <c r="B17" s="14" t="s">
        <v>321</v>
      </c>
      <c r="C17" s="81" t="n">
        <v>1</v>
      </c>
      <c r="D17" s="15" t="s">
        <v>406</v>
      </c>
    </row>
    <row r="18" customFormat="false" ht="23.25" hidden="false" customHeight="true" outlineLevel="0" collapsed="false">
      <c r="A18" s="12" t="s">
        <v>139</v>
      </c>
      <c r="B18" s="14" t="s">
        <v>325</v>
      </c>
      <c r="C18" s="81" t="n">
        <v>0.7</v>
      </c>
      <c r="D18" s="15" t="s">
        <v>406</v>
      </c>
    </row>
    <row r="19" customFormat="false" ht="23.25" hidden="false" customHeight="true" outlineLevel="0" collapsed="false">
      <c r="A19" s="12" t="s">
        <v>139</v>
      </c>
      <c r="B19" s="14" t="s">
        <v>355</v>
      </c>
      <c r="C19" s="81" t="n">
        <v>0.7</v>
      </c>
      <c r="D19" s="15" t="s">
        <v>406</v>
      </c>
    </row>
    <row r="20" customFormat="false" ht="23.25" hidden="false" customHeight="true" outlineLevel="0" collapsed="false">
      <c r="A20" s="12" t="s">
        <v>139</v>
      </c>
      <c r="B20" s="14" t="s">
        <v>362</v>
      </c>
      <c r="C20" s="81" t="n">
        <v>0.6</v>
      </c>
      <c r="D20" s="15" t="s">
        <v>406</v>
      </c>
    </row>
    <row r="21" customFormat="false" ht="23.25" hidden="false" customHeight="true" outlineLevel="0" collapsed="false">
      <c r="A21" s="12" t="s">
        <v>139</v>
      </c>
      <c r="B21" s="14" t="s">
        <v>376</v>
      </c>
      <c r="C21" s="81" t="n">
        <v>0.8</v>
      </c>
      <c r="D21" s="15" t="s">
        <v>406</v>
      </c>
    </row>
    <row r="22" customFormat="false" ht="23.25" hidden="false" customHeight="true" outlineLevel="0" collapsed="false">
      <c r="A22" s="12" t="s">
        <v>139</v>
      </c>
      <c r="B22" s="14" t="s">
        <v>380</v>
      </c>
      <c r="C22" s="81" t="n">
        <v>0.7</v>
      </c>
      <c r="D22" s="15" t="s">
        <v>406</v>
      </c>
    </row>
    <row r="23" customFormat="false" ht="23.25" hidden="false" customHeight="true" outlineLevel="0" collapsed="false">
      <c r="A23" s="12" t="s">
        <v>139</v>
      </c>
      <c r="B23" s="14" t="s">
        <v>398</v>
      </c>
      <c r="C23" s="81" t="n">
        <v>0.8</v>
      </c>
      <c r="D23" s="15" t="s">
        <v>406</v>
      </c>
    </row>
    <row r="24" customFormat="false" ht="23.25" hidden="false" customHeight="true" outlineLevel="0" collapsed="false">
      <c r="A24" s="12" t="s">
        <v>139</v>
      </c>
      <c r="B24" s="14" t="s">
        <v>394</v>
      </c>
      <c r="C24" s="81" t="n">
        <v>0.5</v>
      </c>
      <c r="D24" s="15" t="s">
        <v>406</v>
      </c>
    </row>
    <row r="25" customFormat="false" ht="23.25" hidden="false" customHeight="true" outlineLevel="0" collapsed="false">
      <c r="A25" s="12" t="s">
        <v>139</v>
      </c>
      <c r="B25" s="14" t="s">
        <v>384</v>
      </c>
      <c r="C25" s="81" t="n">
        <v>0.7</v>
      </c>
      <c r="D25" s="15" t="s">
        <v>406</v>
      </c>
    </row>
    <row r="26" customFormat="false" ht="23.25" hidden="false" customHeight="true" outlineLevel="0" collapsed="false">
      <c r="A26" s="12" t="s">
        <v>139</v>
      </c>
      <c r="B26" s="14" t="s">
        <v>388</v>
      </c>
      <c r="C26" s="81" t="n">
        <v>0.6</v>
      </c>
      <c r="D26" s="15" t="s">
        <v>406</v>
      </c>
    </row>
    <row r="27" customFormat="false" ht="23.25" hidden="false" customHeight="true" outlineLevel="0" collapsed="false">
      <c r="A27" s="12" t="s">
        <v>143</v>
      </c>
      <c r="B27" s="14" t="s">
        <v>317</v>
      </c>
      <c r="C27" s="81" t="n">
        <v>1</v>
      </c>
      <c r="D27" s="15" t="s">
        <v>406</v>
      </c>
    </row>
    <row r="28" customFormat="false" ht="23.25" hidden="false" customHeight="true" outlineLevel="0" collapsed="false">
      <c r="A28" s="12" t="s">
        <v>143</v>
      </c>
      <c r="B28" s="14" t="s">
        <v>337</v>
      </c>
      <c r="C28" s="81" t="n">
        <v>0.8</v>
      </c>
      <c r="D28" s="15" t="s">
        <v>406</v>
      </c>
    </row>
    <row r="29" customFormat="false" ht="23.25" hidden="false" customHeight="true" outlineLevel="0" collapsed="false">
      <c r="A29" s="12" t="s">
        <v>143</v>
      </c>
      <c r="B29" s="14" t="s">
        <v>341</v>
      </c>
      <c r="C29" s="81" t="n">
        <v>0.9</v>
      </c>
      <c r="D29" s="15" t="s">
        <v>406</v>
      </c>
    </row>
    <row r="30" customFormat="false" ht="23.25" hidden="false" customHeight="true" outlineLevel="0" collapsed="false">
      <c r="A30" s="12" t="s">
        <v>143</v>
      </c>
      <c r="B30" s="14" t="s">
        <v>348</v>
      </c>
      <c r="C30" s="81" t="n">
        <v>0.7</v>
      </c>
      <c r="D30" s="15" t="s">
        <v>406</v>
      </c>
    </row>
    <row r="31" customFormat="false" ht="23.25" hidden="false" customHeight="true" outlineLevel="0" collapsed="false">
      <c r="A31" s="12" t="s">
        <v>143</v>
      </c>
      <c r="B31" s="14" t="s">
        <v>351</v>
      </c>
      <c r="C31" s="81" t="n">
        <v>0.8</v>
      </c>
      <c r="D31" s="15" t="s">
        <v>406</v>
      </c>
    </row>
    <row r="32" customFormat="false" ht="23.25" hidden="false" customHeight="true" outlineLevel="0" collapsed="false">
      <c r="A32" s="12" t="s">
        <v>143</v>
      </c>
      <c r="B32" s="14" t="s">
        <v>365</v>
      </c>
      <c r="C32" s="81" t="n">
        <v>0.6</v>
      </c>
      <c r="D32" s="15" t="s">
        <v>406</v>
      </c>
    </row>
    <row r="33" customFormat="false" ht="23.25" hidden="false" customHeight="true" outlineLevel="0" collapsed="false">
      <c r="A33" s="12" t="s">
        <v>143</v>
      </c>
      <c r="B33" s="14" t="s">
        <v>369</v>
      </c>
      <c r="C33" s="81" t="n">
        <v>0.8</v>
      </c>
      <c r="D33" s="15" t="s">
        <v>406</v>
      </c>
    </row>
    <row r="34" customFormat="false" ht="23.25" hidden="false" customHeight="true" outlineLevel="0" collapsed="false">
      <c r="A34" s="12" t="s">
        <v>143</v>
      </c>
      <c r="B34" s="14" t="s">
        <v>376</v>
      </c>
      <c r="C34" s="81" t="n">
        <v>0.7</v>
      </c>
      <c r="D34" s="15" t="s">
        <v>406</v>
      </c>
    </row>
    <row r="35" customFormat="false" ht="23.25" hidden="false" customHeight="true" outlineLevel="0" collapsed="false">
      <c r="A35" s="12" t="s">
        <v>143</v>
      </c>
      <c r="B35" s="14" t="s">
        <v>384</v>
      </c>
      <c r="C35" s="81" t="n">
        <v>0.8</v>
      </c>
      <c r="D35" s="15" t="s">
        <v>406</v>
      </c>
    </row>
    <row r="36" customFormat="false" ht="23.25" hidden="false" customHeight="true" outlineLevel="0" collapsed="false">
      <c r="A36" s="12" t="s">
        <v>143</v>
      </c>
      <c r="B36" s="14" t="s">
        <v>388</v>
      </c>
      <c r="C36" s="81" t="n">
        <v>0.7</v>
      </c>
      <c r="D36" s="15" t="s">
        <v>406</v>
      </c>
    </row>
    <row r="37" customFormat="false" ht="23.25" hidden="false" customHeight="true" outlineLevel="0" collapsed="false">
      <c r="A37" s="12" t="s">
        <v>143</v>
      </c>
      <c r="B37" s="14" t="s">
        <v>380</v>
      </c>
      <c r="C37" s="81" t="n">
        <v>0.7</v>
      </c>
      <c r="D37" s="15" t="s">
        <v>406</v>
      </c>
    </row>
    <row r="38" customFormat="false" ht="23.25" hidden="false" customHeight="true" outlineLevel="0" collapsed="false">
      <c r="A38" s="12" t="s">
        <v>143</v>
      </c>
      <c r="B38" s="14" t="s">
        <v>398</v>
      </c>
      <c r="C38" s="81" t="n">
        <v>0.5</v>
      </c>
      <c r="D38" s="15" t="s">
        <v>406</v>
      </c>
    </row>
    <row r="39" customFormat="false" ht="23.25" hidden="false" customHeight="true" outlineLevel="0" collapsed="false">
      <c r="A39" s="12" t="s">
        <v>143</v>
      </c>
      <c r="B39" s="14" t="s">
        <v>394</v>
      </c>
      <c r="C39" s="81" t="n">
        <v>0.5</v>
      </c>
      <c r="D39" s="15" t="s">
        <v>406</v>
      </c>
    </row>
    <row r="40" customFormat="false" ht="23.25" hidden="false" customHeight="true" outlineLevel="0" collapsed="false">
      <c r="A40" s="12" t="s">
        <v>146</v>
      </c>
      <c r="B40" s="14" t="s">
        <v>329</v>
      </c>
      <c r="C40" s="81" t="n">
        <v>1</v>
      </c>
      <c r="D40" s="15" t="s">
        <v>406</v>
      </c>
    </row>
    <row r="41" customFormat="false" ht="23.25" hidden="false" customHeight="true" outlineLevel="0" collapsed="false">
      <c r="A41" s="12" t="s">
        <v>146</v>
      </c>
      <c r="B41" s="14" t="s">
        <v>341</v>
      </c>
      <c r="C41" s="81" t="n">
        <v>0.8</v>
      </c>
      <c r="D41" s="15" t="s">
        <v>406</v>
      </c>
    </row>
    <row r="42" customFormat="false" ht="23.25" hidden="false" customHeight="true" outlineLevel="0" collapsed="false">
      <c r="A42" s="12" t="s">
        <v>146</v>
      </c>
      <c r="B42" s="14" t="s">
        <v>348</v>
      </c>
      <c r="C42" s="81" t="n">
        <v>0.7</v>
      </c>
      <c r="D42" s="15" t="s">
        <v>406</v>
      </c>
    </row>
    <row r="43" customFormat="false" ht="23.25" hidden="false" customHeight="true" outlineLevel="0" collapsed="false">
      <c r="A43" s="12" t="s">
        <v>146</v>
      </c>
      <c r="B43" s="14" t="s">
        <v>351</v>
      </c>
      <c r="C43" s="81" t="n">
        <v>0.6</v>
      </c>
      <c r="D43" s="15" t="s">
        <v>406</v>
      </c>
    </row>
    <row r="44" customFormat="false" ht="23.25" hidden="false" customHeight="true" outlineLevel="0" collapsed="false">
      <c r="A44" s="12" t="s">
        <v>146</v>
      </c>
      <c r="B44" s="14" t="s">
        <v>365</v>
      </c>
      <c r="C44" s="81" t="n">
        <v>0.7</v>
      </c>
      <c r="D44" s="15" t="s">
        <v>406</v>
      </c>
    </row>
    <row r="45" customFormat="false" ht="23.25" hidden="false" customHeight="true" outlineLevel="0" collapsed="false">
      <c r="A45" s="12" t="s">
        <v>146</v>
      </c>
      <c r="B45" s="14" t="s">
        <v>373</v>
      </c>
      <c r="C45" s="81" t="n">
        <v>0.9</v>
      </c>
      <c r="D45" s="15" t="s">
        <v>406</v>
      </c>
    </row>
    <row r="46" customFormat="false" ht="23.25" hidden="false" customHeight="true" outlineLevel="0" collapsed="false">
      <c r="A46" s="12" t="s">
        <v>146</v>
      </c>
      <c r="B46" s="14" t="s">
        <v>369</v>
      </c>
      <c r="C46" s="81" t="n">
        <v>0.7</v>
      </c>
      <c r="D46" s="15" t="s">
        <v>406</v>
      </c>
    </row>
    <row r="47" customFormat="false" ht="23.25" hidden="false" customHeight="true" outlineLevel="0" collapsed="false">
      <c r="A47" s="12" t="s">
        <v>146</v>
      </c>
      <c r="B47" s="14" t="s">
        <v>384</v>
      </c>
      <c r="C47" s="81" t="n">
        <v>0.6</v>
      </c>
      <c r="D47" s="15" t="s">
        <v>406</v>
      </c>
    </row>
    <row r="48" customFormat="false" ht="23.25" hidden="false" customHeight="true" outlineLevel="0" collapsed="false">
      <c r="A48" s="12" t="s">
        <v>146</v>
      </c>
      <c r="B48" s="14" t="s">
        <v>388</v>
      </c>
      <c r="C48" s="81" t="n">
        <v>0.5</v>
      </c>
      <c r="D48" s="15" t="s">
        <v>406</v>
      </c>
    </row>
    <row r="49" customFormat="false" ht="23.25" hidden="false" customHeight="true" outlineLevel="0" collapsed="false">
      <c r="A49" s="12" t="s">
        <v>146</v>
      </c>
      <c r="B49" s="14" t="s">
        <v>380</v>
      </c>
      <c r="C49" s="81" t="n">
        <v>0.6</v>
      </c>
      <c r="D49" s="15" t="s">
        <v>406</v>
      </c>
    </row>
    <row r="50" customFormat="false" ht="23.25" hidden="false" customHeight="true" outlineLevel="0" collapsed="false">
      <c r="A50" s="12" t="s">
        <v>146</v>
      </c>
      <c r="B50" s="14" t="s">
        <v>394</v>
      </c>
      <c r="C50" s="81" t="n">
        <v>0.6</v>
      </c>
      <c r="D50" s="15" t="s">
        <v>406</v>
      </c>
    </row>
    <row r="51" customFormat="false" ht="23.25" hidden="false" customHeight="true" outlineLevel="0" collapsed="false">
      <c r="A51" s="12" t="s">
        <v>146</v>
      </c>
      <c r="B51" s="14" t="s">
        <v>398</v>
      </c>
      <c r="C51" s="81" t="n">
        <v>0.4</v>
      </c>
      <c r="D51" s="15" t="s">
        <v>406</v>
      </c>
    </row>
    <row r="52" customFormat="false" ht="23.25" hidden="false" customHeight="true" outlineLevel="0" collapsed="false">
      <c r="A52" s="12" t="s">
        <v>149</v>
      </c>
      <c r="B52" s="14" t="s">
        <v>358</v>
      </c>
      <c r="C52" s="81" t="n">
        <v>1</v>
      </c>
      <c r="D52" s="15" t="s">
        <v>406</v>
      </c>
    </row>
    <row r="53" customFormat="false" ht="23.25" hidden="false" customHeight="true" outlineLevel="0" collapsed="false">
      <c r="A53" s="12" t="s">
        <v>149</v>
      </c>
      <c r="B53" s="14" t="s">
        <v>355</v>
      </c>
      <c r="C53" s="81" t="n">
        <v>0.6</v>
      </c>
      <c r="D53" s="15" t="s">
        <v>406</v>
      </c>
    </row>
    <row r="54" customFormat="false" ht="23.25" hidden="false" customHeight="true" outlineLevel="0" collapsed="false">
      <c r="A54" s="12" t="s">
        <v>149</v>
      </c>
      <c r="B54" s="14" t="s">
        <v>362</v>
      </c>
      <c r="C54" s="81" t="n">
        <v>0.5</v>
      </c>
      <c r="D54" s="15" t="s">
        <v>406</v>
      </c>
    </row>
    <row r="55" customFormat="false" ht="23.25" hidden="false" customHeight="true" outlineLevel="0" collapsed="false">
      <c r="A55" s="12" t="s">
        <v>149</v>
      </c>
      <c r="B55" s="14" t="s">
        <v>376</v>
      </c>
      <c r="C55" s="81" t="n">
        <v>0.7</v>
      </c>
      <c r="D55" s="15" t="s">
        <v>406</v>
      </c>
    </row>
    <row r="56" customFormat="false" ht="23.25" hidden="false" customHeight="true" outlineLevel="0" collapsed="false">
      <c r="A56" s="12" t="s">
        <v>149</v>
      </c>
      <c r="B56" s="14" t="s">
        <v>380</v>
      </c>
      <c r="C56" s="81" t="n">
        <v>0.6</v>
      </c>
      <c r="D56" s="15" t="s">
        <v>406</v>
      </c>
    </row>
    <row r="57" customFormat="false" ht="23.25" hidden="false" customHeight="true" outlineLevel="0" collapsed="false">
      <c r="A57" s="12" t="s">
        <v>149</v>
      </c>
      <c r="B57" s="14" t="s">
        <v>384</v>
      </c>
      <c r="C57" s="81" t="n">
        <v>0.5</v>
      </c>
      <c r="D57" s="15" t="s">
        <v>406</v>
      </c>
    </row>
    <row r="58" customFormat="false" ht="23.25" hidden="false" customHeight="true" outlineLevel="0" collapsed="false">
      <c r="A58" s="12" t="s">
        <v>149</v>
      </c>
      <c r="B58" s="14" t="s">
        <v>394</v>
      </c>
      <c r="C58" s="81" t="n">
        <v>0.6</v>
      </c>
      <c r="D58" s="15" t="s">
        <v>406</v>
      </c>
    </row>
    <row r="59" customFormat="false" ht="23.25" hidden="false" customHeight="true" outlineLevel="0" collapsed="false">
      <c r="A59" s="12" t="s">
        <v>149</v>
      </c>
      <c r="B59" s="14" t="s">
        <v>398</v>
      </c>
      <c r="C59" s="81" t="n">
        <v>0.5</v>
      </c>
      <c r="D59" s="15" t="s">
        <v>406</v>
      </c>
    </row>
    <row r="60" customFormat="false" ht="23.25" hidden="false" customHeight="true" outlineLevel="0" collapsed="false">
      <c r="A60" s="12" t="s">
        <v>152</v>
      </c>
      <c r="B60" s="14" t="s">
        <v>333</v>
      </c>
      <c r="C60" s="81" t="n">
        <v>1</v>
      </c>
      <c r="D60" s="15" t="s">
        <v>406</v>
      </c>
    </row>
    <row r="61" customFormat="false" ht="23.25" hidden="false" customHeight="true" outlineLevel="0" collapsed="false">
      <c r="A61" s="12" t="s">
        <v>152</v>
      </c>
      <c r="B61" s="14" t="s">
        <v>391</v>
      </c>
      <c r="C61" s="81" t="n">
        <v>1</v>
      </c>
      <c r="D61" s="15" t="s">
        <v>406</v>
      </c>
    </row>
    <row r="62" customFormat="false" ht="23.25" hidden="false" customHeight="true" outlineLevel="0" collapsed="false">
      <c r="A62" s="12" t="s">
        <v>156</v>
      </c>
      <c r="B62" s="14" t="s">
        <v>355</v>
      </c>
      <c r="C62" s="81" t="n">
        <v>0.8</v>
      </c>
      <c r="D62" s="15" t="s">
        <v>406</v>
      </c>
    </row>
    <row r="63" customFormat="false" ht="23.25" hidden="false" customHeight="true" outlineLevel="0" collapsed="false">
      <c r="A63" s="12" t="s">
        <v>156</v>
      </c>
      <c r="B63" s="14" t="s">
        <v>362</v>
      </c>
      <c r="C63" s="81" t="n">
        <v>0.6</v>
      </c>
      <c r="D63" s="15" t="s">
        <v>406</v>
      </c>
    </row>
    <row r="64" customFormat="false" ht="23.25" hidden="false" customHeight="true" outlineLevel="0" collapsed="false">
      <c r="A64" s="12" t="s">
        <v>156</v>
      </c>
      <c r="B64" s="14" t="s">
        <v>376</v>
      </c>
      <c r="C64" s="81" t="n">
        <v>0.9</v>
      </c>
      <c r="D64" s="15" t="s">
        <v>406</v>
      </c>
    </row>
    <row r="65" customFormat="false" ht="23.25" hidden="false" customHeight="true" outlineLevel="0" collapsed="false">
      <c r="A65" s="12" t="s">
        <v>156</v>
      </c>
      <c r="B65" s="14" t="s">
        <v>380</v>
      </c>
      <c r="C65" s="81" t="n">
        <v>0.8</v>
      </c>
      <c r="D65" s="15" t="s">
        <v>406</v>
      </c>
    </row>
    <row r="66" customFormat="false" ht="23.25" hidden="false" customHeight="true" outlineLevel="0" collapsed="false">
      <c r="A66" s="12" t="s">
        <v>156</v>
      </c>
      <c r="B66" s="14" t="s">
        <v>394</v>
      </c>
      <c r="C66" s="81" t="n">
        <v>0.9</v>
      </c>
      <c r="D66" s="15" t="s">
        <v>406</v>
      </c>
    </row>
    <row r="67" customFormat="false" ht="23.25" hidden="false" customHeight="true" outlineLevel="0" collapsed="false">
      <c r="A67" s="17" t="s">
        <v>156</v>
      </c>
      <c r="B67" s="18" t="s">
        <v>398</v>
      </c>
      <c r="C67" s="82" t="n">
        <v>0.9</v>
      </c>
      <c r="D67" s="19" t="s">
        <v>406</v>
      </c>
    </row>
  </sheetData>
  <mergeCells count="3">
    <mergeCell ref="A1:L1"/>
    <mergeCell ref="A2:L2"/>
    <mergeCell ref="A3:L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G9" activeCellId="0" sqref="G9"/>
    </sheetView>
  </sheetViews>
  <sheetFormatPr defaultColWidth="8.58984375" defaultRowHeight="15" customHeight="false" zeroHeight="false" outlineLevelRow="0" outlineLevelCol="0"/>
  <cols>
    <col collapsed="false" customWidth="true" hidden="false" outlineLevel="0" max="1" min="1" style="1" width="8.89"/>
    <col collapsed="false" customWidth="true" hidden="false" outlineLevel="0" max="2" min="2" style="1" width="28.89"/>
    <col collapsed="false" customWidth="true" hidden="false" outlineLevel="0" max="3" min="3" style="1" width="16.11"/>
    <col collapsed="false" customWidth="true" hidden="false" outlineLevel="0" max="4" min="4" style="1" width="17.78"/>
    <col collapsed="false" customWidth="true" hidden="false" outlineLevel="0" max="5" min="5" style="1" width="14.44"/>
    <col collapsed="false" customWidth="true" hidden="false" outlineLevel="0" max="6" min="6" style="1" width="13.34"/>
    <col collapsed="false" customWidth="true" hidden="false" outlineLevel="0" max="7" min="7" style="1" width="47.79"/>
    <col collapsed="false" customWidth="true" hidden="false" outlineLevel="0" max="8" min="8" style="1" width="13.34"/>
    <col collapsed="false" customWidth="true" hidden="false" outlineLevel="0" max="10" min="9" style="1" width="12.22"/>
  </cols>
  <sheetData>
    <row r="1" customFormat="false" ht="27" hidden="false" customHeight="true" outlineLevel="0" collapsed="false">
      <c r="A1" s="2" t="s">
        <v>407</v>
      </c>
      <c r="B1" s="2"/>
      <c r="C1" s="2"/>
      <c r="D1" s="2"/>
      <c r="E1" s="2"/>
      <c r="F1" s="2"/>
      <c r="G1" s="2"/>
      <c r="H1" s="2"/>
      <c r="I1" s="2"/>
      <c r="J1" s="2"/>
      <c r="K1" s="2"/>
      <c r="L1" s="2"/>
    </row>
    <row r="2" customFormat="false" ht="36" hidden="false" customHeight="true" outlineLevel="0" collapsed="false">
      <c r="A2" s="3" t="s">
        <v>408</v>
      </c>
      <c r="B2" s="3"/>
      <c r="C2" s="3"/>
      <c r="D2" s="3"/>
      <c r="E2" s="3"/>
      <c r="F2" s="3"/>
      <c r="G2" s="3"/>
      <c r="H2" s="3"/>
      <c r="I2" s="3"/>
      <c r="J2" s="3"/>
      <c r="K2" s="3"/>
      <c r="L2" s="3"/>
    </row>
    <row r="3" customFormat="false" ht="48" hidden="false" customHeight="true" outlineLevel="0" collapsed="false">
      <c r="A3" s="20" t="s">
        <v>409</v>
      </c>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15" customFormat="false" ht="23.25" hidden="false" customHeight="true" outlineLevel="0" collapsed="false">
      <c r="A15" s="21" t="s">
        <v>410</v>
      </c>
      <c r="B15" s="22" t="s">
        <v>411</v>
      </c>
      <c r="C15" s="22" t="s">
        <v>412</v>
      </c>
      <c r="D15" s="22" t="s">
        <v>413</v>
      </c>
      <c r="E15" s="22" t="s">
        <v>414</v>
      </c>
      <c r="F15" s="22" t="s">
        <v>415</v>
      </c>
      <c r="G15" s="22" t="s">
        <v>32</v>
      </c>
      <c r="H15" s="22" t="s">
        <v>416</v>
      </c>
      <c r="I15" s="22" t="s">
        <v>33</v>
      </c>
      <c r="J15" s="23" t="s">
        <v>34</v>
      </c>
    </row>
    <row r="16" customFormat="false" ht="23.25" hidden="false" customHeight="true" outlineLevel="0" collapsed="false">
      <c r="A16" s="8" t="s">
        <v>417</v>
      </c>
      <c r="B16" s="10" t="s">
        <v>418</v>
      </c>
      <c r="C16" s="10" t="s">
        <v>419</v>
      </c>
      <c r="D16" s="10" t="s">
        <v>420</v>
      </c>
      <c r="E16" s="24" t="s">
        <v>421</v>
      </c>
      <c r="F16" s="53" t="n">
        <v>0.75</v>
      </c>
      <c r="G16" s="10" t="s">
        <v>422</v>
      </c>
      <c r="H16" s="10" t="s">
        <v>423</v>
      </c>
      <c r="I16" s="10" t="s">
        <v>38</v>
      </c>
      <c r="J16" s="11" t="s">
        <v>39</v>
      </c>
    </row>
    <row r="17" customFormat="false" ht="23.25" hidden="false" customHeight="true" outlineLevel="0" collapsed="false">
      <c r="A17" s="12" t="s">
        <v>424</v>
      </c>
      <c r="B17" s="14" t="s">
        <v>425</v>
      </c>
      <c r="C17" s="14" t="s">
        <v>426</v>
      </c>
      <c r="D17" s="14" t="s">
        <v>427</v>
      </c>
      <c r="E17" s="25" t="s">
        <v>421</v>
      </c>
      <c r="F17" s="56" t="n">
        <v>0.75</v>
      </c>
      <c r="G17" s="14" t="s">
        <v>428</v>
      </c>
      <c r="H17" s="14" t="s">
        <v>423</v>
      </c>
      <c r="I17" s="14" t="s">
        <v>38</v>
      </c>
      <c r="J17" s="15" t="s">
        <v>39</v>
      </c>
    </row>
    <row r="18" customFormat="false" ht="23.25" hidden="false" customHeight="true" outlineLevel="0" collapsed="false">
      <c r="A18" s="12" t="s">
        <v>429</v>
      </c>
      <c r="B18" s="14" t="s">
        <v>430</v>
      </c>
      <c r="C18" s="14" t="s">
        <v>426</v>
      </c>
      <c r="D18" s="14" t="s">
        <v>431</v>
      </c>
      <c r="E18" s="25" t="s">
        <v>421</v>
      </c>
      <c r="F18" s="56" t="n">
        <v>0.75</v>
      </c>
      <c r="G18" s="14" t="s">
        <v>432</v>
      </c>
      <c r="H18" s="14" t="s">
        <v>423</v>
      </c>
      <c r="I18" s="14" t="s">
        <v>38</v>
      </c>
      <c r="J18" s="15" t="s">
        <v>39</v>
      </c>
    </row>
    <row r="19" customFormat="false" ht="23.25" hidden="false" customHeight="true" outlineLevel="0" collapsed="false">
      <c r="A19" s="12" t="s">
        <v>433</v>
      </c>
      <c r="B19" s="14" t="s">
        <v>434</v>
      </c>
      <c r="C19" s="14" t="s">
        <v>435</v>
      </c>
      <c r="D19" s="14" t="s">
        <v>436</v>
      </c>
      <c r="E19" s="25" t="s">
        <v>421</v>
      </c>
      <c r="F19" s="56" t="n">
        <v>0.75</v>
      </c>
      <c r="G19" s="14" t="s">
        <v>437</v>
      </c>
      <c r="H19" s="14" t="s">
        <v>423</v>
      </c>
      <c r="I19" s="14" t="s">
        <v>38</v>
      </c>
      <c r="J19" s="15" t="s">
        <v>39</v>
      </c>
    </row>
    <row r="20" customFormat="false" ht="23.25" hidden="false" customHeight="true" outlineLevel="0" collapsed="false">
      <c r="A20" s="12" t="s">
        <v>438</v>
      </c>
      <c r="B20" s="14" t="s">
        <v>439</v>
      </c>
      <c r="C20" s="14" t="s">
        <v>440</v>
      </c>
      <c r="D20" s="14" t="s">
        <v>441</v>
      </c>
      <c r="E20" s="25" t="s">
        <v>421</v>
      </c>
      <c r="F20" s="56" t="n">
        <v>0.75</v>
      </c>
      <c r="G20" s="14" t="s">
        <v>442</v>
      </c>
      <c r="H20" s="14" t="s">
        <v>423</v>
      </c>
      <c r="I20" s="14" t="s">
        <v>38</v>
      </c>
      <c r="J20" s="15" t="s">
        <v>39</v>
      </c>
    </row>
    <row r="21" customFormat="false" ht="23.25" hidden="false" customHeight="true" outlineLevel="0" collapsed="false">
      <c r="A21" s="12" t="s">
        <v>443</v>
      </c>
      <c r="B21" s="14" t="s">
        <v>444</v>
      </c>
      <c r="C21" s="14" t="s">
        <v>445</v>
      </c>
      <c r="D21" s="14" t="s">
        <v>446</v>
      </c>
      <c r="E21" s="25" t="s">
        <v>421</v>
      </c>
      <c r="F21" s="56" t="n">
        <v>0.75</v>
      </c>
      <c r="G21" s="14" t="s">
        <v>447</v>
      </c>
      <c r="H21" s="14" t="s">
        <v>423</v>
      </c>
      <c r="I21" s="14" t="s">
        <v>38</v>
      </c>
      <c r="J21" s="15" t="s">
        <v>39</v>
      </c>
    </row>
    <row r="22" customFormat="false" ht="23.25" hidden="false" customHeight="true" outlineLevel="0" collapsed="false">
      <c r="A22" s="12" t="s">
        <v>448</v>
      </c>
      <c r="B22" s="14" t="s">
        <v>449</v>
      </c>
      <c r="C22" s="14" t="s">
        <v>450</v>
      </c>
      <c r="D22" s="14" t="s">
        <v>451</v>
      </c>
      <c r="E22" s="25" t="s">
        <v>421</v>
      </c>
      <c r="F22" s="56" t="n">
        <v>0.75</v>
      </c>
      <c r="G22" s="14" t="s">
        <v>452</v>
      </c>
      <c r="H22" s="14" t="s">
        <v>423</v>
      </c>
      <c r="I22" s="14" t="s">
        <v>38</v>
      </c>
      <c r="J22" s="15" t="s">
        <v>39</v>
      </c>
    </row>
    <row r="23" customFormat="false" ht="23.25" hidden="false" customHeight="true" outlineLevel="0" collapsed="false">
      <c r="A23" s="12" t="s">
        <v>453</v>
      </c>
      <c r="B23" s="14" t="s">
        <v>454</v>
      </c>
      <c r="C23" s="14" t="s">
        <v>455</v>
      </c>
      <c r="D23" s="14" t="s">
        <v>456</v>
      </c>
      <c r="E23" s="25" t="s">
        <v>421</v>
      </c>
      <c r="F23" s="56" t="n">
        <v>0.75</v>
      </c>
      <c r="G23" s="14" t="s">
        <v>457</v>
      </c>
      <c r="H23" s="14" t="s">
        <v>423</v>
      </c>
      <c r="I23" s="14" t="s">
        <v>38</v>
      </c>
      <c r="J23" s="15" t="s">
        <v>39</v>
      </c>
    </row>
    <row r="24" customFormat="false" ht="23.25" hidden="false" customHeight="true" outlineLevel="0" collapsed="false">
      <c r="A24" s="12" t="s">
        <v>458</v>
      </c>
      <c r="B24" s="14" t="s">
        <v>459</v>
      </c>
      <c r="C24" s="14" t="s">
        <v>460</v>
      </c>
      <c r="D24" s="14" t="s">
        <v>461</v>
      </c>
      <c r="E24" s="25" t="s">
        <v>421</v>
      </c>
      <c r="F24" s="56" t="n">
        <v>0.75</v>
      </c>
      <c r="G24" s="14" t="s">
        <v>462</v>
      </c>
      <c r="H24" s="14" t="s">
        <v>423</v>
      </c>
      <c r="I24" s="14" t="s">
        <v>38</v>
      </c>
      <c r="J24" s="15" t="s">
        <v>39</v>
      </c>
    </row>
    <row r="25" customFormat="false" ht="23.25" hidden="false" customHeight="true" outlineLevel="0" collapsed="false">
      <c r="A25" s="12" t="s">
        <v>463</v>
      </c>
      <c r="B25" s="14" t="s">
        <v>464</v>
      </c>
      <c r="C25" s="14" t="s">
        <v>465</v>
      </c>
      <c r="D25" s="14" t="s">
        <v>466</v>
      </c>
      <c r="E25" s="25" t="s">
        <v>421</v>
      </c>
      <c r="F25" s="56" t="n">
        <v>0.75</v>
      </c>
      <c r="G25" s="14" t="s">
        <v>467</v>
      </c>
      <c r="H25" s="14" t="s">
        <v>423</v>
      </c>
      <c r="I25" s="14" t="s">
        <v>38</v>
      </c>
      <c r="J25" s="15" t="s">
        <v>39</v>
      </c>
    </row>
    <row r="26" customFormat="false" ht="23.25" hidden="false" customHeight="true" outlineLevel="0" collapsed="false">
      <c r="A26" s="12" t="s">
        <v>468</v>
      </c>
      <c r="B26" s="14" t="s">
        <v>469</v>
      </c>
      <c r="C26" s="14" t="s">
        <v>470</v>
      </c>
      <c r="D26" s="14" t="s">
        <v>471</v>
      </c>
      <c r="E26" s="25" t="s">
        <v>421</v>
      </c>
      <c r="F26" s="56" t="n">
        <v>0.75</v>
      </c>
      <c r="G26" s="14" t="s">
        <v>472</v>
      </c>
      <c r="H26" s="14" t="s">
        <v>423</v>
      </c>
      <c r="I26" s="14" t="s">
        <v>38</v>
      </c>
      <c r="J26" s="15" t="s">
        <v>39</v>
      </c>
    </row>
    <row r="27" customFormat="false" ht="23.25" hidden="false" customHeight="true" outlineLevel="0" collapsed="false">
      <c r="A27" s="12" t="s">
        <v>473</v>
      </c>
      <c r="B27" s="14" t="s">
        <v>474</v>
      </c>
      <c r="C27" s="14" t="s">
        <v>475</v>
      </c>
      <c r="D27" s="14" t="s">
        <v>476</v>
      </c>
      <c r="E27" s="25" t="s">
        <v>421</v>
      </c>
      <c r="F27" s="56" t="n">
        <v>0.75</v>
      </c>
      <c r="G27" s="14" t="s">
        <v>477</v>
      </c>
      <c r="H27" s="14" t="s">
        <v>423</v>
      </c>
      <c r="I27" s="14" t="s">
        <v>38</v>
      </c>
      <c r="J27" s="15" t="s">
        <v>39</v>
      </c>
    </row>
    <row r="28" customFormat="false" ht="23.25" hidden="false" customHeight="true" outlineLevel="0" collapsed="false">
      <c r="A28" s="12" t="s">
        <v>478</v>
      </c>
      <c r="B28" s="14" t="s">
        <v>479</v>
      </c>
      <c r="C28" s="14" t="s">
        <v>480</v>
      </c>
      <c r="D28" s="14" t="s">
        <v>481</v>
      </c>
      <c r="E28" s="25" t="s">
        <v>421</v>
      </c>
      <c r="F28" s="56" t="n">
        <v>0.75</v>
      </c>
      <c r="G28" s="14" t="s">
        <v>482</v>
      </c>
      <c r="H28" s="14" t="s">
        <v>423</v>
      </c>
      <c r="I28" s="14" t="s">
        <v>38</v>
      </c>
      <c r="J28" s="15" t="s">
        <v>39</v>
      </c>
    </row>
    <row r="29" customFormat="false" ht="23.25" hidden="false" customHeight="true" outlineLevel="0" collapsed="false">
      <c r="A29" s="12" t="s">
        <v>483</v>
      </c>
      <c r="B29" s="14" t="s">
        <v>484</v>
      </c>
      <c r="C29" s="14" t="s">
        <v>485</v>
      </c>
      <c r="D29" s="14" t="s">
        <v>486</v>
      </c>
      <c r="E29" s="25" t="s">
        <v>421</v>
      </c>
      <c r="F29" s="56" t="n">
        <v>0.75</v>
      </c>
      <c r="G29" s="14" t="s">
        <v>487</v>
      </c>
      <c r="H29" s="14" t="s">
        <v>423</v>
      </c>
      <c r="I29" s="14" t="s">
        <v>38</v>
      </c>
      <c r="J29" s="15" t="s">
        <v>39</v>
      </c>
    </row>
    <row r="30" customFormat="false" ht="23.25" hidden="false" customHeight="true" outlineLevel="0" collapsed="false">
      <c r="A30" s="17" t="s">
        <v>488</v>
      </c>
      <c r="B30" s="18" t="s">
        <v>489</v>
      </c>
      <c r="C30" s="18" t="s">
        <v>490</v>
      </c>
      <c r="D30" s="18" t="s">
        <v>491</v>
      </c>
      <c r="E30" s="27" t="s">
        <v>421</v>
      </c>
      <c r="F30" s="59" t="n">
        <v>0.75</v>
      </c>
      <c r="G30" s="18" t="s">
        <v>492</v>
      </c>
      <c r="H30" s="18" t="s">
        <v>423</v>
      </c>
      <c r="I30" s="18" t="s">
        <v>38</v>
      </c>
      <c r="J30" s="19" t="s">
        <v>39</v>
      </c>
    </row>
  </sheetData>
  <mergeCells count="3">
    <mergeCell ref="A1:L1"/>
    <mergeCell ref="A2:L2"/>
    <mergeCell ref="A3:L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3" colorId="64" zoomScale="100" zoomScaleNormal="100" zoomScalePageLayoutView="100" workbookViewId="0">
      <selection pane="topLeft" activeCell="A16" activeCellId="0" sqref="A16"/>
    </sheetView>
  </sheetViews>
  <sheetFormatPr defaultColWidth="8.58984375" defaultRowHeight="15" customHeight="false" zeroHeight="false" outlineLevelRow="0" outlineLevelCol="0"/>
  <cols>
    <col collapsed="false" customWidth="true" hidden="false" outlineLevel="0" max="1" min="1" style="1" width="9.44"/>
    <col collapsed="false" customWidth="true" hidden="false" outlineLevel="0" max="2" min="2" style="1" width="10"/>
    <col collapsed="false" customWidth="true" hidden="false" outlineLevel="0" max="3" min="3" style="1" width="12.78"/>
    <col collapsed="false" customWidth="true" hidden="false" outlineLevel="0" max="4" min="4" style="1" width="27.37"/>
    <col collapsed="false" customWidth="true" hidden="false" outlineLevel="0" max="5" min="5" style="1" width="55.56"/>
    <col collapsed="false" customWidth="true" hidden="false" outlineLevel="0" max="6" min="6" style="1" width="11.11"/>
    <col collapsed="false" customWidth="true" hidden="false" outlineLevel="0" max="7" min="7" style="1" width="12.22"/>
  </cols>
  <sheetData>
    <row r="1" customFormat="false" ht="27" hidden="false" customHeight="true" outlineLevel="0" collapsed="false">
      <c r="A1" s="2" t="s">
        <v>493</v>
      </c>
      <c r="B1" s="2"/>
      <c r="C1" s="2"/>
      <c r="D1" s="2"/>
      <c r="E1" s="2"/>
      <c r="F1" s="2"/>
      <c r="G1" s="2"/>
      <c r="H1" s="2"/>
      <c r="I1" s="2"/>
      <c r="J1" s="2"/>
      <c r="K1" s="2"/>
      <c r="L1" s="2"/>
    </row>
    <row r="2" customFormat="false" ht="36" hidden="false" customHeight="true" outlineLevel="0" collapsed="false">
      <c r="A2" s="3" t="s">
        <v>494</v>
      </c>
      <c r="B2" s="3"/>
      <c r="C2" s="3"/>
      <c r="D2" s="3"/>
      <c r="E2" s="3"/>
      <c r="F2" s="3"/>
      <c r="G2" s="3"/>
      <c r="H2" s="3"/>
      <c r="I2" s="3"/>
      <c r="J2" s="3"/>
      <c r="K2" s="3"/>
      <c r="L2" s="3"/>
    </row>
    <row r="3" customFormat="false" ht="48" hidden="false" customHeight="true" outlineLevel="0" collapsed="false">
      <c r="A3" s="20" t="s">
        <v>495</v>
      </c>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15" customFormat="false" ht="23.25" hidden="false" customHeight="true" outlineLevel="0" collapsed="false">
      <c r="A15" s="21" t="s">
        <v>410</v>
      </c>
      <c r="B15" s="22" t="s">
        <v>312</v>
      </c>
      <c r="C15" s="22" t="s">
        <v>496</v>
      </c>
      <c r="D15" s="22" t="s">
        <v>497</v>
      </c>
      <c r="E15" s="22" t="s">
        <v>180</v>
      </c>
      <c r="F15" s="22" t="s">
        <v>33</v>
      </c>
      <c r="G15" s="23" t="s">
        <v>34</v>
      </c>
    </row>
    <row r="16" customFormat="false" ht="15" hidden="false" customHeight="true" outlineLevel="0" collapsed="false">
      <c r="A16" s="8" t="s">
        <v>417</v>
      </c>
      <c r="B16" s="10" t="s">
        <v>329</v>
      </c>
      <c r="C16" s="53" t="n">
        <v>0.35</v>
      </c>
      <c r="D16" s="24" t="s">
        <v>498</v>
      </c>
      <c r="E16" s="10" t="s">
        <v>499</v>
      </c>
      <c r="F16" s="10" t="s">
        <v>38</v>
      </c>
      <c r="G16" s="11" t="s">
        <v>39</v>
      </c>
    </row>
    <row r="17" customFormat="false" ht="15" hidden="false" customHeight="true" outlineLevel="0" collapsed="false">
      <c r="A17" s="12" t="s">
        <v>417</v>
      </c>
      <c r="B17" s="14" t="s">
        <v>373</v>
      </c>
      <c r="C17" s="56" t="n">
        <v>0.35</v>
      </c>
      <c r="D17" s="25" t="s">
        <v>498</v>
      </c>
      <c r="E17" s="14" t="s">
        <v>499</v>
      </c>
      <c r="F17" s="14" t="s">
        <v>38</v>
      </c>
      <c r="G17" s="15" t="s">
        <v>39</v>
      </c>
    </row>
    <row r="18" customFormat="false" ht="15" hidden="false" customHeight="true" outlineLevel="0" collapsed="false">
      <c r="A18" s="12" t="s">
        <v>417</v>
      </c>
      <c r="B18" s="14" t="s">
        <v>348</v>
      </c>
      <c r="C18" s="56" t="n">
        <v>0.3</v>
      </c>
      <c r="D18" s="25" t="s">
        <v>498</v>
      </c>
      <c r="E18" s="14" t="s">
        <v>499</v>
      </c>
      <c r="F18" s="14" t="s">
        <v>38</v>
      </c>
      <c r="G18" s="15" t="s">
        <v>39</v>
      </c>
    </row>
    <row r="19" customFormat="false" ht="15" hidden="false" customHeight="true" outlineLevel="0" collapsed="false">
      <c r="A19" s="12" t="s">
        <v>424</v>
      </c>
      <c r="B19" s="14" t="s">
        <v>321</v>
      </c>
      <c r="C19" s="56" t="n">
        <v>0.65</v>
      </c>
      <c r="D19" s="25" t="s">
        <v>498</v>
      </c>
      <c r="E19" s="14" t="s">
        <v>499</v>
      </c>
      <c r="F19" s="14" t="s">
        <v>38</v>
      </c>
      <c r="G19" s="15" t="s">
        <v>39</v>
      </c>
    </row>
    <row r="20" customFormat="false" ht="15" hidden="false" customHeight="true" outlineLevel="0" collapsed="false">
      <c r="A20" s="12" t="s">
        <v>424</v>
      </c>
      <c r="B20" s="14" t="s">
        <v>325</v>
      </c>
      <c r="C20" s="56" t="n">
        <v>0.65</v>
      </c>
      <c r="D20" s="25" t="s">
        <v>498</v>
      </c>
      <c r="E20" s="14" t="s">
        <v>499</v>
      </c>
      <c r="F20" s="14" t="s">
        <v>38</v>
      </c>
      <c r="G20" s="15" t="s">
        <v>39</v>
      </c>
    </row>
    <row r="21" customFormat="false" ht="15" hidden="false" customHeight="true" outlineLevel="0" collapsed="false">
      <c r="A21" s="12" t="s">
        <v>424</v>
      </c>
      <c r="B21" s="14" t="s">
        <v>355</v>
      </c>
      <c r="C21" s="56" t="n">
        <v>0.45</v>
      </c>
      <c r="D21" s="25" t="s">
        <v>498</v>
      </c>
      <c r="E21" s="14" t="s">
        <v>499</v>
      </c>
      <c r="F21" s="14" t="s">
        <v>38</v>
      </c>
      <c r="G21" s="15" t="s">
        <v>39</v>
      </c>
    </row>
    <row r="22" customFormat="false" ht="15" hidden="false" customHeight="true" outlineLevel="0" collapsed="false">
      <c r="A22" s="12" t="s">
        <v>429</v>
      </c>
      <c r="B22" s="14" t="s">
        <v>351</v>
      </c>
      <c r="C22" s="56" t="n">
        <v>0.55</v>
      </c>
      <c r="D22" s="25" t="s">
        <v>498</v>
      </c>
      <c r="E22" s="14" t="s">
        <v>499</v>
      </c>
      <c r="F22" s="14" t="s">
        <v>38</v>
      </c>
      <c r="G22" s="15" t="s">
        <v>39</v>
      </c>
    </row>
    <row r="23" customFormat="false" ht="15" hidden="false" customHeight="true" outlineLevel="0" collapsed="false">
      <c r="A23" s="12" t="s">
        <v>429</v>
      </c>
      <c r="B23" s="14" t="s">
        <v>348</v>
      </c>
      <c r="C23" s="56" t="n">
        <v>0.45</v>
      </c>
      <c r="D23" s="25" t="s">
        <v>498</v>
      </c>
      <c r="E23" s="14" t="s">
        <v>499</v>
      </c>
      <c r="F23" s="14" t="s">
        <v>38</v>
      </c>
      <c r="G23" s="15" t="s">
        <v>39</v>
      </c>
    </row>
    <row r="24" customFormat="false" ht="15" hidden="false" customHeight="true" outlineLevel="0" collapsed="false">
      <c r="A24" s="12" t="s">
        <v>429</v>
      </c>
      <c r="B24" s="14" t="s">
        <v>355</v>
      </c>
      <c r="C24" s="56" t="n">
        <v>0.55</v>
      </c>
      <c r="D24" s="25" t="s">
        <v>498</v>
      </c>
      <c r="E24" s="14" t="s">
        <v>499</v>
      </c>
      <c r="F24" s="14" t="s">
        <v>38</v>
      </c>
      <c r="G24" s="15" t="s">
        <v>39</v>
      </c>
    </row>
    <row r="25" customFormat="false" ht="15" hidden="false" customHeight="true" outlineLevel="0" collapsed="false">
      <c r="A25" s="12" t="s">
        <v>429</v>
      </c>
      <c r="B25" s="14" t="s">
        <v>398</v>
      </c>
      <c r="C25" s="56" t="n">
        <v>0.45</v>
      </c>
      <c r="D25" s="25" t="s">
        <v>498</v>
      </c>
      <c r="E25" s="14" t="s">
        <v>499</v>
      </c>
      <c r="F25" s="14" t="s">
        <v>38</v>
      </c>
      <c r="G25" s="15" t="s">
        <v>39</v>
      </c>
    </row>
    <row r="26" customFormat="false" ht="15" hidden="false" customHeight="true" outlineLevel="0" collapsed="false">
      <c r="A26" s="12" t="s">
        <v>433</v>
      </c>
      <c r="B26" s="14" t="s">
        <v>317</v>
      </c>
      <c r="C26" s="56" t="n">
        <v>0.55</v>
      </c>
      <c r="D26" s="25" t="s">
        <v>498</v>
      </c>
      <c r="E26" s="14" t="s">
        <v>499</v>
      </c>
      <c r="F26" s="14" t="s">
        <v>38</v>
      </c>
      <c r="G26" s="15" t="s">
        <v>39</v>
      </c>
    </row>
    <row r="27" customFormat="false" ht="15" hidden="false" customHeight="true" outlineLevel="0" collapsed="false">
      <c r="A27" s="12" t="s">
        <v>433</v>
      </c>
      <c r="B27" s="14" t="s">
        <v>337</v>
      </c>
      <c r="C27" s="56" t="n">
        <v>0.25</v>
      </c>
      <c r="D27" s="25" t="s">
        <v>498</v>
      </c>
      <c r="E27" s="14" t="s">
        <v>499</v>
      </c>
      <c r="F27" s="14" t="s">
        <v>38</v>
      </c>
      <c r="G27" s="15" t="s">
        <v>39</v>
      </c>
    </row>
    <row r="28" customFormat="false" ht="15" hidden="false" customHeight="true" outlineLevel="0" collapsed="false">
      <c r="A28" s="12" t="s">
        <v>438</v>
      </c>
      <c r="B28" s="14" t="s">
        <v>337</v>
      </c>
      <c r="C28" s="56" t="n">
        <v>0.55</v>
      </c>
      <c r="D28" s="25" t="s">
        <v>498</v>
      </c>
      <c r="E28" s="14" t="s">
        <v>499</v>
      </c>
      <c r="F28" s="14" t="s">
        <v>38</v>
      </c>
      <c r="G28" s="15" t="s">
        <v>39</v>
      </c>
    </row>
    <row r="29" customFormat="false" ht="15" hidden="false" customHeight="true" outlineLevel="0" collapsed="false">
      <c r="A29" s="12" t="s">
        <v>438</v>
      </c>
      <c r="B29" s="14" t="s">
        <v>341</v>
      </c>
      <c r="C29" s="56" t="n">
        <v>0.5</v>
      </c>
      <c r="D29" s="25" t="s">
        <v>498</v>
      </c>
      <c r="E29" s="14" t="s">
        <v>499</v>
      </c>
      <c r="F29" s="14" t="s">
        <v>38</v>
      </c>
      <c r="G29" s="15" t="s">
        <v>39</v>
      </c>
    </row>
    <row r="30" customFormat="false" ht="15" hidden="false" customHeight="true" outlineLevel="0" collapsed="false">
      <c r="A30" s="12" t="s">
        <v>438</v>
      </c>
      <c r="B30" s="14" t="s">
        <v>351</v>
      </c>
      <c r="C30" s="56" t="n">
        <v>0.35</v>
      </c>
      <c r="D30" s="25" t="s">
        <v>498</v>
      </c>
      <c r="E30" s="14" t="s">
        <v>499</v>
      </c>
      <c r="F30" s="14" t="s">
        <v>38</v>
      </c>
      <c r="G30" s="15" t="s">
        <v>39</v>
      </c>
    </row>
    <row r="31" customFormat="false" ht="15" hidden="false" customHeight="true" outlineLevel="0" collapsed="false">
      <c r="A31" s="12" t="s">
        <v>438</v>
      </c>
      <c r="B31" s="14" t="s">
        <v>384</v>
      </c>
      <c r="C31" s="56" t="n">
        <v>0.45</v>
      </c>
      <c r="D31" s="25" t="s">
        <v>498</v>
      </c>
      <c r="E31" s="14" t="s">
        <v>499</v>
      </c>
      <c r="F31" s="14" t="s">
        <v>38</v>
      </c>
      <c r="G31" s="15" t="s">
        <v>39</v>
      </c>
    </row>
    <row r="32" customFormat="false" ht="15" hidden="false" customHeight="true" outlineLevel="0" collapsed="false">
      <c r="A32" s="12" t="s">
        <v>443</v>
      </c>
      <c r="B32" s="14" t="s">
        <v>329</v>
      </c>
      <c r="C32" s="56" t="n">
        <v>0.5</v>
      </c>
      <c r="D32" s="25" t="s">
        <v>498</v>
      </c>
      <c r="E32" s="14" t="s">
        <v>499</v>
      </c>
      <c r="F32" s="14" t="s">
        <v>38</v>
      </c>
      <c r="G32" s="15" t="s">
        <v>39</v>
      </c>
    </row>
    <row r="33" customFormat="false" ht="15" hidden="false" customHeight="true" outlineLevel="0" collapsed="false">
      <c r="A33" s="12" t="s">
        <v>443</v>
      </c>
      <c r="B33" s="14" t="s">
        <v>337</v>
      </c>
      <c r="C33" s="56" t="n">
        <v>0.4</v>
      </c>
      <c r="D33" s="25" t="s">
        <v>498</v>
      </c>
      <c r="E33" s="14" t="s">
        <v>499</v>
      </c>
      <c r="F33" s="14" t="s">
        <v>38</v>
      </c>
      <c r="G33" s="15" t="s">
        <v>39</v>
      </c>
    </row>
    <row r="34" customFormat="false" ht="15" hidden="false" customHeight="true" outlineLevel="0" collapsed="false">
      <c r="A34" s="12" t="s">
        <v>443</v>
      </c>
      <c r="B34" s="14" t="s">
        <v>348</v>
      </c>
      <c r="C34" s="56" t="n">
        <v>0.45</v>
      </c>
      <c r="D34" s="25" t="s">
        <v>498</v>
      </c>
      <c r="E34" s="14" t="s">
        <v>499</v>
      </c>
      <c r="F34" s="14" t="s">
        <v>38</v>
      </c>
      <c r="G34" s="15" t="s">
        <v>39</v>
      </c>
    </row>
    <row r="35" customFormat="false" ht="15" hidden="false" customHeight="true" outlineLevel="0" collapsed="false">
      <c r="A35" s="12" t="s">
        <v>443</v>
      </c>
      <c r="B35" s="14" t="s">
        <v>373</v>
      </c>
      <c r="C35" s="56" t="n">
        <v>0.45</v>
      </c>
      <c r="D35" s="25" t="s">
        <v>498</v>
      </c>
      <c r="E35" s="14" t="s">
        <v>499</v>
      </c>
      <c r="F35" s="14" t="s">
        <v>38</v>
      </c>
      <c r="G35" s="15" t="s">
        <v>39</v>
      </c>
    </row>
    <row r="36" customFormat="false" ht="15" hidden="false" customHeight="true" outlineLevel="0" collapsed="false">
      <c r="A36" s="12" t="s">
        <v>448</v>
      </c>
      <c r="B36" s="14" t="s">
        <v>365</v>
      </c>
      <c r="C36" s="56" t="n">
        <v>0.45</v>
      </c>
      <c r="D36" s="25" t="s">
        <v>498</v>
      </c>
      <c r="E36" s="14" t="s">
        <v>499</v>
      </c>
      <c r="F36" s="14" t="s">
        <v>38</v>
      </c>
      <c r="G36" s="15" t="s">
        <v>39</v>
      </c>
    </row>
    <row r="37" customFormat="false" ht="15" hidden="false" customHeight="true" outlineLevel="0" collapsed="false">
      <c r="A37" s="12" t="s">
        <v>448</v>
      </c>
      <c r="B37" s="14" t="s">
        <v>369</v>
      </c>
      <c r="C37" s="56" t="n">
        <v>0.5</v>
      </c>
      <c r="D37" s="25" t="s">
        <v>498</v>
      </c>
      <c r="E37" s="14" t="s">
        <v>499</v>
      </c>
      <c r="F37" s="14" t="s">
        <v>38</v>
      </c>
      <c r="G37" s="15" t="s">
        <v>39</v>
      </c>
    </row>
    <row r="38" customFormat="false" ht="15" hidden="false" customHeight="true" outlineLevel="0" collapsed="false">
      <c r="A38" s="12" t="s">
        <v>448</v>
      </c>
      <c r="B38" s="14" t="s">
        <v>373</v>
      </c>
      <c r="C38" s="56" t="n">
        <v>0.45</v>
      </c>
      <c r="D38" s="25" t="s">
        <v>498</v>
      </c>
      <c r="E38" s="14" t="s">
        <v>499</v>
      </c>
      <c r="F38" s="14" t="s">
        <v>38</v>
      </c>
      <c r="G38" s="15" t="s">
        <v>39</v>
      </c>
    </row>
    <row r="39" customFormat="false" ht="15" hidden="false" customHeight="true" outlineLevel="0" collapsed="false">
      <c r="A39" s="12" t="s">
        <v>448</v>
      </c>
      <c r="B39" s="14" t="s">
        <v>333</v>
      </c>
      <c r="C39" s="56" t="n">
        <v>0.35</v>
      </c>
      <c r="D39" s="25" t="s">
        <v>498</v>
      </c>
      <c r="E39" s="14" t="s">
        <v>499</v>
      </c>
      <c r="F39" s="14" t="s">
        <v>38</v>
      </c>
      <c r="G39" s="15" t="s">
        <v>39</v>
      </c>
    </row>
    <row r="40" customFormat="false" ht="15" hidden="false" customHeight="true" outlineLevel="0" collapsed="false">
      <c r="A40" s="12" t="s">
        <v>453</v>
      </c>
      <c r="B40" s="14" t="s">
        <v>321</v>
      </c>
      <c r="C40" s="56" t="n">
        <v>0.4</v>
      </c>
      <c r="D40" s="25" t="s">
        <v>498</v>
      </c>
      <c r="E40" s="14" t="s">
        <v>499</v>
      </c>
      <c r="F40" s="14" t="s">
        <v>38</v>
      </c>
      <c r="G40" s="15" t="s">
        <v>39</v>
      </c>
    </row>
    <row r="41" customFormat="false" ht="15" hidden="false" customHeight="true" outlineLevel="0" collapsed="false">
      <c r="A41" s="12" t="s">
        <v>453</v>
      </c>
      <c r="B41" s="14" t="s">
        <v>355</v>
      </c>
      <c r="C41" s="56" t="n">
        <v>0.45</v>
      </c>
      <c r="D41" s="25" t="s">
        <v>498</v>
      </c>
      <c r="E41" s="14" t="s">
        <v>499</v>
      </c>
      <c r="F41" s="14" t="s">
        <v>38</v>
      </c>
      <c r="G41" s="15" t="s">
        <v>39</v>
      </c>
    </row>
    <row r="42" customFormat="false" ht="15" hidden="false" customHeight="true" outlineLevel="0" collapsed="false">
      <c r="A42" s="12" t="s">
        <v>453</v>
      </c>
      <c r="B42" s="14" t="s">
        <v>376</v>
      </c>
      <c r="C42" s="56" t="n">
        <v>0.35</v>
      </c>
      <c r="D42" s="25" t="s">
        <v>498</v>
      </c>
      <c r="E42" s="14" t="s">
        <v>499</v>
      </c>
      <c r="F42" s="14" t="s">
        <v>38</v>
      </c>
      <c r="G42" s="15" t="s">
        <v>39</v>
      </c>
    </row>
    <row r="43" customFormat="false" ht="15" hidden="false" customHeight="true" outlineLevel="0" collapsed="false">
      <c r="A43" s="12" t="s">
        <v>458</v>
      </c>
      <c r="B43" s="14" t="s">
        <v>329</v>
      </c>
      <c r="C43" s="56" t="n">
        <v>0.55</v>
      </c>
      <c r="D43" s="25" t="s">
        <v>498</v>
      </c>
      <c r="E43" s="14" t="s">
        <v>499</v>
      </c>
      <c r="F43" s="14" t="s">
        <v>38</v>
      </c>
      <c r="G43" s="15" t="s">
        <v>39</v>
      </c>
    </row>
    <row r="44" customFormat="false" ht="15" hidden="false" customHeight="true" outlineLevel="0" collapsed="false">
      <c r="A44" s="12" t="s">
        <v>458</v>
      </c>
      <c r="B44" s="14" t="s">
        <v>394</v>
      </c>
      <c r="C44" s="56" t="n">
        <v>0.35</v>
      </c>
      <c r="D44" s="25" t="s">
        <v>498</v>
      </c>
      <c r="E44" s="14" t="s">
        <v>499</v>
      </c>
      <c r="F44" s="14" t="s">
        <v>38</v>
      </c>
      <c r="G44" s="15" t="s">
        <v>39</v>
      </c>
    </row>
    <row r="45" customFormat="false" ht="23.25" hidden="false" customHeight="true" outlineLevel="0" collapsed="false">
      <c r="A45" s="12" t="s">
        <v>463</v>
      </c>
      <c r="B45" s="14" t="s">
        <v>341</v>
      </c>
      <c r="C45" s="56" t="n">
        <v>0.35</v>
      </c>
      <c r="D45" s="25" t="s">
        <v>500</v>
      </c>
      <c r="E45" s="14" t="s">
        <v>501</v>
      </c>
      <c r="F45" s="14" t="s">
        <v>38</v>
      </c>
      <c r="G45" s="15" t="s">
        <v>39</v>
      </c>
    </row>
    <row r="46" customFormat="false" ht="23.25" hidden="false" customHeight="true" outlineLevel="0" collapsed="false">
      <c r="A46" s="12" t="s">
        <v>463</v>
      </c>
      <c r="B46" s="14" t="s">
        <v>351</v>
      </c>
      <c r="C46" s="56" t="n">
        <v>0.35</v>
      </c>
      <c r="D46" s="25" t="s">
        <v>500</v>
      </c>
      <c r="E46" s="14" t="s">
        <v>502</v>
      </c>
      <c r="F46" s="14" t="s">
        <v>38</v>
      </c>
      <c r="G46" s="15" t="s">
        <v>39</v>
      </c>
    </row>
    <row r="47" customFormat="false" ht="23.25" hidden="false" customHeight="true" outlineLevel="0" collapsed="false">
      <c r="A47" s="12" t="s">
        <v>463</v>
      </c>
      <c r="B47" s="14" t="s">
        <v>369</v>
      </c>
      <c r="C47" s="56" t="n">
        <v>0.4</v>
      </c>
      <c r="D47" s="25" t="s">
        <v>500</v>
      </c>
      <c r="E47" s="14" t="s">
        <v>503</v>
      </c>
      <c r="F47" s="14" t="s">
        <v>38</v>
      </c>
      <c r="G47" s="15" t="s">
        <v>39</v>
      </c>
    </row>
    <row r="48" customFormat="false" ht="15" hidden="false" customHeight="true" outlineLevel="0" collapsed="false">
      <c r="A48" s="12" t="s">
        <v>463</v>
      </c>
      <c r="B48" s="14" t="s">
        <v>376</v>
      </c>
      <c r="C48" s="56" t="n">
        <v>0.35</v>
      </c>
      <c r="D48" s="25" t="s">
        <v>504</v>
      </c>
      <c r="E48" s="14" t="s">
        <v>499</v>
      </c>
      <c r="F48" s="14" t="s">
        <v>38</v>
      </c>
      <c r="G48" s="15" t="s">
        <v>39</v>
      </c>
    </row>
    <row r="49" customFormat="false" ht="15" hidden="false" customHeight="true" outlineLevel="0" collapsed="false">
      <c r="A49" s="12" t="s">
        <v>463</v>
      </c>
      <c r="B49" s="14" t="s">
        <v>380</v>
      </c>
      <c r="C49" s="56" t="n">
        <v>0.45</v>
      </c>
      <c r="D49" s="25" t="s">
        <v>504</v>
      </c>
      <c r="E49" s="14" t="s">
        <v>499</v>
      </c>
      <c r="F49" s="14" t="s">
        <v>38</v>
      </c>
      <c r="G49" s="15" t="s">
        <v>39</v>
      </c>
    </row>
    <row r="50" customFormat="false" ht="15" hidden="false" customHeight="true" outlineLevel="0" collapsed="false">
      <c r="A50" s="12" t="s">
        <v>463</v>
      </c>
      <c r="B50" s="14" t="s">
        <v>384</v>
      </c>
      <c r="C50" s="56" t="n">
        <v>0.4</v>
      </c>
      <c r="D50" s="25" t="s">
        <v>500</v>
      </c>
      <c r="E50" s="14" t="s">
        <v>499</v>
      </c>
      <c r="F50" s="14" t="s">
        <v>38</v>
      </c>
      <c r="G50" s="15" t="s">
        <v>39</v>
      </c>
    </row>
    <row r="51" customFormat="false" ht="15" hidden="false" customHeight="true" outlineLevel="0" collapsed="false">
      <c r="A51" s="12" t="s">
        <v>463</v>
      </c>
      <c r="B51" s="14" t="s">
        <v>391</v>
      </c>
      <c r="C51" s="56" t="n">
        <v>0.35</v>
      </c>
      <c r="D51" s="25" t="s">
        <v>500</v>
      </c>
      <c r="E51" s="14" t="s">
        <v>499</v>
      </c>
      <c r="F51" s="14" t="s">
        <v>38</v>
      </c>
      <c r="G51" s="15" t="s">
        <v>39</v>
      </c>
    </row>
    <row r="52" customFormat="false" ht="15" hidden="false" customHeight="true" outlineLevel="0" collapsed="false">
      <c r="A52" s="12" t="s">
        <v>463</v>
      </c>
      <c r="B52" s="14" t="s">
        <v>398</v>
      </c>
      <c r="C52" s="56" t="n">
        <v>0.35</v>
      </c>
      <c r="D52" s="25" t="s">
        <v>504</v>
      </c>
      <c r="E52" s="14" t="s">
        <v>499</v>
      </c>
      <c r="F52" s="14" t="s">
        <v>38</v>
      </c>
      <c r="G52" s="15" t="s">
        <v>39</v>
      </c>
    </row>
    <row r="53" customFormat="false" ht="15" hidden="false" customHeight="true" outlineLevel="0" collapsed="false">
      <c r="A53" s="12" t="s">
        <v>468</v>
      </c>
      <c r="B53" s="14" t="s">
        <v>376</v>
      </c>
      <c r="C53" s="56" t="n">
        <v>0.4</v>
      </c>
      <c r="D53" s="25" t="s">
        <v>498</v>
      </c>
      <c r="E53" s="14" t="s">
        <v>499</v>
      </c>
      <c r="F53" s="14" t="s">
        <v>38</v>
      </c>
      <c r="G53" s="15" t="s">
        <v>39</v>
      </c>
    </row>
    <row r="54" customFormat="false" ht="15" hidden="false" customHeight="true" outlineLevel="0" collapsed="false">
      <c r="A54" s="12" t="s">
        <v>468</v>
      </c>
      <c r="B54" s="14" t="s">
        <v>380</v>
      </c>
      <c r="C54" s="56" t="n">
        <v>0.55</v>
      </c>
      <c r="D54" s="25" t="s">
        <v>498</v>
      </c>
      <c r="E54" s="14" t="s">
        <v>499</v>
      </c>
      <c r="F54" s="14" t="s">
        <v>38</v>
      </c>
      <c r="G54" s="15" t="s">
        <v>39</v>
      </c>
    </row>
    <row r="55" customFormat="false" ht="15" hidden="false" customHeight="true" outlineLevel="0" collapsed="false">
      <c r="A55" s="12" t="s">
        <v>468</v>
      </c>
      <c r="B55" s="14" t="s">
        <v>394</v>
      </c>
      <c r="C55" s="56" t="n">
        <v>0.35</v>
      </c>
      <c r="D55" s="25" t="s">
        <v>498</v>
      </c>
      <c r="E55" s="14" t="s">
        <v>499</v>
      </c>
      <c r="F55" s="14" t="s">
        <v>38</v>
      </c>
      <c r="G55" s="15" t="s">
        <v>39</v>
      </c>
    </row>
    <row r="56" customFormat="false" ht="15" hidden="false" customHeight="true" outlineLevel="0" collapsed="false">
      <c r="A56" s="12" t="s">
        <v>468</v>
      </c>
      <c r="B56" s="14" t="s">
        <v>380</v>
      </c>
      <c r="C56" s="56" t="n">
        <v>0.45</v>
      </c>
      <c r="D56" s="25" t="s">
        <v>504</v>
      </c>
      <c r="E56" s="14" t="s">
        <v>499</v>
      </c>
      <c r="F56" s="14" t="s">
        <v>38</v>
      </c>
      <c r="G56" s="15" t="s">
        <v>39</v>
      </c>
    </row>
    <row r="57" customFormat="false" ht="15" hidden="false" customHeight="true" outlineLevel="0" collapsed="false">
      <c r="A57" s="12" t="s">
        <v>473</v>
      </c>
      <c r="B57" s="14" t="s">
        <v>358</v>
      </c>
      <c r="C57" s="56" t="n">
        <v>0.55</v>
      </c>
      <c r="D57" s="25" t="s">
        <v>498</v>
      </c>
      <c r="E57" s="14" t="s">
        <v>499</v>
      </c>
      <c r="F57" s="14" t="s">
        <v>38</v>
      </c>
      <c r="G57" s="15" t="s">
        <v>39</v>
      </c>
    </row>
    <row r="58" customFormat="false" ht="15" hidden="false" customHeight="true" outlineLevel="0" collapsed="false">
      <c r="A58" s="12" t="s">
        <v>473</v>
      </c>
      <c r="B58" s="14" t="s">
        <v>345</v>
      </c>
      <c r="C58" s="56" t="n">
        <v>0.5</v>
      </c>
      <c r="D58" s="25" t="s">
        <v>498</v>
      </c>
      <c r="E58" s="14" t="s">
        <v>499</v>
      </c>
      <c r="F58" s="14" t="s">
        <v>38</v>
      </c>
      <c r="G58" s="15" t="s">
        <v>39</v>
      </c>
    </row>
    <row r="59" customFormat="false" ht="15" hidden="false" customHeight="true" outlineLevel="0" collapsed="false">
      <c r="A59" s="12" t="s">
        <v>478</v>
      </c>
      <c r="B59" s="14" t="s">
        <v>333</v>
      </c>
      <c r="C59" s="56" t="n">
        <v>0.7</v>
      </c>
      <c r="D59" s="25" t="s">
        <v>498</v>
      </c>
      <c r="E59" s="14" t="s">
        <v>499</v>
      </c>
      <c r="F59" s="14" t="s">
        <v>38</v>
      </c>
      <c r="G59" s="15" t="s">
        <v>39</v>
      </c>
    </row>
    <row r="60" customFormat="false" ht="15" hidden="false" customHeight="true" outlineLevel="0" collapsed="false">
      <c r="A60" s="12" t="s">
        <v>478</v>
      </c>
      <c r="B60" s="14" t="s">
        <v>391</v>
      </c>
      <c r="C60" s="56" t="n">
        <v>0.6</v>
      </c>
      <c r="D60" s="25" t="s">
        <v>498</v>
      </c>
      <c r="E60" s="14" t="s">
        <v>499</v>
      </c>
      <c r="F60" s="14" t="s">
        <v>38</v>
      </c>
      <c r="G60" s="15" t="s">
        <v>39</v>
      </c>
    </row>
    <row r="61" customFormat="false" ht="15" hidden="false" customHeight="true" outlineLevel="0" collapsed="false">
      <c r="A61" s="12" t="s">
        <v>483</v>
      </c>
      <c r="B61" s="14" t="s">
        <v>384</v>
      </c>
      <c r="C61" s="56" t="n">
        <v>0.55</v>
      </c>
      <c r="D61" s="25" t="s">
        <v>500</v>
      </c>
      <c r="E61" s="14" t="s">
        <v>499</v>
      </c>
      <c r="F61" s="14" t="s">
        <v>38</v>
      </c>
      <c r="G61" s="15" t="s">
        <v>39</v>
      </c>
    </row>
    <row r="62" customFormat="false" ht="15" hidden="false" customHeight="true" outlineLevel="0" collapsed="false">
      <c r="A62" s="12" t="s">
        <v>483</v>
      </c>
      <c r="B62" s="14" t="s">
        <v>388</v>
      </c>
      <c r="C62" s="56" t="n">
        <v>0.65</v>
      </c>
      <c r="D62" s="25" t="s">
        <v>500</v>
      </c>
      <c r="E62" s="14" t="s">
        <v>499</v>
      </c>
      <c r="F62" s="14" t="s">
        <v>38</v>
      </c>
      <c r="G62" s="15" t="s">
        <v>39</v>
      </c>
    </row>
    <row r="63" customFormat="false" ht="15" hidden="false" customHeight="true" outlineLevel="0" collapsed="false">
      <c r="A63" s="12" t="s">
        <v>483</v>
      </c>
      <c r="B63" s="14" t="s">
        <v>391</v>
      </c>
      <c r="C63" s="56" t="n">
        <v>0.45</v>
      </c>
      <c r="D63" s="25" t="s">
        <v>500</v>
      </c>
      <c r="E63" s="14" t="s">
        <v>499</v>
      </c>
      <c r="F63" s="14" t="s">
        <v>38</v>
      </c>
      <c r="G63" s="15" t="s">
        <v>39</v>
      </c>
    </row>
    <row r="64" customFormat="false" ht="15" hidden="false" customHeight="true" outlineLevel="0" collapsed="false">
      <c r="A64" s="12" t="s">
        <v>488</v>
      </c>
      <c r="B64" s="14" t="s">
        <v>398</v>
      </c>
      <c r="C64" s="56" t="n">
        <v>0.65</v>
      </c>
      <c r="D64" s="25" t="s">
        <v>498</v>
      </c>
      <c r="E64" s="14" t="s">
        <v>499</v>
      </c>
      <c r="F64" s="14" t="s">
        <v>38</v>
      </c>
      <c r="G64" s="15" t="s">
        <v>39</v>
      </c>
    </row>
    <row r="65" customFormat="false" ht="15" hidden="false" customHeight="true" outlineLevel="0" collapsed="false">
      <c r="A65" s="12" t="s">
        <v>488</v>
      </c>
      <c r="B65" s="14" t="s">
        <v>394</v>
      </c>
      <c r="C65" s="56" t="n">
        <v>0.5</v>
      </c>
      <c r="D65" s="25" t="s">
        <v>498</v>
      </c>
      <c r="E65" s="14" t="s">
        <v>499</v>
      </c>
      <c r="F65" s="14" t="s">
        <v>38</v>
      </c>
      <c r="G65" s="15" t="s">
        <v>39</v>
      </c>
    </row>
    <row r="66" customFormat="false" ht="23.25" hidden="false" customHeight="true" outlineLevel="0" collapsed="false">
      <c r="A66" s="17" t="s">
        <v>488</v>
      </c>
      <c r="B66" s="18" t="s">
        <v>398</v>
      </c>
      <c r="C66" s="59" t="n">
        <v>0.55</v>
      </c>
      <c r="D66" s="27" t="s">
        <v>505</v>
      </c>
      <c r="E66" s="18" t="s">
        <v>499</v>
      </c>
      <c r="F66" s="18" t="s">
        <v>38</v>
      </c>
      <c r="G66" s="19" t="s">
        <v>39</v>
      </c>
    </row>
  </sheetData>
  <mergeCells count="3">
    <mergeCell ref="A1:L1"/>
    <mergeCell ref="A2:L2"/>
    <mergeCell ref="A3:L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8.58984375" defaultRowHeight="15" customHeight="false" zeroHeight="false" outlineLevelRow="0" outlineLevelCol="0"/>
  <cols>
    <col collapsed="false" customWidth="true" hidden="false" outlineLevel="0" max="1" min="1" style="1" width="9.44"/>
    <col collapsed="false" customWidth="true" hidden="false" outlineLevel="0" max="2" min="2" style="1" width="26.67"/>
    <col collapsed="false" customWidth="true" hidden="false" outlineLevel="0" max="3" min="3" style="1" width="53.33"/>
    <col collapsed="false" customWidth="true" hidden="false" outlineLevel="0" max="4" min="4" style="1" width="36.67"/>
    <col collapsed="false" customWidth="true" hidden="false" outlineLevel="0" max="5" min="5" style="1" width="46.67"/>
  </cols>
  <sheetData>
    <row r="1" customFormat="false" ht="27" hidden="false" customHeight="true" outlineLevel="0" collapsed="false">
      <c r="A1" s="2" t="s">
        <v>506</v>
      </c>
      <c r="B1" s="2"/>
      <c r="C1" s="2"/>
      <c r="D1" s="2"/>
      <c r="E1" s="2"/>
      <c r="F1" s="2"/>
      <c r="G1" s="2"/>
      <c r="H1" s="2"/>
      <c r="I1" s="2"/>
      <c r="J1" s="2"/>
      <c r="K1" s="2"/>
      <c r="L1" s="2"/>
    </row>
    <row r="2" customFormat="false" ht="36" hidden="false" customHeight="true" outlineLevel="0" collapsed="false">
      <c r="A2" s="3" t="s">
        <v>507</v>
      </c>
      <c r="B2" s="3"/>
      <c r="C2" s="3"/>
      <c r="D2" s="3"/>
      <c r="E2" s="3"/>
      <c r="F2" s="3"/>
      <c r="G2" s="3"/>
      <c r="H2" s="3"/>
      <c r="I2" s="3"/>
      <c r="J2" s="3"/>
      <c r="K2" s="3"/>
      <c r="L2" s="3"/>
    </row>
    <row r="3" customFormat="false" ht="48" hidden="false" customHeight="true" outlineLevel="0" collapsed="false">
      <c r="A3" s="20" t="s">
        <v>508</v>
      </c>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15" customFormat="false" ht="15" hidden="false" customHeight="true" outlineLevel="0" collapsed="false">
      <c r="A15" s="21" t="s">
        <v>34</v>
      </c>
      <c r="B15" s="22" t="s">
        <v>509</v>
      </c>
      <c r="C15" s="22" t="s">
        <v>510</v>
      </c>
      <c r="D15" s="22" t="s">
        <v>511</v>
      </c>
      <c r="E15" s="23" t="s">
        <v>512</v>
      </c>
    </row>
    <row r="16" customFormat="false" ht="15" hidden="false" customHeight="true" outlineLevel="0" collapsed="false">
      <c r="A16" s="8" t="s">
        <v>63</v>
      </c>
      <c r="B16" s="10" t="s">
        <v>513</v>
      </c>
      <c r="C16" s="10" t="s">
        <v>514</v>
      </c>
      <c r="D16" s="10" t="s">
        <v>515</v>
      </c>
      <c r="E16" s="11" t="s">
        <v>516</v>
      </c>
    </row>
    <row r="17" customFormat="false" ht="15" hidden="false" customHeight="true" outlineLevel="0" collapsed="false">
      <c r="A17" s="12" t="s">
        <v>517</v>
      </c>
      <c r="B17" s="14" t="s">
        <v>518</v>
      </c>
      <c r="C17" s="14" t="s">
        <v>519</v>
      </c>
      <c r="D17" s="14" t="s">
        <v>520</v>
      </c>
      <c r="E17" s="15" t="s">
        <v>521</v>
      </c>
    </row>
    <row r="18" customFormat="false" ht="15" hidden="false" customHeight="true" outlineLevel="0" collapsed="false">
      <c r="A18" s="12" t="s">
        <v>522</v>
      </c>
      <c r="B18" s="14" t="s">
        <v>412</v>
      </c>
      <c r="C18" s="14" t="s">
        <v>523</v>
      </c>
      <c r="D18" s="14" t="s">
        <v>524</v>
      </c>
      <c r="E18" s="15" t="s">
        <v>525</v>
      </c>
    </row>
    <row r="19" customFormat="false" ht="23.25" hidden="false" customHeight="true" outlineLevel="0" collapsed="false">
      <c r="A19" s="12" t="s">
        <v>526</v>
      </c>
      <c r="B19" s="14" t="s">
        <v>527</v>
      </c>
      <c r="C19" s="14" t="s">
        <v>528</v>
      </c>
      <c r="D19" s="14" t="s">
        <v>529</v>
      </c>
      <c r="E19" s="15" t="s">
        <v>530</v>
      </c>
    </row>
    <row r="20" customFormat="false" ht="23.25" hidden="false" customHeight="true" outlineLevel="0" collapsed="false">
      <c r="A20" s="12" t="s">
        <v>531</v>
      </c>
      <c r="B20" s="14" t="s">
        <v>532</v>
      </c>
      <c r="C20" s="14" t="s">
        <v>533</v>
      </c>
      <c r="D20" s="14" t="s">
        <v>534</v>
      </c>
      <c r="E20" s="15" t="s">
        <v>535</v>
      </c>
    </row>
    <row r="21" customFormat="false" ht="23.25" hidden="false" customHeight="true" outlineLevel="0" collapsed="false">
      <c r="A21" s="12" t="s">
        <v>536</v>
      </c>
      <c r="B21" s="14" t="s">
        <v>537</v>
      </c>
      <c r="C21" s="14" t="s">
        <v>538</v>
      </c>
      <c r="D21" s="14" t="s">
        <v>539</v>
      </c>
      <c r="E21" s="15" t="s">
        <v>540</v>
      </c>
    </row>
    <row r="22" customFormat="false" ht="23.25" hidden="false" customHeight="true" outlineLevel="0" collapsed="false">
      <c r="A22" s="12" t="s">
        <v>243</v>
      </c>
      <c r="B22" s="14" t="s">
        <v>541</v>
      </c>
      <c r="C22" s="14" t="s">
        <v>542</v>
      </c>
      <c r="D22" s="14" t="s">
        <v>543</v>
      </c>
      <c r="E22" s="15" t="s">
        <v>544</v>
      </c>
    </row>
    <row r="23" customFormat="false" ht="23.25" hidden="false" customHeight="true" outlineLevel="0" collapsed="false">
      <c r="A23" s="12" t="s">
        <v>545</v>
      </c>
      <c r="B23" s="14" t="s">
        <v>546</v>
      </c>
      <c r="C23" s="14" t="s">
        <v>547</v>
      </c>
      <c r="D23" s="14" t="s">
        <v>548</v>
      </c>
      <c r="E23" s="15" t="s">
        <v>549</v>
      </c>
    </row>
    <row r="24" customFormat="false" ht="23.25" hidden="false" customHeight="true" outlineLevel="0" collapsed="false">
      <c r="A24" s="12" t="s">
        <v>550</v>
      </c>
      <c r="B24" s="14" t="s">
        <v>551</v>
      </c>
      <c r="C24" s="14" t="s">
        <v>552</v>
      </c>
      <c r="D24" s="14" t="s">
        <v>548</v>
      </c>
      <c r="E24" s="15" t="s">
        <v>553</v>
      </c>
    </row>
    <row r="25" customFormat="false" ht="23.25" hidden="false" customHeight="true" outlineLevel="0" collapsed="false">
      <c r="A25" s="17" t="s">
        <v>39</v>
      </c>
      <c r="B25" s="18" t="s">
        <v>554</v>
      </c>
      <c r="C25" s="18" t="s">
        <v>555</v>
      </c>
      <c r="D25" s="18" t="s">
        <v>556</v>
      </c>
      <c r="E25" s="19" t="s">
        <v>557</v>
      </c>
    </row>
  </sheetData>
  <mergeCells count="3">
    <mergeCell ref="A1:L1"/>
    <mergeCell ref="A2:L2"/>
    <mergeCell ref="A3:L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8" activeCellId="0" sqref="D8"/>
    </sheetView>
  </sheetViews>
  <sheetFormatPr defaultColWidth="8.58984375" defaultRowHeight="15" customHeight="false" zeroHeight="false" outlineLevelRow="0" outlineLevelCol="0"/>
  <cols>
    <col collapsed="false" customWidth="true" hidden="false" outlineLevel="0" max="1" min="1" style="1" width="8.34"/>
    <col collapsed="false" customWidth="true" hidden="false" outlineLevel="0" max="2" min="2" style="1" width="28.89"/>
    <col collapsed="false" customWidth="true" hidden="false" outlineLevel="0" max="3" min="3" style="1" width="57.79"/>
    <col collapsed="false" customWidth="true" hidden="false" outlineLevel="0" max="4" min="4" style="1" width="28.89"/>
  </cols>
  <sheetData>
    <row r="1" customFormat="false" ht="27" hidden="false" customHeight="true" outlineLevel="0" collapsed="false">
      <c r="A1" s="2" t="s">
        <v>558</v>
      </c>
      <c r="B1" s="2"/>
      <c r="C1" s="2"/>
      <c r="D1" s="2"/>
      <c r="E1" s="2"/>
      <c r="F1" s="2"/>
      <c r="G1" s="2"/>
      <c r="H1" s="2"/>
      <c r="I1" s="2"/>
      <c r="J1" s="2"/>
      <c r="K1" s="2"/>
      <c r="L1" s="2"/>
    </row>
    <row r="2" customFormat="false" ht="36" hidden="false" customHeight="true" outlineLevel="0" collapsed="false">
      <c r="A2" s="3" t="s">
        <v>559</v>
      </c>
      <c r="B2" s="3"/>
      <c r="C2" s="3"/>
      <c r="D2" s="3"/>
      <c r="E2" s="3"/>
      <c r="F2" s="3"/>
      <c r="G2" s="3"/>
      <c r="H2" s="3"/>
      <c r="I2" s="3"/>
      <c r="J2" s="3"/>
      <c r="K2" s="3"/>
      <c r="L2" s="3"/>
    </row>
    <row r="3" customFormat="false" ht="48" hidden="false" customHeight="true" outlineLevel="0" collapsed="false">
      <c r="A3" s="20" t="s">
        <v>560</v>
      </c>
      <c r="B3" s="20"/>
      <c r="C3" s="20"/>
      <c r="D3" s="20"/>
      <c r="E3" s="20"/>
      <c r="F3" s="20"/>
      <c r="G3" s="20"/>
      <c r="H3" s="20"/>
      <c r="I3" s="20"/>
      <c r="J3" s="20"/>
      <c r="K3" s="20"/>
      <c r="L3" s="20"/>
    </row>
    <row r="4" customFormat="false" ht="15" hidden="false" customHeight="false" outlineLevel="0" collapsed="false">
      <c r="A4" s="20"/>
      <c r="B4" s="20"/>
      <c r="C4" s="20"/>
      <c r="D4" s="20"/>
      <c r="E4" s="20"/>
      <c r="F4" s="20"/>
      <c r="G4" s="20"/>
      <c r="H4" s="20"/>
      <c r="I4" s="20"/>
      <c r="J4" s="20"/>
      <c r="K4" s="20"/>
      <c r="L4" s="20"/>
    </row>
    <row r="15" customFormat="false" ht="15" hidden="false" customHeight="true" outlineLevel="0" collapsed="false">
      <c r="A15" s="21" t="s">
        <v>561</v>
      </c>
      <c r="B15" s="22" t="s">
        <v>138</v>
      </c>
      <c r="C15" s="22" t="s">
        <v>562</v>
      </c>
      <c r="D15" s="23" t="s">
        <v>563</v>
      </c>
    </row>
    <row r="16" customFormat="false" ht="23.25" hidden="false" customHeight="true" outlineLevel="0" collapsed="false">
      <c r="A16" s="8" t="s">
        <v>564</v>
      </c>
      <c r="B16" s="10" t="s">
        <v>565</v>
      </c>
      <c r="C16" s="10" t="s">
        <v>566</v>
      </c>
      <c r="D16" s="11" t="s">
        <v>567</v>
      </c>
    </row>
    <row r="17" customFormat="false" ht="23.25" hidden="false" customHeight="true" outlineLevel="0" collapsed="false">
      <c r="A17" s="12" t="s">
        <v>568</v>
      </c>
      <c r="B17" s="14" t="s">
        <v>569</v>
      </c>
      <c r="C17" s="14" t="s">
        <v>570</v>
      </c>
      <c r="D17" s="15" t="s">
        <v>571</v>
      </c>
    </row>
    <row r="18" customFormat="false" ht="15" hidden="false" customHeight="true" outlineLevel="0" collapsed="false">
      <c r="A18" s="12" t="s">
        <v>62</v>
      </c>
      <c r="B18" s="14" t="s">
        <v>572</v>
      </c>
      <c r="C18" s="14" t="s">
        <v>573</v>
      </c>
      <c r="D18" s="15" t="s">
        <v>574</v>
      </c>
    </row>
    <row r="19" customFormat="false" ht="23.25" hidden="false" customHeight="true" outlineLevel="0" collapsed="false">
      <c r="A19" s="17" t="s">
        <v>38</v>
      </c>
      <c r="B19" s="18" t="s">
        <v>554</v>
      </c>
      <c r="C19" s="18" t="s">
        <v>575</v>
      </c>
      <c r="D19" s="19" t="s">
        <v>576</v>
      </c>
    </row>
  </sheetData>
  <mergeCells count="3">
    <mergeCell ref="A1:L1"/>
    <mergeCell ref="A2:L2"/>
    <mergeCell ref="A3:L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I14" activeCellId="0" sqref="I14"/>
    </sheetView>
  </sheetViews>
  <sheetFormatPr defaultColWidth="8.58984375" defaultRowHeight="15" customHeight="false" zeroHeight="false" outlineLevelRow="0" outlineLevelCol="0"/>
  <cols>
    <col collapsed="false" customWidth="true" hidden="false" outlineLevel="0" max="1" min="1" style="1" width="32.22"/>
    <col collapsed="false" customWidth="true" hidden="false" outlineLevel="0" max="4" min="2" style="1" width="13.34"/>
    <col collapsed="false" customWidth="true" hidden="false" outlineLevel="0" max="5" min="5" style="1" width="11.11"/>
  </cols>
  <sheetData>
    <row r="1" customFormat="false" ht="27" hidden="false" customHeight="true" outlineLevel="0" collapsed="false">
      <c r="A1" s="2" t="s">
        <v>577</v>
      </c>
      <c r="B1" s="2"/>
      <c r="C1" s="2"/>
      <c r="D1" s="2"/>
      <c r="E1" s="2"/>
      <c r="F1" s="2"/>
      <c r="G1" s="2"/>
      <c r="H1" s="2"/>
      <c r="I1" s="2"/>
      <c r="J1" s="2"/>
      <c r="K1" s="2"/>
      <c r="L1" s="2"/>
    </row>
    <row r="2" customFormat="false" ht="36" hidden="false" customHeight="true" outlineLevel="0" collapsed="false">
      <c r="A2" s="3" t="s">
        <v>578</v>
      </c>
      <c r="B2" s="3"/>
      <c r="C2" s="3"/>
      <c r="D2" s="3"/>
      <c r="E2" s="3"/>
      <c r="F2" s="3"/>
      <c r="G2" s="3"/>
      <c r="H2" s="3"/>
      <c r="I2" s="3"/>
      <c r="J2" s="3"/>
      <c r="K2" s="3"/>
      <c r="L2" s="3"/>
    </row>
    <row r="3" customFormat="false" ht="48" hidden="false" customHeight="true" outlineLevel="0" collapsed="false">
      <c r="A3" s="20" t="s">
        <v>579</v>
      </c>
      <c r="B3" s="20"/>
      <c r="C3" s="20"/>
      <c r="D3" s="20"/>
      <c r="E3" s="20"/>
      <c r="F3" s="20"/>
      <c r="G3" s="20"/>
      <c r="H3" s="20"/>
      <c r="I3" s="20"/>
      <c r="J3" s="20"/>
      <c r="K3" s="20"/>
      <c r="L3" s="20"/>
    </row>
    <row r="15" customFormat="false" ht="15" hidden="false" customHeight="true" outlineLevel="0" collapsed="false">
      <c r="A15" s="21" t="s">
        <v>580</v>
      </c>
      <c r="B15" s="22" t="s">
        <v>581</v>
      </c>
      <c r="C15" s="22" t="s">
        <v>582</v>
      </c>
      <c r="D15" s="22" t="s">
        <v>583</v>
      </c>
      <c r="E15" s="23" t="s">
        <v>416</v>
      </c>
    </row>
    <row r="16" customFormat="false" ht="15" hidden="false" customHeight="true" outlineLevel="0" collapsed="false">
      <c r="A16" s="8" t="s">
        <v>584</v>
      </c>
      <c r="B16" s="83" t="n">
        <f aca="false">'02 Actor Weights'!C20</f>
        <v>1</v>
      </c>
      <c r="C16" s="10" t="n">
        <v>1</v>
      </c>
      <c r="D16" s="10" t="n">
        <v>1E-006</v>
      </c>
      <c r="E16" s="11" t="str">
        <f aca="false">IF(ABS(B16-C16)&lt;=D16,"PASS","FAIL")</f>
        <v>PASS</v>
      </c>
    </row>
    <row r="17" customFormat="false" ht="15" hidden="false" customHeight="true" outlineLevel="0" collapsed="false">
      <c r="A17" s="12" t="s">
        <v>585</v>
      </c>
      <c r="B17" s="84" t="n">
        <f aca="false">MIN('03 Actor Scenario'!F16:F19)</f>
        <v>1</v>
      </c>
      <c r="C17" s="14" t="n">
        <v>1</v>
      </c>
      <c r="D17" s="14" t="n">
        <v>1E-006</v>
      </c>
      <c r="E17" s="15" t="str">
        <f aca="false">IF(AND(MIN('03 Actor Scenario'!F16:F19)&gt;=1-D17,MAX('03 Actor Scenario'!F16:F19)&lt;=1+D17),"PASS","FAIL")</f>
        <v>PASS</v>
      </c>
    </row>
    <row r="18" customFormat="false" ht="15" hidden="false" customHeight="true" outlineLevel="0" collapsed="false">
      <c r="A18" s="12" t="s">
        <v>586</v>
      </c>
      <c r="B18" s="84" t="n">
        <f aca="false">MIN('05 Actor Route'!H16:H19)</f>
        <v>1</v>
      </c>
      <c r="C18" s="14" t="n">
        <v>1</v>
      </c>
      <c r="D18" s="14" t="n">
        <v>1E-006</v>
      </c>
      <c r="E18" s="15" t="str">
        <f aca="false">IF(AND(MIN('05 Actor Route'!H16:H19)&gt;=1-D18,MAX('05 Actor Route'!H16:H19)&lt;=1+D18),"PASS","FAIL")</f>
        <v>PASS</v>
      </c>
    </row>
    <row r="19" customFormat="false" ht="15" hidden="false" customHeight="true" outlineLevel="0" collapsed="false">
      <c r="A19" s="12" t="s">
        <v>587</v>
      </c>
      <c r="B19" s="84" t="n">
        <f aca="false">MIN('06 Scenario Route'!H16:H19)</f>
        <v>1</v>
      </c>
      <c r="C19" s="14" t="n">
        <v>1</v>
      </c>
      <c r="D19" s="14" t="n">
        <v>1E-006</v>
      </c>
      <c r="E19" s="15" t="str">
        <f aca="false">IF(AND(MIN('06 Scenario Route'!H16:H19)&gt;=1-D19,MAX('06 Scenario Route'!H16:H19)&lt;=1+D19),"PASS","FAIL")</f>
        <v>PASS</v>
      </c>
    </row>
    <row r="20" customFormat="false" ht="15" hidden="false" customHeight="true" outlineLevel="0" collapsed="false">
      <c r="A20" s="17" t="s">
        <v>588</v>
      </c>
      <c r="B20" s="18" t="n">
        <f aca="false">COUNTA('01 Pack Metadata'!B16:B37)</f>
        <v>22</v>
      </c>
      <c r="C20" s="18" t="n">
        <v>22</v>
      </c>
      <c r="D20" s="18" t="n">
        <v>0</v>
      </c>
      <c r="E20" s="19" t="str">
        <f aca="false">IF(ABS(B20-C20)&lt;=D20,"PASS","FAIL")</f>
        <v>PASS</v>
      </c>
    </row>
  </sheetData>
  <mergeCells count="3">
    <mergeCell ref="A1:L1"/>
    <mergeCell ref="A2:L2"/>
    <mergeCell ref="A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209</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2026-08-24T09:20:07Z</dcterms:created>
  <dc:creator>openpyxl</dc:creator>
  <dc:description/>
  <dc:language>en-GB</dc:language>
  <cp:lastModifiedBy/>
  <dcterms:modified xsi:type="dcterms:W3CDTF">2026-08-25T18:45:25Z</dcterms:modified>
  <cp:revision>35</cp:revision>
  <dc:subject/>
  <dc:title/>
</cp:coreProperties>
</file>

<file path=docProps/custom.xml><?xml version="1.0" encoding="utf-8"?>
<Properties xmlns="http://schemas.openxmlformats.org/officeDocument/2006/custom-properties" xmlns:vt="http://schemas.openxmlformats.org/officeDocument/2006/docPropsVTypes"/>
</file>