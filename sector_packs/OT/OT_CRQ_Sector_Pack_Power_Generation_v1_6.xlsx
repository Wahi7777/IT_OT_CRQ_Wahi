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6" autoFilterDateGrouping="1"/>
  </bookViews>
  <sheets>
    <sheet name="00 Pack Guide" sheetId="1" state="visible" r:id="rId1"/>
    <sheet name="01 Pack Metadata" sheetId="2" state="visible" r:id="rId2"/>
    <sheet name="02 Actor Weights" sheetId="3" state="visible" r:id="rId3"/>
    <sheet name="03 Actor Scenario" sheetId="4" state="visible" r:id="rId4"/>
    <sheet name="04 Route Definitions" sheetId="5" state="visible" r:id="rId5"/>
    <sheet name="05 Actor Route" sheetId="6" state="visible" r:id="rId6"/>
    <sheet name="06 Scenario Route" sheetId="7" state="visible" r:id="rId7"/>
    <sheet name="07 Stage Requirements" sheetId="8" state="visible" r:id="rId8"/>
    <sheet name="08 Stage Priors" sheetId="9" state="visible" r:id="rId9"/>
    <sheet name="09 Scenario Parameters" sheetId="10" state="visible" r:id="rId10"/>
    <sheet name="10 Driver Rates" sheetId="11" state="visible" r:id="rId11"/>
    <sheet name="11 Impact Driver Matrix" sheetId="12" state="visible" r:id="rId12"/>
    <sheet name="12 TTP Catalogue" sheetId="13" state="visible" r:id="rId13"/>
    <sheet name="13 Route TTP Map" sheetId="14" state="visible" r:id="rId14"/>
    <sheet name="14 Control Reference" sheetId="15" state="visible" r:id="rId15"/>
    <sheet name="15 Control TTP Map" sheetId="16" state="visible" r:id="rId16"/>
    <sheet name="16 Sources" sheetId="17" state="visible" r:id="rId17"/>
    <sheet name="17 Evidence Register" sheetId="18" state="visible" r:id="rId18"/>
    <sheet name="18 Validation" sheetId="19" state="visible" r:id="rId19"/>
  </sheets>
  <definedNames>
    <definedName name="_xlnm._FilterDatabase" localSheetId="9" hidden="1">'09 Scenario Parameters'!$A$15:$J$25</definedName>
    <definedName name="_xlnm._FilterDatabase" localSheetId="12" hidden="1">'12 TTP Catalogue'!$A$15:$M$112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\$#,##0.00"/>
    <numFmt numFmtId="167" formatCode="[$$-409]#,##0.00;[RED]\-[$$-409]#,##0.00"/>
    <numFmt numFmtId="168" formatCode="0.0\x"/>
  </numFmts>
  <fonts count="1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FFFFFF"/>
      <sz val="10"/>
    </font>
    <font>
      <name val="Calibri"/>
      <charset val="1"/>
      <family val="0"/>
      <b val="1"/>
      <sz val="11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111827"/>
      <sz val="11"/>
    </font>
    <font>
      <name val="Arial"/>
      <charset val="1"/>
      <family val="0"/>
      <color rgb="FF0000FF"/>
      <sz val="9"/>
    </font>
    <font>
      <name val="Calibri"/>
      <charset val="1"/>
      <family val="0"/>
      <color rgb="FF0000FF"/>
      <sz val="11"/>
    </font>
    <font>
      <name val="Arial"/>
      <charset val="1"/>
      <family val="0"/>
      <b val="1"/>
      <color rgb="FF000000"/>
      <sz val="10"/>
    </font>
    <font>
      <name val="Calibri"/>
      <charset val="1"/>
      <family val="0"/>
      <b val="1"/>
      <color rgb="FFFFFFFF"/>
      <sz val="16"/>
    </font>
  </fonts>
  <fills count="8">
    <fill>
      <patternFill/>
    </fill>
    <fill>
      <patternFill patternType="gray125"/>
    </fill>
    <fill>
      <patternFill patternType="solid">
        <fgColor rgb="FFD99400"/>
        <bgColor rgb="FFFF6600"/>
      </patternFill>
    </fill>
    <fill>
      <patternFill patternType="solid">
        <fgColor rgb="FFEAF3FF"/>
        <bgColor rgb="FFE5E7EB"/>
      </patternFill>
    </fill>
    <fill>
      <patternFill patternType="solid">
        <fgColor rgb="FFE5E7EB"/>
        <bgColor rgb="FFEAF3FF"/>
      </patternFill>
    </fill>
    <fill>
      <patternFill patternType="solid">
        <fgColor rgb="FF7C3AED"/>
        <bgColor rgb="FF993366"/>
      </patternFill>
    </fill>
    <fill>
      <patternFill patternType="solid">
        <fgColor rgb="FFFFF2CC"/>
        <bgColor rgb="FFFFF4CC"/>
      </patternFill>
    </fill>
    <fill>
      <patternFill patternType="solid">
        <fgColor rgb="FFFFF4CC"/>
        <bgColor rgb="FFFFF2CC"/>
      </patternFill>
    </fill>
  </fills>
  <borders count="11">
    <border>
      <left/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/>
      <right/>
      <top style="thin">
        <color rgb="FFE5E7EB"/>
      </top>
      <bottom style="thin">
        <color rgb="FFE5E7E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center" wrapText="1"/>
    </xf>
    <xf numFmtId="0" fontId="6" fillId="2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 wrapText="1"/>
    </xf>
    <xf numFmtId="0" fontId="9" fillId="5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0" fontId="10" fillId="0" borderId="2" applyAlignment="1" pivotButton="0" quotePrefix="0" xfId="0">
      <alignment horizontal="general" vertical="top" wrapText="1"/>
    </xf>
    <xf numFmtId="0" fontId="10" fillId="0" borderId="3" applyAlignment="1" pivotButton="0" quotePrefix="0" xfId="0">
      <alignment horizontal="general" vertical="top" wrapText="1"/>
    </xf>
    <xf numFmtId="0" fontId="10" fillId="0" borderId="4" applyAlignment="1" pivotButton="0" quotePrefix="0" xfId="0">
      <alignment horizontal="general" vertical="top" wrapText="1"/>
    </xf>
    <xf numFmtId="0" fontId="10" fillId="0" borderId="5" applyAlignment="1" pivotButton="0" quotePrefix="0" xfId="0">
      <alignment horizontal="general" vertical="top" wrapText="1"/>
    </xf>
    <xf numFmtId="0" fontId="10" fillId="0" borderId="6" applyAlignment="1" pivotButton="0" quotePrefix="0" xfId="0">
      <alignment horizontal="general" vertical="top" wrapText="1"/>
    </xf>
    <xf numFmtId="0" fontId="10" fillId="0" borderId="7" applyAlignment="1" pivotButton="0" quotePrefix="0" xfId="0">
      <alignment horizontal="general" vertical="top" wrapText="1"/>
    </xf>
    <xf numFmtId="0" fontId="10" fillId="0" borderId="8" applyAlignment="1" pivotButton="0" quotePrefix="0" xfId="0">
      <alignment horizontal="general" vertical="top" wrapText="1"/>
    </xf>
    <xf numFmtId="0" fontId="10" fillId="0" borderId="9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center" wrapText="1"/>
    </xf>
    <xf numFmtId="0" fontId="6" fillId="2" borderId="0" applyAlignment="1" pivotButton="0" quotePrefix="0" xfId="0">
      <alignment horizontal="general" vertical="bottom"/>
    </xf>
    <xf numFmtId="0" fontId="6" fillId="2" borderId="6" applyAlignment="1" pivotButton="0" quotePrefix="0" xfId="0">
      <alignment horizontal="general" vertical="center" wrapText="1"/>
    </xf>
    <xf numFmtId="0" fontId="6" fillId="2" borderId="10" applyAlignment="1" pivotButton="0" quotePrefix="0" xfId="0">
      <alignment horizontal="general" vertical="center" wrapText="1"/>
    </xf>
    <xf numFmtId="0" fontId="6" fillId="2" borderId="4" applyAlignment="1" pivotButton="0" quotePrefix="0" xfId="0">
      <alignment horizontal="general" vertical="center" wrapText="1"/>
    </xf>
    <xf numFmtId="0" fontId="11" fillId="6" borderId="2" applyAlignment="1" pivotButton="0" quotePrefix="0" xfId="0">
      <alignment horizontal="center" vertical="top" wrapText="1"/>
    </xf>
    <xf numFmtId="0" fontId="11" fillId="6" borderId="2" applyAlignment="1" pivotButton="0" quotePrefix="0" xfId="0">
      <alignment horizontal="general" vertical="top" wrapText="1"/>
    </xf>
    <xf numFmtId="0" fontId="11" fillId="6" borderId="3" applyAlignment="1" pivotButton="0" quotePrefix="0" xfId="0">
      <alignment horizontal="general" vertical="top" wrapText="1"/>
    </xf>
    <xf numFmtId="0" fontId="11" fillId="6" borderId="5" applyAlignment="1" pivotButton="0" quotePrefix="0" xfId="0">
      <alignment horizontal="center" vertical="top" wrapText="1"/>
    </xf>
    <xf numFmtId="0" fontId="11" fillId="6" borderId="5" applyAlignment="1" pivotButton="0" quotePrefix="0" xfId="0">
      <alignment horizontal="general" vertical="top" wrapText="1"/>
    </xf>
    <xf numFmtId="0" fontId="11" fillId="6" borderId="6" applyAlignment="1" pivotButton="0" quotePrefix="0" xfId="0">
      <alignment horizontal="general" vertical="top" wrapText="1"/>
    </xf>
    <xf numFmtId="4" fontId="11" fillId="6" borderId="5" applyAlignment="1" pivotButton="0" quotePrefix="0" xfId="0">
      <alignment horizontal="center" vertical="top" wrapText="1"/>
    </xf>
    <xf numFmtId="0" fontId="12" fillId="7" borderId="5" applyAlignment="1" pivotButton="0" quotePrefix="0" xfId="0">
      <alignment horizontal="center" vertical="top" wrapText="1"/>
    </xf>
    <xf numFmtId="0" fontId="12" fillId="7" borderId="8" applyAlignment="1" pivotButton="0" quotePrefix="0" xfId="0">
      <alignment horizontal="center" vertical="top" wrapText="1"/>
    </xf>
    <xf numFmtId="9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center" wrapText="1"/>
    </xf>
    <xf numFmtId="164" fontId="11" fillId="6" borderId="2" applyAlignment="1" pivotButton="0" quotePrefix="0" xfId="0">
      <alignment horizontal="general" vertical="top" wrapText="1"/>
    </xf>
    <xf numFmtId="164" fontId="11" fillId="6" borderId="5" applyAlignment="1" pivotButton="0" quotePrefix="0" xfId="0">
      <alignment horizontal="general" vertical="top" wrapText="1"/>
    </xf>
    <xf numFmtId="164" fontId="12" fillId="7" borderId="8" applyAlignment="1" pivotButton="0" quotePrefix="0" xfId="0">
      <alignment horizontal="general" vertical="top" wrapText="1"/>
    </xf>
    <xf numFmtId="164" fontId="8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11" fillId="6" borderId="0" applyAlignment="1" pivotButton="0" quotePrefix="0" xfId="0">
      <alignment horizontal="general" vertical="bottom"/>
    </xf>
    <xf numFmtId="4" fontId="11" fillId="6" borderId="0" applyAlignment="1" pivotButton="0" quotePrefix="0" xfId="0">
      <alignment horizontal="center" vertical="bottom"/>
    </xf>
    <xf numFmtId="0" fontId="6" fillId="2" borderId="6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top" wrapText="1"/>
    </xf>
    <xf numFmtId="164" fontId="11" fillId="6" borderId="2" applyAlignment="1" pivotButton="0" quotePrefix="0" xfId="0">
      <alignment horizontal="center" vertical="top" wrapText="1"/>
    </xf>
    <xf numFmtId="164" fontId="11" fillId="6" borderId="3" applyAlignment="1" pivotButton="0" quotePrefix="0" xfId="0">
      <alignment horizontal="center" vertical="top" wrapText="1"/>
    </xf>
    <xf numFmtId="10" fontId="0" fillId="0" borderId="0" applyAlignment="1" pivotButton="0" quotePrefix="0" xfId="0">
      <alignment horizontal="general" vertical="bottom"/>
    </xf>
    <xf numFmtId="0" fontId="10" fillId="0" borderId="4" applyAlignment="1" pivotButton="0" quotePrefix="0" xfId="0">
      <alignment horizontal="center" vertical="top" wrapText="1"/>
    </xf>
    <xf numFmtId="164" fontId="11" fillId="6" borderId="5" applyAlignment="1" pivotButton="0" quotePrefix="0" xfId="0">
      <alignment horizontal="center" vertical="top" wrapText="1"/>
    </xf>
    <xf numFmtId="164" fontId="11" fillId="6" borderId="6" applyAlignment="1" pivotButton="0" quotePrefix="0" xfId="0">
      <alignment horizontal="center" vertical="top" wrapText="1"/>
    </xf>
    <xf numFmtId="0" fontId="10" fillId="0" borderId="7" applyAlignment="1" pivotButton="0" quotePrefix="0" xfId="0">
      <alignment horizontal="center" vertical="top" wrapText="1"/>
    </xf>
    <xf numFmtId="164" fontId="12" fillId="7" borderId="8" applyAlignment="1" pivotButton="0" quotePrefix="0" xfId="0">
      <alignment horizontal="center" vertical="top" wrapText="1"/>
    </xf>
    <xf numFmtId="164" fontId="10" fillId="0" borderId="9" applyAlignment="1" pivotButton="0" quotePrefix="0" xfId="0">
      <alignment horizontal="center" vertical="top" wrapText="1"/>
    </xf>
    <xf numFmtId="0" fontId="11" fillId="6" borderId="1" applyAlignment="1" pivotButton="0" quotePrefix="0" xfId="0">
      <alignment horizontal="general" vertical="top" wrapText="1"/>
    </xf>
    <xf numFmtId="164" fontId="12" fillId="7" borderId="2" applyAlignment="1" pivotButton="0" quotePrefix="0" xfId="0">
      <alignment horizontal="general" vertical="top" wrapText="1"/>
    </xf>
    <xf numFmtId="164" fontId="11" fillId="6" borderId="3" applyAlignment="1" pivotButton="0" quotePrefix="0" xfId="0">
      <alignment horizontal="general" vertical="top" wrapText="1"/>
    </xf>
    <xf numFmtId="0" fontId="11" fillId="6" borderId="4" applyAlignment="1" pivotButton="0" quotePrefix="0" xfId="0">
      <alignment horizontal="general" vertical="top" wrapText="1"/>
    </xf>
    <xf numFmtId="164" fontId="12" fillId="7" borderId="5" applyAlignment="1" pivotButton="0" quotePrefix="0" xfId="0">
      <alignment horizontal="general" vertical="top" wrapText="1"/>
    </xf>
    <xf numFmtId="164" fontId="11" fillId="6" borderId="6" applyAlignment="1" pivotButton="0" quotePrefix="0" xfId="0">
      <alignment horizontal="general" vertical="top" wrapText="1"/>
    </xf>
    <xf numFmtId="0" fontId="11" fillId="6" borderId="7" applyAlignment="1" pivotButton="0" quotePrefix="0" xfId="0">
      <alignment horizontal="general" vertical="top" wrapText="1"/>
    </xf>
    <xf numFmtId="164" fontId="11" fillId="6" borderId="8" applyAlignment="1" pivotButton="0" quotePrefix="0" xfId="0">
      <alignment horizontal="general" vertical="top" wrapText="1"/>
    </xf>
    <xf numFmtId="164" fontId="11" fillId="6" borderId="9" applyAlignment="1" pivotButton="0" quotePrefix="0" xfId="0">
      <alignment horizontal="general" vertical="top" wrapText="1"/>
    </xf>
    <xf numFmtId="0" fontId="9" fillId="5" borderId="10" applyAlignment="1" pivotButton="0" quotePrefix="0" xfId="0">
      <alignment horizontal="general" vertical="center" wrapText="1"/>
    </xf>
    <xf numFmtId="0" fontId="9" fillId="5" borderId="4" applyAlignment="1" pivotButton="0" quotePrefix="0" xfId="0">
      <alignment horizontal="general" vertical="center" wrapText="1"/>
    </xf>
    <xf numFmtId="164" fontId="10" fillId="0" borderId="3" applyAlignment="1" pivotButton="0" quotePrefix="0" xfId="0">
      <alignment horizontal="general" vertical="top" wrapText="1"/>
    </xf>
    <xf numFmtId="164" fontId="10" fillId="0" borderId="6" applyAlignment="1" pivotButton="0" quotePrefix="0" xfId="0">
      <alignment horizontal="general" vertical="top" wrapText="1"/>
    </xf>
    <xf numFmtId="164" fontId="10" fillId="0" borderId="9" applyAlignment="1" pivotButton="0" quotePrefix="0" xfId="0">
      <alignment horizontal="general" vertical="top" wrapText="1"/>
    </xf>
    <xf numFmtId="0" fontId="12" fillId="7" borderId="2" applyAlignment="1" pivotButton="0" quotePrefix="0" xfId="0">
      <alignment horizontal="general" vertical="top" wrapText="1"/>
    </xf>
    <xf numFmtId="0" fontId="12" fillId="7" borderId="5" applyAlignment="1" pivotButton="0" quotePrefix="0" xfId="0">
      <alignment horizontal="general" vertical="top" wrapText="1"/>
    </xf>
    <xf numFmtId="0" fontId="12" fillId="7" borderId="8" applyAlignment="1" pivotButton="0" quotePrefix="0" xfId="0">
      <alignment horizontal="general" vertical="top" wrapText="1"/>
    </xf>
    <xf numFmtId="164" fontId="12" fillId="7" borderId="3" applyAlignment="1" pivotButton="0" quotePrefix="0" xfId="0">
      <alignment horizontal="general" vertical="top" wrapText="1"/>
    </xf>
    <xf numFmtId="164" fontId="12" fillId="7" borderId="6" applyAlignment="1" pivotButton="0" quotePrefix="0" xfId="0">
      <alignment horizontal="general" vertical="top" wrapText="1"/>
    </xf>
    <xf numFmtId="164" fontId="12" fillId="7" borderId="9" applyAlignment="1" pivotButton="0" quotePrefix="0" xfId="0">
      <alignment horizontal="general" vertical="top" wrapText="1"/>
    </xf>
    <xf numFmtId="0" fontId="10" fillId="0" borderId="2" applyAlignment="1" pivotButton="0" quotePrefix="0" xfId="0">
      <alignment horizontal="center" vertical="top" wrapText="1"/>
    </xf>
    <xf numFmtId="165" fontId="11" fillId="6" borderId="2" applyAlignment="1" pivotButton="0" quotePrefix="0" xfId="0">
      <alignment horizontal="center" vertical="top" wrapText="1"/>
    </xf>
    <xf numFmtId="4" fontId="11" fillId="6" borderId="2" applyAlignment="1" pivotButton="0" quotePrefix="0" xfId="0">
      <alignment horizontal="center" vertical="top" wrapText="1"/>
    </xf>
    <xf numFmtId="0" fontId="12" fillId="7" borderId="2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center" vertical="top" wrapText="1"/>
    </xf>
    <xf numFmtId="9" fontId="11" fillId="6" borderId="5" applyAlignment="1" pivotButton="0" quotePrefix="0" xfId="0">
      <alignment horizontal="center" vertical="top" wrapText="1"/>
    </xf>
    <xf numFmtId="0" fontId="12" fillId="7" borderId="5" applyAlignment="1" pivotButton="0" quotePrefix="0" xfId="0">
      <alignment horizontal="left" vertical="center" wrapText="1"/>
    </xf>
    <xf numFmtId="165" fontId="11" fillId="6" borderId="5" applyAlignment="1" pivotButton="0" quotePrefix="0" xfId="0">
      <alignment horizontal="center" vertical="top" wrapText="1"/>
    </xf>
    <xf numFmtId="0" fontId="10" fillId="0" borderId="8" applyAlignment="1" pivotButton="0" quotePrefix="0" xfId="0">
      <alignment horizontal="center" vertical="top" wrapText="1"/>
    </xf>
    <xf numFmtId="0" fontId="11" fillId="6" borderId="8" applyAlignment="1" pivotButton="0" quotePrefix="0" xfId="0">
      <alignment horizontal="center" vertical="top" wrapText="1"/>
    </xf>
    <xf numFmtId="9" fontId="11" fillId="6" borderId="8" applyAlignment="1" pivotButton="0" quotePrefix="0" xfId="0">
      <alignment horizontal="center" vertical="top" wrapText="1"/>
    </xf>
    <xf numFmtId="4" fontId="11" fillId="6" borderId="8" applyAlignment="1" pivotButton="0" quotePrefix="0" xfId="0">
      <alignment horizontal="center" vertical="top" wrapText="1"/>
    </xf>
    <xf numFmtId="0" fontId="12" fillId="7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11" fillId="6" borderId="0" applyAlignment="1" pivotButton="0" quotePrefix="0" xfId="0">
      <alignment horizontal="center" vertical="bottom"/>
    </xf>
    <xf numFmtId="165" fontId="11" fillId="6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center" wrapText="1"/>
    </xf>
    <xf numFmtId="9" fontId="11" fillId="6" borderId="0" applyAlignment="1" pivotButton="0" quotePrefix="0" xfId="0">
      <alignment horizontal="center" vertical="bottom"/>
    </xf>
    <xf numFmtId="166" fontId="11" fillId="6" borderId="2" applyAlignment="1" pivotButton="0" quotePrefix="0" xfId="0">
      <alignment horizontal="general" vertical="top" wrapText="1"/>
    </xf>
    <xf numFmtId="166" fontId="11" fillId="6" borderId="5" applyAlignment="1" pivotButton="0" quotePrefix="0" xfId="0">
      <alignment horizontal="general" vertical="top" wrapText="1"/>
    </xf>
    <xf numFmtId="166" fontId="11" fillId="6" borderId="8" applyAlignment="1" pivotButton="0" quotePrefix="0" xfId="0">
      <alignment horizontal="general" vertical="top" wrapText="1"/>
    </xf>
    <xf numFmtId="0" fontId="11" fillId="6" borderId="8" applyAlignment="1" pivotButton="0" quotePrefix="0" xfId="0">
      <alignment horizontal="general" vertical="top" wrapText="1"/>
    </xf>
    <xf numFmtId="0" fontId="11" fillId="6" borderId="9" applyAlignment="1" pivotButton="0" quotePrefix="0" xfId="0">
      <alignment horizontal="general" vertical="top" wrapText="1"/>
    </xf>
    <xf numFmtId="167" fontId="11" fillId="6" borderId="0" applyAlignment="1" pivotButton="0" quotePrefix="0" xfId="0">
      <alignment horizontal="general" vertical="bottom"/>
    </xf>
    <xf numFmtId="0" fontId="12" fillId="7" borderId="3" applyAlignment="1" pivotButton="0" quotePrefix="0" xfId="0">
      <alignment horizontal="general" vertical="top" wrapText="1"/>
    </xf>
    <xf numFmtId="0" fontId="12" fillId="7" borderId="6" applyAlignment="1" pivotButton="0" quotePrefix="0" xfId="0">
      <alignment horizontal="general" vertical="top" wrapText="1"/>
    </xf>
    <xf numFmtId="0" fontId="12" fillId="7" borderId="9" applyAlignment="1" pivotButton="0" quotePrefix="0" xfId="0">
      <alignment horizontal="general" vertical="top" wrapText="1"/>
    </xf>
    <xf numFmtId="168" fontId="12" fillId="7" borderId="2" applyAlignment="1" pivotButton="0" quotePrefix="0" xfId="0">
      <alignment horizontal="general" vertical="top" wrapText="1"/>
    </xf>
    <xf numFmtId="168" fontId="12" fillId="7" borderId="5" applyAlignment="1" pivotButton="0" quotePrefix="0" xfId="0">
      <alignment horizontal="general" vertical="top" wrapText="1"/>
    </xf>
    <xf numFmtId="168" fontId="12" fillId="7" borderId="8" applyAlignment="1" pivotButton="0" quotePrefix="0" xfId="0">
      <alignment horizontal="general" vertical="top" wrapText="1"/>
    </xf>
    <xf numFmtId="0" fontId="14" fillId="5" borderId="0" applyAlignment="1" pivotButton="0" quotePrefix="0" xfId="0">
      <alignment horizontal="general" vertical="bottom"/>
    </xf>
    <xf numFmtId="0" fontId="9" fillId="5" borderId="6" applyAlignment="1" pivotButton="0" quotePrefix="0" xfId="0">
      <alignment horizontal="general" vertical="center" wrapText="1"/>
    </xf>
    <xf numFmtId="164" fontId="10" fillId="0" borderId="2" applyAlignment="1" pivotButton="0" quotePrefix="0" xfId="0">
      <alignment horizontal="general" vertical="top" wrapText="1"/>
    </xf>
    <xf numFmtId="10" fontId="10" fillId="0" borderId="5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center" wrapText="1"/>
    </xf>
    <xf numFmtId="0" fontId="6" fillId="2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 wrapText="1"/>
    </xf>
    <xf numFmtId="0" fontId="9" fillId="5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0" fontId="10" fillId="0" borderId="2" applyAlignment="1" pivotButton="0" quotePrefix="0" xfId="0">
      <alignment horizontal="general" vertical="top" wrapText="1"/>
    </xf>
    <xf numFmtId="0" fontId="10" fillId="0" borderId="3" applyAlignment="1" pivotButton="0" quotePrefix="0" xfId="0">
      <alignment horizontal="general" vertical="top" wrapText="1"/>
    </xf>
    <xf numFmtId="0" fontId="10" fillId="0" borderId="4" applyAlignment="1" pivotButton="0" quotePrefix="0" xfId="0">
      <alignment horizontal="general" vertical="top" wrapText="1"/>
    </xf>
    <xf numFmtId="0" fontId="10" fillId="0" borderId="5" applyAlignment="1" pivotButton="0" quotePrefix="0" xfId="0">
      <alignment horizontal="general" vertical="top" wrapText="1"/>
    </xf>
    <xf numFmtId="0" fontId="10" fillId="0" borderId="6" applyAlignment="1" pivotButton="0" quotePrefix="0" xfId="0">
      <alignment horizontal="general" vertical="top" wrapText="1"/>
    </xf>
    <xf numFmtId="0" fontId="10" fillId="0" borderId="7" applyAlignment="1" pivotButton="0" quotePrefix="0" xfId="0">
      <alignment horizontal="general" vertical="top" wrapText="1"/>
    </xf>
    <xf numFmtId="0" fontId="10" fillId="0" borderId="8" applyAlignment="1" pivotButton="0" quotePrefix="0" xfId="0">
      <alignment horizontal="general" vertical="top" wrapText="1"/>
    </xf>
    <xf numFmtId="0" fontId="10" fillId="0" borderId="9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center" wrapText="1"/>
    </xf>
    <xf numFmtId="0" fontId="6" fillId="2" borderId="6" applyAlignment="1" pivotButton="0" quotePrefix="0" xfId="0">
      <alignment horizontal="general" vertical="center" wrapText="1"/>
    </xf>
    <xf numFmtId="0" fontId="6" fillId="2" borderId="10" applyAlignment="1" pivotButton="0" quotePrefix="0" xfId="0">
      <alignment horizontal="general" vertical="center" wrapText="1"/>
    </xf>
    <xf numFmtId="0" fontId="6" fillId="2" borderId="4" applyAlignment="1" pivotButton="0" quotePrefix="0" xfId="0">
      <alignment horizontal="general" vertical="center" wrapText="1"/>
    </xf>
    <xf numFmtId="0" fontId="11" fillId="6" borderId="2" applyAlignment="1" pivotButton="0" quotePrefix="0" xfId="0">
      <alignment horizontal="center" vertical="top" wrapText="1"/>
    </xf>
    <xf numFmtId="0" fontId="11" fillId="6" borderId="2" applyAlignment="1" pivotButton="0" quotePrefix="0" xfId="0">
      <alignment horizontal="general" vertical="top" wrapText="1"/>
    </xf>
    <xf numFmtId="0" fontId="11" fillId="6" borderId="3" applyAlignment="1" pivotButton="0" quotePrefix="0" xfId="0">
      <alignment horizontal="general" vertical="top" wrapText="1"/>
    </xf>
    <xf numFmtId="0" fontId="11" fillId="6" borderId="5" applyAlignment="1" pivotButton="0" quotePrefix="0" xfId="0">
      <alignment horizontal="center" vertical="top" wrapText="1"/>
    </xf>
    <xf numFmtId="0" fontId="11" fillId="6" borderId="5" applyAlignment="1" pivotButton="0" quotePrefix="0" xfId="0">
      <alignment horizontal="general" vertical="top" wrapText="1"/>
    </xf>
    <xf numFmtId="0" fontId="11" fillId="6" borderId="6" applyAlignment="1" pivotButton="0" quotePrefix="0" xfId="0">
      <alignment horizontal="general" vertical="top" wrapText="1"/>
    </xf>
    <xf numFmtId="4" fontId="11" fillId="6" borderId="5" applyAlignment="1" pivotButton="0" quotePrefix="0" xfId="0">
      <alignment horizontal="center" vertical="top" wrapText="1"/>
    </xf>
    <xf numFmtId="0" fontId="12" fillId="7" borderId="5" applyAlignment="1" pivotButton="0" quotePrefix="0" xfId="0">
      <alignment horizontal="center" vertical="top" wrapText="1"/>
    </xf>
    <xf numFmtId="0" fontId="12" fillId="7" borderId="8" applyAlignment="1" pivotButton="0" quotePrefix="0" xfId="0">
      <alignment horizontal="center" vertical="top" wrapText="1"/>
    </xf>
    <xf numFmtId="9" fontId="8" fillId="0" borderId="0" applyAlignment="1" pivotButton="0" quotePrefix="0" xfId="0">
      <alignment horizontal="general" vertical="bottom"/>
    </xf>
    <xf numFmtId="164" fontId="11" fillId="6" borderId="2" applyAlignment="1" pivotButton="0" quotePrefix="0" xfId="0">
      <alignment horizontal="general" vertical="top" wrapText="1"/>
    </xf>
    <xf numFmtId="164" fontId="11" fillId="6" borderId="5" applyAlignment="1" pivotButton="0" quotePrefix="0" xfId="0">
      <alignment horizontal="general" vertical="top" wrapText="1"/>
    </xf>
    <xf numFmtId="164" fontId="12" fillId="7" borderId="8" applyAlignment="1" pivotButton="0" quotePrefix="0" xfId="0">
      <alignment horizontal="general" vertical="top" wrapText="1"/>
    </xf>
    <xf numFmtId="164" fontId="8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11" fillId="6" borderId="0" applyAlignment="1" pivotButton="0" quotePrefix="0" xfId="0">
      <alignment horizontal="general" vertical="bottom"/>
    </xf>
    <xf numFmtId="4" fontId="11" fillId="6" borderId="0" applyAlignment="1" pivotButton="0" quotePrefix="0" xfId="0">
      <alignment horizontal="center" vertical="bottom"/>
    </xf>
    <xf numFmtId="0" fontId="6" fillId="2" borderId="6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top" wrapText="1"/>
    </xf>
    <xf numFmtId="164" fontId="11" fillId="6" borderId="2" applyAlignment="1" pivotButton="0" quotePrefix="0" xfId="0">
      <alignment horizontal="center" vertical="top" wrapText="1"/>
    </xf>
    <xf numFmtId="164" fontId="11" fillId="6" borderId="3" applyAlignment="1" pivotButton="0" quotePrefix="0" xfId="0">
      <alignment horizontal="center" vertical="top" wrapText="1"/>
    </xf>
    <xf numFmtId="10" fontId="0" fillId="0" borderId="0" applyAlignment="1" pivotButton="0" quotePrefix="0" xfId="0">
      <alignment horizontal="general" vertical="bottom"/>
    </xf>
    <xf numFmtId="0" fontId="10" fillId="0" borderId="4" applyAlignment="1" pivotButton="0" quotePrefix="0" xfId="0">
      <alignment horizontal="center" vertical="top" wrapText="1"/>
    </xf>
    <xf numFmtId="164" fontId="11" fillId="6" borderId="5" applyAlignment="1" pivotButton="0" quotePrefix="0" xfId="0">
      <alignment horizontal="center" vertical="top" wrapText="1"/>
    </xf>
    <xf numFmtId="164" fontId="11" fillId="6" borderId="6" applyAlignment="1" pivotButton="0" quotePrefix="0" xfId="0">
      <alignment horizontal="center" vertical="top" wrapText="1"/>
    </xf>
    <xf numFmtId="0" fontId="10" fillId="0" borderId="7" applyAlignment="1" pivotButton="0" quotePrefix="0" xfId="0">
      <alignment horizontal="center" vertical="top" wrapText="1"/>
    </xf>
    <xf numFmtId="164" fontId="12" fillId="7" borderId="8" applyAlignment="1" pivotButton="0" quotePrefix="0" xfId="0">
      <alignment horizontal="center" vertical="top" wrapText="1"/>
    </xf>
    <xf numFmtId="164" fontId="10" fillId="0" borderId="9" applyAlignment="1" pivotButton="0" quotePrefix="0" xfId="0">
      <alignment horizontal="center" vertical="top" wrapText="1"/>
    </xf>
    <xf numFmtId="0" fontId="11" fillId="6" borderId="1" applyAlignment="1" pivotButton="0" quotePrefix="0" xfId="0">
      <alignment horizontal="general" vertical="top" wrapText="1"/>
    </xf>
    <xf numFmtId="164" fontId="12" fillId="7" borderId="2" applyAlignment="1" pivotButton="0" quotePrefix="0" xfId="0">
      <alignment horizontal="general" vertical="top" wrapText="1"/>
    </xf>
    <xf numFmtId="164" fontId="11" fillId="6" borderId="3" applyAlignment="1" pivotButton="0" quotePrefix="0" xfId="0">
      <alignment horizontal="general" vertical="top" wrapText="1"/>
    </xf>
    <xf numFmtId="0" fontId="11" fillId="6" borderId="4" applyAlignment="1" pivotButton="0" quotePrefix="0" xfId="0">
      <alignment horizontal="general" vertical="top" wrapText="1"/>
    </xf>
    <xf numFmtId="164" fontId="12" fillId="7" borderId="5" applyAlignment="1" pivotButton="0" quotePrefix="0" xfId="0">
      <alignment horizontal="general" vertical="top" wrapText="1"/>
    </xf>
    <xf numFmtId="164" fontId="11" fillId="6" borderId="6" applyAlignment="1" pivotButton="0" quotePrefix="0" xfId="0">
      <alignment horizontal="general" vertical="top" wrapText="1"/>
    </xf>
    <xf numFmtId="0" fontId="11" fillId="6" borderId="7" applyAlignment="1" pivotButton="0" quotePrefix="0" xfId="0">
      <alignment horizontal="general" vertical="top" wrapText="1"/>
    </xf>
    <xf numFmtId="164" fontId="11" fillId="6" borderId="8" applyAlignment="1" pivotButton="0" quotePrefix="0" xfId="0">
      <alignment horizontal="general" vertical="top" wrapText="1"/>
    </xf>
    <xf numFmtId="164" fontId="11" fillId="6" borderId="9" applyAlignment="1" pivotButton="0" quotePrefix="0" xfId="0">
      <alignment horizontal="general" vertical="top" wrapText="1"/>
    </xf>
    <xf numFmtId="0" fontId="9" fillId="5" borderId="10" applyAlignment="1" pivotButton="0" quotePrefix="0" xfId="0">
      <alignment horizontal="general" vertical="center" wrapText="1"/>
    </xf>
    <xf numFmtId="0" fontId="9" fillId="5" borderId="4" applyAlignment="1" pivotButton="0" quotePrefix="0" xfId="0">
      <alignment horizontal="general" vertical="center" wrapText="1"/>
    </xf>
    <xf numFmtId="164" fontId="10" fillId="0" borderId="3" applyAlignment="1" pivotButton="0" quotePrefix="0" xfId="0">
      <alignment horizontal="general" vertical="top" wrapText="1"/>
    </xf>
    <xf numFmtId="164" fontId="10" fillId="0" borderId="6" applyAlignment="1" pivotButton="0" quotePrefix="0" xfId="0">
      <alignment horizontal="general" vertical="top" wrapText="1"/>
    </xf>
    <xf numFmtId="164" fontId="10" fillId="0" borderId="9" applyAlignment="1" pivotButton="0" quotePrefix="0" xfId="0">
      <alignment horizontal="general" vertical="top" wrapText="1"/>
    </xf>
    <xf numFmtId="0" fontId="12" fillId="7" borderId="2" applyAlignment="1" pivotButton="0" quotePrefix="0" xfId="0">
      <alignment horizontal="general" vertical="top" wrapText="1"/>
    </xf>
    <xf numFmtId="0" fontId="12" fillId="7" borderId="5" applyAlignment="1" pivotButton="0" quotePrefix="0" xfId="0">
      <alignment horizontal="general" vertical="top" wrapText="1"/>
    </xf>
    <xf numFmtId="0" fontId="12" fillId="7" borderId="8" applyAlignment="1" pivotButton="0" quotePrefix="0" xfId="0">
      <alignment horizontal="general" vertical="top" wrapText="1"/>
    </xf>
    <xf numFmtId="164" fontId="12" fillId="7" borderId="3" applyAlignment="1" pivotButton="0" quotePrefix="0" xfId="0">
      <alignment horizontal="general" vertical="top" wrapText="1"/>
    </xf>
    <xf numFmtId="164" fontId="12" fillId="7" borderId="6" applyAlignment="1" pivotButton="0" quotePrefix="0" xfId="0">
      <alignment horizontal="general" vertical="top" wrapText="1"/>
    </xf>
    <xf numFmtId="164" fontId="12" fillId="7" borderId="9" applyAlignment="1" pivotButton="0" quotePrefix="0" xfId="0">
      <alignment horizontal="general" vertical="top" wrapText="1"/>
    </xf>
    <xf numFmtId="0" fontId="10" fillId="0" borderId="2" applyAlignment="1" pivotButton="0" quotePrefix="0" xfId="0">
      <alignment horizontal="center" vertical="top" wrapText="1"/>
    </xf>
    <xf numFmtId="165" fontId="11" fillId="6" borderId="2" applyAlignment="1" pivotButton="0" quotePrefix="0" xfId="0">
      <alignment horizontal="center" vertical="top" wrapText="1"/>
    </xf>
    <xf numFmtId="4" fontId="11" fillId="6" borderId="2" applyAlignment="1" pivotButton="0" quotePrefix="0" xfId="0">
      <alignment horizontal="center" vertical="top" wrapText="1"/>
    </xf>
    <xf numFmtId="0" fontId="12" fillId="7" borderId="2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center" vertical="top" wrapText="1"/>
    </xf>
    <xf numFmtId="9" fontId="11" fillId="6" borderId="5" applyAlignment="1" pivotButton="0" quotePrefix="0" xfId="0">
      <alignment horizontal="center" vertical="top" wrapText="1"/>
    </xf>
    <xf numFmtId="0" fontId="12" fillId="7" borderId="5" applyAlignment="1" pivotButton="0" quotePrefix="0" xfId="0">
      <alignment horizontal="left" vertical="center" wrapText="1"/>
    </xf>
    <xf numFmtId="165" fontId="11" fillId="6" borderId="5" applyAlignment="1" pivotButton="0" quotePrefix="0" xfId="0">
      <alignment horizontal="center" vertical="top" wrapText="1"/>
    </xf>
    <xf numFmtId="0" fontId="10" fillId="0" borderId="8" applyAlignment="1" pivotButton="0" quotePrefix="0" xfId="0">
      <alignment horizontal="center" vertical="top" wrapText="1"/>
    </xf>
    <xf numFmtId="0" fontId="11" fillId="6" borderId="8" applyAlignment="1" pivotButton="0" quotePrefix="0" xfId="0">
      <alignment horizontal="center" vertical="top" wrapText="1"/>
    </xf>
    <xf numFmtId="9" fontId="11" fillId="6" borderId="8" applyAlignment="1" pivotButton="0" quotePrefix="0" xfId="0">
      <alignment horizontal="center" vertical="top" wrapText="1"/>
    </xf>
    <xf numFmtId="4" fontId="11" fillId="6" borderId="8" applyAlignment="1" pivotButton="0" quotePrefix="0" xfId="0">
      <alignment horizontal="center" vertical="top" wrapText="1"/>
    </xf>
    <xf numFmtId="0" fontId="12" fillId="7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11" fillId="6" borderId="0" applyAlignment="1" pivotButton="0" quotePrefix="0" xfId="0">
      <alignment horizontal="center" vertical="bottom"/>
    </xf>
    <xf numFmtId="165" fontId="11" fillId="6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center" wrapText="1"/>
    </xf>
    <xf numFmtId="9" fontId="11" fillId="6" borderId="0" applyAlignment="1" pivotButton="0" quotePrefix="0" xfId="0">
      <alignment horizontal="center" vertical="bottom"/>
    </xf>
    <xf numFmtId="166" fontId="11" fillId="6" borderId="2" applyAlignment="1" pivotButton="0" quotePrefix="0" xfId="0">
      <alignment horizontal="general" vertical="top" wrapText="1"/>
    </xf>
    <xf numFmtId="166" fontId="11" fillId="6" borderId="5" applyAlignment="1" pivotButton="0" quotePrefix="0" xfId="0">
      <alignment horizontal="general" vertical="top" wrapText="1"/>
    </xf>
    <xf numFmtId="166" fontId="11" fillId="6" borderId="8" applyAlignment="1" pivotButton="0" quotePrefix="0" xfId="0">
      <alignment horizontal="general" vertical="top" wrapText="1"/>
    </xf>
    <xf numFmtId="0" fontId="11" fillId="6" borderId="8" applyAlignment="1" pivotButton="0" quotePrefix="0" xfId="0">
      <alignment horizontal="general" vertical="top" wrapText="1"/>
    </xf>
    <xf numFmtId="0" fontId="11" fillId="6" borderId="9" applyAlignment="1" pivotButton="0" quotePrefix="0" xfId="0">
      <alignment horizontal="general" vertical="top" wrapText="1"/>
    </xf>
    <xf numFmtId="167" fontId="11" fillId="6" borderId="0" applyAlignment="1" pivotButton="0" quotePrefix="0" xfId="0">
      <alignment horizontal="general" vertical="bottom"/>
    </xf>
    <xf numFmtId="0" fontId="12" fillId="7" borderId="3" applyAlignment="1" pivotButton="0" quotePrefix="0" xfId="0">
      <alignment horizontal="general" vertical="top" wrapText="1"/>
    </xf>
    <xf numFmtId="0" fontId="12" fillId="7" borderId="6" applyAlignment="1" pivotButton="0" quotePrefix="0" xfId="0">
      <alignment horizontal="general" vertical="top" wrapText="1"/>
    </xf>
    <xf numFmtId="0" fontId="12" fillId="7" borderId="9" applyAlignment="1" pivotButton="0" quotePrefix="0" xfId="0">
      <alignment horizontal="general" vertical="top" wrapText="1"/>
    </xf>
    <xf numFmtId="168" fontId="12" fillId="7" borderId="2" applyAlignment="1" pivotButton="0" quotePrefix="0" xfId="0">
      <alignment horizontal="general" vertical="top" wrapText="1"/>
    </xf>
    <xf numFmtId="168" fontId="12" fillId="7" borderId="5" applyAlignment="1" pivotButton="0" quotePrefix="0" xfId="0">
      <alignment horizontal="general" vertical="top" wrapText="1"/>
    </xf>
    <xf numFmtId="168" fontId="12" fillId="7" borderId="8" applyAlignment="1" pivotButton="0" quotePrefix="0" xfId="0">
      <alignment horizontal="general" vertical="top" wrapText="1"/>
    </xf>
    <xf numFmtId="0" fontId="14" fillId="5" borderId="0" applyAlignment="1" pivotButton="0" quotePrefix="0" xfId="0">
      <alignment horizontal="general" vertical="bottom"/>
    </xf>
    <xf numFmtId="0" fontId="9" fillId="5" borderId="6" applyAlignment="1" pivotButton="0" quotePrefix="0" xfId="0">
      <alignment horizontal="general" vertical="center" wrapText="1"/>
    </xf>
    <xf numFmtId="164" fontId="10" fillId="0" borderId="2" applyAlignment="1" pivotButton="0" quotePrefix="0" xfId="0">
      <alignment horizontal="general" vertical="top" wrapText="1"/>
    </xf>
    <xf numFmtId="10" fontId="10" fillId="0" borderId="5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D994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7C3AE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A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99400"/>
      <rgbColor rgb="FFFF6600"/>
      <rgbColor rgb="FF7C3AED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28" customWidth="1" style="109" min="1" max="1"/>
    <col width="20" customWidth="1" style="109" min="2" max="2"/>
    <col width="12.22" customWidth="1" style="109" min="3" max="12"/>
  </cols>
  <sheetData>
    <row r="1" ht="27" customHeight="1" s="110">
      <c r="A1" s="111" t="inlineStr">
        <is>
          <t>OT Sector Pack - Power Generation - PG-v1.6</t>
        </is>
      </c>
    </row>
    <row r="2" ht="36" customHeight="1" s="110">
      <c r="A2" s="112" t="inlineStr">
        <is>
          <t>Orientation for the pack owner. States that this file is sector calibration for the common facility-level OT engine.</t>
        </is>
      </c>
    </row>
    <row r="3" ht="15" customHeight="1" s="110">
      <c r="A3" s="109" t="inlineStr">
        <is>
          <t>This workbook contains Power Generation reference calibration. Do not enter client-specific or assessment-specific data in this workbook.</t>
        </is>
      </c>
    </row>
    <row r="4" ht="15" customHeight="1" s="110">
      <c r="A4" s="113" t="inlineStr">
        <is>
          <t>SHEET TYPE: SECTOR PACK CALIBRATION - PACK OWNER ONLY</t>
        </is>
      </c>
    </row>
    <row r="6" ht="15" customHeight="1" s="110">
      <c r="A6" s="114" t="inlineStr">
        <is>
          <t>Purpose</t>
        </is>
      </c>
    </row>
    <row r="7" ht="30" customHeight="1" s="110">
      <c r="A7" s="115" t="inlineStr">
        <is>
          <t>Supply Power Generation actor-intensity, asset-archetype, TTP applicability, frequency overlay and BIA reference assumptions for pack ID PG-v1.6 / v1.6.</t>
        </is>
      </c>
    </row>
    <row r="9" ht="15" customHeight="1" s="110">
      <c r="A9" s="114" t="inlineStr">
        <is>
          <t>Calculation / decision logic</t>
        </is>
      </c>
    </row>
    <row r="10" ht="30" customHeight="1" s="110">
      <c r="A10" s="115" t="inlineStr">
        <is>
          <t>Python validates pack identity, schema, TTP coverage and multipliers, then applies assessment overrides separately.</t>
        </is>
      </c>
    </row>
    <row r="12" ht="15" customHeight="1" s="110">
      <c r="A12" s="114" t="inlineStr">
        <is>
          <t>Outputs / downstream use</t>
        </is>
      </c>
    </row>
    <row r="13" ht="30" customHeight="1" s="110">
      <c r="A13" s="115" t="inlineStr">
        <is>
          <t>Loaded by Guided_IT_OT_CRQ_Model_v1_0.xlsx. The combined workbook must not retain a second authoritative copy of these values.</t>
        </is>
      </c>
    </row>
    <row r="15" ht="15" customHeight="1" s="110">
      <c r="A15" s="114" t="inlineStr">
        <is>
          <t>Workbook convention</t>
        </is>
      </c>
    </row>
    <row r="16" ht="30" customHeight="1" s="110">
      <c r="A16" s="115" t="inlineStr">
        <is>
          <t>Yellow cells with blue font are pack-owner editable. Do not enter assessment data here.</t>
        </is>
      </c>
    </row>
    <row r="20" ht="21.75" customHeight="1" s="110">
      <c r="A20" s="116" t="inlineStr">
        <is>
          <t>PACK DESIGN PRINCIPLES</t>
        </is>
      </c>
    </row>
    <row r="21" ht="45.75" customHeight="1" s="110">
      <c r="A21" s="117" t="inlineStr">
        <is>
          <t>1</t>
        </is>
      </c>
      <c r="B21" s="118" t="inlineStr">
        <is>
          <t>One common OT-CRQ engine; packs contain sector data and rationale only.</t>
        </is>
      </c>
      <c r="C21" s="118" t="n"/>
      <c r="D21" s="118" t="n"/>
      <c r="E21" s="118" t="n"/>
      <c r="F21" s="118" t="n"/>
      <c r="G21" s="118" t="n"/>
      <c r="H21" s="118" t="n"/>
      <c r="I21" s="118" t="n"/>
      <c r="J21" s="118" t="n"/>
      <c r="K21" s="118" t="n"/>
      <c r="L21" s="119" t="n"/>
    </row>
    <row r="22" ht="34.5" customHeight="1" s="110">
      <c r="A22" s="120" t="inlineStr">
        <is>
          <t>2</t>
        </is>
      </c>
      <c r="B22" s="121" t="inlineStr">
        <is>
          <t>Same pack workbook format as the Financial Services IT pack (guide, metadata, row-15 tables, evidence columns).</t>
        </is>
      </c>
      <c r="C22" s="121" t="n"/>
      <c r="D22" s="121" t="n"/>
      <c r="E22" s="121" t="n"/>
      <c r="F22" s="121" t="n"/>
      <c r="G22" s="121" t="n"/>
      <c r="H22" s="121" t="n"/>
      <c r="I22" s="121" t="n"/>
      <c r="J22" s="121" t="n"/>
      <c r="K22" s="121" t="n"/>
      <c r="L22" s="122" t="n"/>
    </row>
    <row r="23" ht="68.25" customHeight="1" s="110">
      <c r="A23" s="120" t="inlineStr">
        <is>
          <t>3</t>
        </is>
      </c>
      <c r="B23" s="121" t="inlineStr">
        <is>
          <t>Core path, control and Monte Carlo mechanics stay in the OT engine.</t>
        </is>
      </c>
      <c r="C23" s="121" t="n"/>
      <c r="D23" s="121" t="n"/>
      <c r="E23" s="121" t="n"/>
      <c r="F23" s="121" t="n"/>
      <c r="G23" s="121" t="n"/>
      <c r="H23" s="121" t="n"/>
      <c r="I23" s="121" t="n"/>
      <c r="J23" s="121" t="n"/>
      <c r="K23" s="121" t="n"/>
      <c r="L23" s="122" t="n"/>
    </row>
    <row r="24" ht="57" customHeight="1" s="110">
      <c r="A24" s="120" t="n"/>
      <c r="B24" s="121" t="n"/>
      <c r="C24" s="121" t="n"/>
      <c r="D24" s="121" t="n"/>
      <c r="E24" s="121" t="n"/>
      <c r="F24" s="121" t="n"/>
      <c r="G24" s="121" t="n"/>
      <c r="H24" s="121" t="n"/>
      <c r="I24" s="121" t="n"/>
      <c r="J24" s="121" t="n"/>
      <c r="K24" s="121" t="n"/>
      <c r="L24" s="122" t="n"/>
    </row>
    <row r="25" ht="68.25" customHeight="1" s="110">
      <c r="A25" s="120" t="n"/>
      <c r="B25" s="121" t="n"/>
      <c r="C25" s="121" t="n"/>
      <c r="D25" s="121" t="n"/>
      <c r="E25" s="121" t="n"/>
      <c r="F25" s="121" t="n"/>
      <c r="G25" s="121" t="n"/>
      <c r="H25" s="121" t="n"/>
      <c r="I25" s="121" t="n"/>
      <c r="J25" s="121" t="n"/>
      <c r="K25" s="121" t="n"/>
      <c r="L25" s="122" t="n"/>
    </row>
    <row r="26" ht="45.75" customHeight="1" s="110">
      <c r="A26" s="123" t="n"/>
      <c r="B26" s="124" t="n"/>
      <c r="C26" s="124" t="n"/>
      <c r="D26" s="124" t="n"/>
      <c r="E26" s="124" t="n"/>
      <c r="F26" s="124" t="n"/>
      <c r="G26" s="124" t="n"/>
      <c r="H26" s="124" t="n"/>
      <c r="I26" s="124" t="n"/>
      <c r="J26" s="124" t="n"/>
      <c r="K26" s="124" t="n"/>
      <c r="L26" s="125" t="n"/>
    </row>
  </sheetData>
  <mergeCells count="12">
    <mergeCell ref="A20:L20"/>
    <mergeCell ref="A2:L2"/>
    <mergeCell ref="A16:L16"/>
    <mergeCell ref="A15:L15"/>
    <mergeCell ref="A7:L7"/>
    <mergeCell ref="A10:L10"/>
    <mergeCell ref="A1:L1"/>
    <mergeCell ref="A13:L13"/>
    <mergeCell ref="A6:L6"/>
    <mergeCell ref="A9:L9"/>
    <mergeCell ref="A12:L12"/>
    <mergeCell ref="A4:L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37"/>
  <sheetViews>
    <sheetView showFormulas="0" showGridLines="0" showRowColHeaders="1" showZeros="1" rightToLeft="0" tabSelected="0" showOutlineSymbols="1" defaultGridColor="1" view="normal" topLeftCell="A6" colorId="64" zoomScale="100" zoomScaleNormal="100" zoomScalePageLayoutView="100" workbookViewId="0">
      <selection pane="topLeft" activeCell="C30" activeCellId="0" sqref="C30"/>
    </sheetView>
  </sheetViews>
  <sheetFormatPr baseColWidth="8" defaultColWidth="8.58984375" defaultRowHeight="15" customHeight="0" zeroHeight="0" outlineLevelRow="0"/>
  <cols>
    <col width="38.81" customWidth="1" style="109" min="1" max="1"/>
    <col width="28.89" customWidth="1" style="109" min="2" max="2"/>
    <col width="61.81" customWidth="1" style="109" min="3" max="3"/>
    <col width="12.22" customWidth="1" style="109" min="4" max="5"/>
  </cols>
  <sheetData>
    <row r="1" ht="27" customHeight="1" s="110">
      <c r="A1" s="111" t="inlineStr">
        <is>
          <t>01 — Pack Metadata</t>
        </is>
      </c>
    </row>
    <row r="2" ht="36" customHeight="1" s="110">
      <c r="A2" s="112" t="inlineStr">
        <is>
          <t>Identity, OT domain, schema CRQ-OT-PACK-1.0, minimum engine 1.7.1, status and facility unit of analysis.</t>
        </is>
      </c>
    </row>
    <row r="3" ht="48" customHeight="1" s="110">
      <c r="A3" s="126" t="inlineStr">
        <is>
          <t>How used in the model: Resolved from config/sector_pack_registry.json and checked fail-closed before any OT pack number is applied.</t>
        </is>
      </c>
    </row>
    <row r="4" ht="15" customHeight="1" s="110">
      <c r="A4" s="113" t="inlineStr">
        <is>
          <t>SHEET TYPE: SECTOR PACK CALIBRATION - PACK OWNER ONLY</t>
        </is>
      </c>
    </row>
    <row r="14" ht="15" customHeight="1" s="110">
      <c r="A14" s="109" t="inlineStr">
        <is>
          <t>DOMAIN</t>
        </is>
      </c>
      <c r="B14" s="109" t="inlineStr">
        <is>
          <t>IT</t>
        </is>
      </c>
    </row>
    <row r="15" ht="23.25" customHeight="1" s="110">
      <c r="A15" s="127" t="inlineStr">
        <is>
          <t>Key</t>
        </is>
      </c>
      <c r="B15" s="128" t="inlineStr">
        <is>
          <t>Value</t>
        </is>
      </c>
      <c r="C15" s="128" t="inlineStr">
        <is>
          <t>Description</t>
        </is>
      </c>
      <c r="D15" s="128" t="inlineStr">
        <is>
          <t>Evidence grade</t>
        </is>
      </c>
      <c r="E15" s="129" t="inlineStr">
        <is>
          <t>Source ID</t>
        </is>
      </c>
    </row>
    <row r="16" ht="15" customHeight="1" s="110">
      <c r="A16" s="117" t="inlineStr">
        <is>
          <t>PACK_ID</t>
        </is>
      </c>
      <c r="B16" s="130" t="inlineStr">
        <is>
          <t>PG-v1.6</t>
        </is>
      </c>
      <c r="C16" s="118" t="inlineStr">
        <is>
          <t>Unique pack identifier</t>
        </is>
      </c>
      <c r="D16" s="131" t="inlineStr">
        <is>
          <t>D</t>
        </is>
      </c>
      <c r="E16" s="132" t="inlineStr">
        <is>
          <t>SRC-OT-01</t>
        </is>
      </c>
    </row>
    <row r="17" ht="15" customHeight="1" s="110">
      <c r="A17" s="120" t="inlineStr">
        <is>
          <t>SECTOR</t>
        </is>
      </c>
      <c r="B17" s="133" t="inlineStr">
        <is>
          <t>Power Generation</t>
        </is>
      </c>
      <c r="C17" s="121" t="inlineStr">
        <is>
          <t>Exact combined-workbook sector selection</t>
        </is>
      </c>
      <c r="D17" s="134" t="inlineStr">
        <is>
          <t>D</t>
        </is>
      </c>
      <c r="E17" s="135" t="inlineStr">
        <is>
          <t>SRC-OT-01</t>
        </is>
      </c>
    </row>
    <row r="18" ht="15" customHeight="1" s="110">
      <c r="A18" s="120" t="inlineStr">
        <is>
          <t>DOMAIN</t>
        </is>
      </c>
      <c r="B18" s="133" t="inlineStr">
        <is>
          <t>OT</t>
        </is>
      </c>
      <c r="C18" s="121" t="inlineStr">
        <is>
          <t>Model domain</t>
        </is>
      </c>
      <c r="D18" s="134" t="inlineStr">
        <is>
          <t>D</t>
        </is>
      </c>
      <c r="E18" s="135" t="inlineStr">
        <is>
          <t>SRC-OT-01</t>
        </is>
      </c>
    </row>
    <row r="19" ht="15" customHeight="1" s="110">
      <c r="A19" s="120" t="inlineStr">
        <is>
          <t>PACK_VERSION</t>
        </is>
      </c>
      <c r="B19" s="133" t="inlineStr">
        <is>
          <t>1.6</t>
        </is>
      </c>
      <c r="C19" s="121" t="inlineStr">
        <is>
          <t>Pack content version</t>
        </is>
      </c>
      <c r="D19" s="134" t="inlineStr">
        <is>
          <t>D</t>
        </is>
      </c>
      <c r="E19" s="135" t="inlineStr">
        <is>
          <t>SRC-OT-01</t>
        </is>
      </c>
    </row>
    <row r="20" ht="15" customHeight="1" s="110">
      <c r="A20" s="120" t="inlineStr">
        <is>
          <t>SCHEMA_VERSION</t>
        </is>
      </c>
      <c r="B20" s="133" t="inlineStr">
        <is>
          <t>CRQ-OT-PACK-1.0</t>
        </is>
      </c>
      <c r="C20" s="121" t="inlineStr">
        <is>
          <t>Required table schema</t>
        </is>
      </c>
      <c r="D20" s="134" t="inlineStr">
        <is>
          <t>D</t>
        </is>
      </c>
      <c r="E20" s="135" t="inlineStr">
        <is>
          <t>SRC-OT-01</t>
        </is>
      </c>
    </row>
    <row r="21" ht="23.25" customHeight="1" s="110">
      <c r="A21" s="120" t="inlineStr">
        <is>
          <t>MIN_ENGINE_VERSION</t>
        </is>
      </c>
      <c r="B21" s="133" t="inlineStr">
        <is>
          <t>1.7.1</t>
        </is>
      </c>
      <c r="C21" s="121" t="inlineStr">
        <is>
          <t>Minimum compatible Python engine</t>
        </is>
      </c>
      <c r="D21" s="134" t="inlineStr">
        <is>
          <t>D</t>
        </is>
      </c>
      <c r="E21" s="135" t="inlineStr">
        <is>
          <t>SRC-OT-01</t>
        </is>
      </c>
    </row>
    <row r="22" ht="15" customHeight="1" s="110">
      <c r="A22" s="120" t="inlineStr">
        <is>
          <t>STATUS</t>
        </is>
      </c>
      <c r="B22" s="133" t="inlineStr">
        <is>
          <t>Reference pack / working calibration</t>
        </is>
      </c>
      <c r="C22" s="121" t="inlineStr">
        <is>
          <t>Must not be described as fully externally validated unless that evidence exists</t>
        </is>
      </c>
      <c r="D22" s="134" t="inlineStr">
        <is>
          <t>D</t>
        </is>
      </c>
      <c r="E22" s="135" t="inlineStr">
        <is>
          <t>SRC-OT-01</t>
        </is>
      </c>
    </row>
    <row r="23" ht="15" customHeight="1" s="110">
      <c r="A23" s="120" t="inlineStr">
        <is>
          <t>UNIT_OF_ANALYSIS</t>
        </is>
      </c>
      <c r="B23" s="133" t="inlineStr">
        <is>
          <t>Facility</t>
        </is>
      </c>
      <c r="C23" s="121" t="inlineStr">
        <is>
          <t>OT unit of analysis</t>
        </is>
      </c>
      <c r="D23" s="134" t="inlineStr">
        <is>
          <t>D</t>
        </is>
      </c>
      <c r="E23" s="135" t="inlineStr">
        <is>
          <t>SRC-OT-01</t>
        </is>
      </c>
    </row>
    <row r="24" ht="15" customHeight="1" s="110">
      <c r="A24" s="120" t="inlineStr">
        <is>
          <t>PACK_OWNER</t>
        </is>
      </c>
      <c r="B24" s="133" t="inlineStr">
        <is>
          <t>Sector Pack Owner</t>
        </is>
      </c>
      <c r="C24" s="121" t="inlineStr">
        <is>
          <t>Editable during assessment: No</t>
        </is>
      </c>
      <c r="D24" s="134" t="inlineStr">
        <is>
          <t>D</t>
        </is>
      </c>
      <c r="E24" s="135" t="inlineStr">
        <is>
          <t>SRC-OT-01</t>
        </is>
      </c>
    </row>
    <row r="25" ht="23.25" customHeight="1" s="110">
      <c r="A25" s="120" t="inlineStr">
        <is>
          <t>PRIMARY_EVIDENCE</t>
        </is>
      </c>
      <c r="B25" s="136" t="inlineStr">
        <is>
          <t>NIST SP 800-82; DOE C2M2; MITRE ATT&amp;CK for ICS</t>
        </is>
      </c>
      <c r="C25" s="121" t="inlineStr">
        <is>
          <t>Primary evidence cited in the former embedded registry</t>
        </is>
      </c>
      <c r="D25" s="134" t="inlineStr">
        <is>
          <t>C</t>
        </is>
      </c>
      <c r="E25" s="135" t="inlineStr">
        <is>
          <t>SRC-OT-01</t>
        </is>
      </c>
    </row>
    <row r="26" ht="23.25" customHeight="1" s="110">
      <c r="A26" s="120" t="n"/>
      <c r="B26" s="137" t="n"/>
      <c r="C26" s="121" t="n"/>
      <c r="D26" s="121" t="n"/>
      <c r="E26" s="122" t="n"/>
    </row>
    <row r="27" ht="23.25" customHeight="1" s="110">
      <c r="A27" s="120" t="n"/>
      <c r="B27" s="137" t="n"/>
      <c r="C27" s="121" t="n"/>
      <c r="D27" s="121" t="n"/>
      <c r="E27" s="122" t="n"/>
    </row>
    <row r="28" ht="15" customHeight="1" s="110">
      <c r="A28" s="120" t="n"/>
      <c r="B28" s="137" t="n"/>
      <c r="C28" s="121" t="n"/>
      <c r="D28" s="121" t="n"/>
      <c r="E28" s="122" t="n"/>
    </row>
    <row r="29" ht="15" customHeight="1" s="110">
      <c r="A29" s="120" t="n"/>
      <c r="B29" s="137" t="n"/>
      <c r="C29" s="121" t="n"/>
      <c r="D29" s="121" t="n"/>
      <c r="E29" s="122" t="n"/>
    </row>
    <row r="30" ht="15" customHeight="1" s="110">
      <c r="A30" s="120" t="n"/>
      <c r="B30" s="137" t="n"/>
      <c r="C30" s="121" t="n"/>
      <c r="D30" s="121" t="n"/>
      <c r="E30" s="122" t="n"/>
    </row>
    <row r="31" ht="15" customHeight="1" s="110">
      <c r="A31" s="120" t="n"/>
      <c r="B31" s="137" t="n"/>
      <c r="C31" s="121" t="n"/>
      <c r="D31" s="121" t="n"/>
      <c r="E31" s="122" t="n"/>
    </row>
    <row r="32" ht="23.25" customHeight="1" s="110">
      <c r="A32" s="120" t="n"/>
      <c r="B32" s="137" t="n"/>
      <c r="C32" s="121" t="n"/>
      <c r="D32" s="121" t="n"/>
      <c r="E32" s="122" t="n"/>
    </row>
    <row r="33" ht="23.25" customHeight="1" s="110">
      <c r="A33" s="120" t="n"/>
      <c r="B33" s="137" t="n"/>
      <c r="C33" s="121" t="n"/>
      <c r="D33" s="121" t="n"/>
      <c r="E33" s="122" t="n"/>
    </row>
    <row r="34" ht="15" customHeight="1" s="110">
      <c r="A34" s="120" t="n"/>
      <c r="B34" s="137" t="n"/>
      <c r="C34" s="121" t="n"/>
      <c r="D34" s="121" t="n"/>
      <c r="E34" s="122" t="n"/>
    </row>
    <row r="35" ht="15" customHeight="1" s="110">
      <c r="A35" s="120" t="n"/>
      <c r="B35" s="137" t="n"/>
      <c r="C35" s="121" t="n"/>
      <c r="D35" s="121" t="n"/>
      <c r="E35" s="122" t="n"/>
    </row>
    <row r="36" ht="15" customHeight="1" s="110">
      <c r="A36" s="123" t="n"/>
      <c r="B36" s="138" t="n"/>
      <c r="C36" s="124" t="n"/>
      <c r="D36" s="124" t="n"/>
      <c r="E36" s="125" t="n"/>
    </row>
    <row r="37" ht="25.5" customHeight="1" s="110">
      <c r="B37" s="139" t="n"/>
      <c r="C37" s="115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0" activeCellId="0" sqref="D20"/>
    </sheetView>
  </sheetViews>
  <sheetFormatPr baseColWidth="8" defaultColWidth="8.58984375" defaultRowHeight="15" customHeight="0" zeroHeight="0" outlineLevelRow="0"/>
  <cols>
    <col width="28" customWidth="1" style="109" min="1" max="1"/>
    <col width="20" customWidth="1" style="109" min="2" max="2"/>
    <col width="11.11" customWidth="1" style="109" min="3" max="3"/>
    <col width="57.79" customWidth="1" style="109" min="4" max="4"/>
    <col width="12.22" customWidth="1" style="109" min="5" max="6"/>
  </cols>
  <sheetData>
    <row r="1" ht="27" customHeight="1" s="110">
      <c r="A1" s="111" t="inlineStr">
        <is>
          <t>02 — Threat-Actor Weights</t>
        </is>
      </c>
    </row>
    <row r="2" ht="36" customHeight="1" s="110">
      <c r="A2" s="112" t="inlineStr">
        <is>
          <t>Sector actor-intensity multipliers (not a mix that must sum to 1) plus asset-type frequency overlays.</t>
        </is>
      </c>
    </row>
    <row r="3" ht="48" customHeight="1" s="110">
      <c r="A3" s="126" t="inlineStr">
        <is>
          <t>How used in the model: Multiplies core OT campaign intensity for Nation State, Cybercriminal and Malicious Insider after the selected asset overlay. Assessment OT 06 still holds λ method, shares and facility exposure.</t>
        </is>
      </c>
    </row>
    <row r="4" ht="15" customHeight="1" s="110">
      <c r="A4" s="113" t="inlineStr">
        <is>
          <t>SHEET TYPE: SECTOR PACK CALIBRATION - PACK OWNER ONLY</t>
        </is>
      </c>
    </row>
    <row r="15" ht="23.25" customHeight="1" s="110">
      <c r="A15" s="127" t="inlineStr">
        <is>
          <t>Actor ID</t>
        </is>
      </c>
      <c r="B15" s="128" t="inlineStr">
        <is>
          <t>Threat actor</t>
        </is>
      </c>
      <c r="C15" s="128" t="inlineStr">
        <is>
          <t>Weight</t>
        </is>
      </c>
      <c r="D15" s="128" t="inlineStr">
        <is>
          <t>Basis / limitation</t>
        </is>
      </c>
      <c r="E15" s="128" t="inlineStr">
        <is>
          <t>Evidence grade</t>
        </is>
      </c>
      <c r="F15" s="129" t="inlineStr">
        <is>
          <t>Source ID</t>
        </is>
      </c>
    </row>
    <row r="16" ht="23.25" customHeight="1" s="110">
      <c r="A16" s="117" t="inlineStr">
        <is>
          <t>A_NS</t>
        </is>
      </c>
      <c r="B16" s="118" t="inlineStr">
        <is>
          <t>Nation State</t>
        </is>
      </c>
      <c r="C16" s="140" t="n">
        <v>1</v>
      </c>
      <c r="D16" s="118" t="inlineStr">
        <is>
          <t>Reference sector; retained from validated V1.6/1.7 structure.</t>
        </is>
      </c>
      <c r="E16" s="131" t="inlineStr">
        <is>
          <t>D</t>
        </is>
      </c>
      <c r="F16" s="132" t="inlineStr">
        <is>
          <t>SRC-OT-01</t>
        </is>
      </c>
    </row>
    <row r="17" ht="23.25" customHeight="1" s="110">
      <c r="A17" s="120" t="inlineStr">
        <is>
          <t>A_CC</t>
        </is>
      </c>
      <c r="B17" s="121" t="inlineStr">
        <is>
          <t>Cybercriminal</t>
        </is>
      </c>
      <c r="C17" s="141" t="n">
        <v>1</v>
      </c>
      <c r="D17" s="121" t="inlineStr">
        <is>
          <t>Reference sector; retained from validated V1.6/1.7 structure.</t>
        </is>
      </c>
      <c r="E17" s="134" t="inlineStr">
        <is>
          <t>D</t>
        </is>
      </c>
      <c r="F17" s="135" t="inlineStr">
        <is>
          <t>SRC-OT-01</t>
        </is>
      </c>
    </row>
    <row r="18" ht="15" customHeight="1" s="110">
      <c r="A18" s="120" t="inlineStr">
        <is>
          <t>A_MI</t>
        </is>
      </c>
      <c r="B18" s="121" t="inlineStr">
        <is>
          <t>Malicious Insider</t>
        </is>
      </c>
      <c r="C18" s="141" t="n">
        <v>1</v>
      </c>
      <c r="D18" s="121" t="inlineStr">
        <is>
          <t>Reference sector; retained from validated V1.6/1.7 structure.</t>
        </is>
      </c>
      <c r="E18" s="134" t="inlineStr">
        <is>
          <t>D</t>
        </is>
      </c>
      <c r="F18" s="135" t="inlineStr">
        <is>
          <t>SRC-OT-01</t>
        </is>
      </c>
    </row>
    <row r="19" ht="23.25" customHeight="1" s="110">
      <c r="A19" s="123" t="inlineStr">
        <is>
          <t>CHECK</t>
        </is>
      </c>
      <c r="B19" s="124" t="inlineStr">
        <is>
          <t>Pack ID</t>
        </is>
      </c>
      <c r="C19" s="142" t="inlineStr">
        <is>
          <t>PG-v1.6</t>
        </is>
      </c>
      <c r="D19" s="124" t="n"/>
      <c r="E19" s="124" t="n"/>
      <c r="F19" s="125" t="n"/>
    </row>
    <row r="20" ht="15" customHeight="1" s="110">
      <c r="C20" s="143" t="n"/>
    </row>
    <row r="23" ht="15" customHeight="1" s="110">
      <c r="A23" s="144" t="inlineStr">
        <is>
          <t>ASSET-TYPE FREQUENCY OVERLAYS</t>
        </is>
      </c>
    </row>
    <row r="24" ht="15" customHeight="1" s="110">
      <c r="A24" s="113" t="inlineStr">
        <is>
          <t>Asset type</t>
        </is>
      </c>
      <c r="B24" s="145" t="inlineStr">
        <is>
          <t>Nation State</t>
        </is>
      </c>
      <c r="C24" s="145" t="inlineStr">
        <is>
          <t>Cybercriminal</t>
        </is>
      </c>
      <c r="D24" s="145" t="inlineStr">
        <is>
          <t>Malicious Insider</t>
        </is>
      </c>
      <c r="E24" s="145" t="inlineStr">
        <is>
          <t>Parameter type</t>
        </is>
      </c>
      <c r="F24" s="145" t="inlineStr">
        <is>
          <t>Status</t>
        </is>
      </c>
      <c r="G24" s="145" t="inlineStr">
        <is>
          <t>Rationale / how used</t>
        </is>
      </c>
      <c r="H24" s="145" t="inlineStr">
        <is>
          <t>Evidence grade</t>
        </is>
      </c>
      <c r="I24" s="145" t="inlineStr">
        <is>
          <t>Source ID</t>
        </is>
      </c>
    </row>
    <row r="25" ht="15" customHeight="1" s="110">
      <c r="A25" s="146" t="inlineStr">
        <is>
          <t>CCGT</t>
        </is>
      </c>
      <c r="B25" s="147" t="n">
        <v>1</v>
      </c>
      <c r="C25" s="147" t="n">
        <v>1</v>
      </c>
      <c r="D25" s="147" t="n">
        <v>1</v>
      </c>
      <c r="E25" s="109" t="inlineStr">
        <is>
          <t>Calibration parameter</t>
        </is>
      </c>
      <c r="F25" s="109" t="inlineStr">
        <is>
          <t>Reference</t>
        </is>
      </c>
      <c r="G25" s="109" t="inlineStr">
        <is>
          <t>Multiplies the actor-specific sector intensity after the selected sector row. Neutral 1.00 avoids unsupported differentiation.</t>
        </is>
      </c>
      <c r="H25" s="146" t="inlineStr">
        <is>
          <t>D</t>
        </is>
      </c>
      <c r="I25" s="146" t="inlineStr">
        <is>
          <t>SRC-OT-01</t>
        </is>
      </c>
    </row>
    <row r="26" ht="15" customHeight="1" s="110">
      <c r="A26" s="146" t="inlineStr">
        <is>
          <t>OCGT</t>
        </is>
      </c>
      <c r="B26" s="147" t="n">
        <v>1</v>
      </c>
      <c r="C26" s="147" t="n">
        <v>1</v>
      </c>
      <c r="D26" s="147" t="n">
        <v>1</v>
      </c>
      <c r="E26" s="109" t="inlineStr">
        <is>
          <t>Calibration parameter</t>
        </is>
      </c>
      <c r="F26" s="109" t="inlineStr">
        <is>
          <t>Working prior</t>
        </is>
      </c>
      <c r="G26" s="109" t="inlineStr">
        <is>
          <t>Multiplies the actor-specific sector intensity after the selected sector row. Neutral 1.00 avoids unsupported differentiation.</t>
        </is>
      </c>
      <c r="H26" s="146" t="inlineStr">
        <is>
          <t>D</t>
        </is>
      </c>
      <c r="I26" s="146" t="inlineStr">
        <is>
          <t>SRC-OT-01</t>
        </is>
      </c>
    </row>
    <row r="27" ht="15" customHeight="1" s="110">
      <c r="A27" s="146" t="inlineStr">
        <is>
          <t>Coal/Oil Thermal</t>
        </is>
      </c>
      <c r="B27" s="147" t="n">
        <v>1</v>
      </c>
      <c r="C27" s="147" t="n">
        <v>1</v>
      </c>
      <c r="D27" s="147" t="n">
        <v>1</v>
      </c>
      <c r="E27" s="109" t="inlineStr">
        <is>
          <t>Calibration parameter</t>
        </is>
      </c>
      <c r="F27" s="109" t="inlineStr">
        <is>
          <t>Working prior</t>
        </is>
      </c>
      <c r="G27" s="109" t="inlineStr">
        <is>
          <t>Multiplies the actor-specific sector intensity after the selected sector row. Neutral 1.00 avoids unsupported differentiation.</t>
        </is>
      </c>
      <c r="H27" s="146" t="inlineStr">
        <is>
          <t>D</t>
        </is>
      </c>
      <c r="I27" s="146" t="inlineStr">
        <is>
          <t>SRC-OT-01</t>
        </is>
      </c>
    </row>
    <row r="28" ht="15" customHeight="1" s="110">
      <c r="A28" s="146" t="inlineStr">
        <is>
          <t>Nuclear</t>
        </is>
      </c>
      <c r="B28" s="147" t="n">
        <v>1</v>
      </c>
      <c r="C28" s="147" t="n">
        <v>1</v>
      </c>
      <c r="D28" s="147" t="n">
        <v>1</v>
      </c>
      <c r="E28" s="109" t="inlineStr">
        <is>
          <t>Calibration parameter</t>
        </is>
      </c>
      <c r="F28" s="109" t="inlineStr">
        <is>
          <t>Working prior</t>
        </is>
      </c>
      <c r="G28" s="109" t="inlineStr">
        <is>
          <t>Multiplies the actor-specific sector intensity after the selected sector row. Neutral 1.00 avoids unsupported differentiation.</t>
        </is>
      </c>
      <c r="H28" s="146" t="inlineStr">
        <is>
          <t>D</t>
        </is>
      </c>
      <c r="I28" s="146" t="inlineStr">
        <is>
          <t>SRC-OT-01</t>
        </is>
      </c>
    </row>
    <row r="29" ht="15" customHeight="1" s="110">
      <c r="A29" s="146" t="inlineStr">
        <is>
          <t>Hydro</t>
        </is>
      </c>
      <c r="B29" s="147" t="n">
        <v>1</v>
      </c>
      <c r="C29" s="147" t="n">
        <v>1</v>
      </c>
      <c r="D29" s="147" t="n">
        <v>1</v>
      </c>
      <c r="E29" s="109" t="inlineStr">
        <is>
          <t>Calibration parameter</t>
        </is>
      </c>
      <c r="F29" s="109" t="inlineStr">
        <is>
          <t>Working prior</t>
        </is>
      </c>
      <c r="G29" s="109" t="inlineStr">
        <is>
          <t>Multiplies the actor-specific sector intensity after the selected sector row. Neutral 1.00 avoids unsupported differentiation.</t>
        </is>
      </c>
      <c r="H29" s="146" t="inlineStr">
        <is>
          <t>D</t>
        </is>
      </c>
      <c r="I29" s="146" t="inlineStr">
        <is>
          <t>SRC-OT-01</t>
        </is>
      </c>
    </row>
    <row r="30" ht="15" customHeight="1" s="110">
      <c r="A30" s="146" t="inlineStr">
        <is>
          <t>Renewables</t>
        </is>
      </c>
      <c r="B30" s="147" t="n">
        <v>1</v>
      </c>
      <c r="C30" s="147" t="n">
        <v>1</v>
      </c>
      <c r="D30" s="147" t="n">
        <v>1</v>
      </c>
      <c r="E30" s="109" t="inlineStr">
        <is>
          <t>Calibration parameter</t>
        </is>
      </c>
      <c r="F30" s="109" t="inlineStr">
        <is>
          <t>Working prior</t>
        </is>
      </c>
      <c r="G30" s="109" t="inlineStr">
        <is>
          <t>Multiplies the actor-specific sector intensity after the selected sector row. Neutral 1.00 avoids unsupported differentiation.</t>
        </is>
      </c>
      <c r="H30" s="146" t="inlineStr">
        <is>
          <t>D</t>
        </is>
      </c>
      <c r="I30" s="146" t="inlineStr">
        <is>
          <t>SRC-OT-01</t>
        </is>
      </c>
    </row>
  </sheetData>
  <mergeCells count="3">
    <mergeCell ref="A3:L3"/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4" activeCellId="0" sqref="C24"/>
    </sheetView>
  </sheetViews>
  <sheetFormatPr baseColWidth="8" defaultColWidth="8.58984375" defaultRowHeight="15" customHeight="0" zeroHeight="0" outlineLevelRow="0"/>
  <cols>
    <col width="28" customWidth="1" style="109" min="1" max="1"/>
    <col width="17.78" customWidth="1" style="109" min="2" max="3"/>
    <col width="20" customWidth="1" style="109" min="4" max="4"/>
    <col width="17.78" customWidth="1" style="109" min="5" max="5"/>
    <col width="11.11" customWidth="1" style="109" min="6" max="6"/>
  </cols>
  <sheetData>
    <row r="1" ht="27" customHeight="1" s="110">
      <c r="A1" s="111" t="inlineStr">
        <is>
          <t>03 — Actor-to-Scenario Propensity</t>
        </is>
      </c>
    </row>
    <row r="2" ht="36" customHeight="1" s="110">
      <c r="A2" s="112" t="inlineStr">
        <is>
          <t>Conditional share of each actor’s campaigns across the five OT adverse scenarios.</t>
        </is>
      </c>
    </row>
    <row r="3" ht="48" customHeight="1" s="110">
      <c r="A3" s="126" t="inlineStr">
        <is>
          <t>How used in the model: Authoritative sector input. The OT engine reads this table from the pack (not OT 06). Rows must sum to 1.0. Facility λ, actor shares and exposure remain on OT 06.</t>
        </is>
      </c>
    </row>
    <row r="4" ht="15" customHeight="1" s="110">
      <c r="A4" s="113" t="inlineStr">
        <is>
          <t>SHEET TYPE: SECTOR PACK CALIBRATION - PACK OWNER ONLY</t>
        </is>
      </c>
    </row>
    <row r="15" ht="34.5" customHeight="1" s="110">
      <c r="A15" s="148" t="inlineStr">
        <is>
          <t>Actor ID</t>
        </is>
      </c>
      <c r="B15" s="149" t="inlineStr">
        <is>
          <t>Operational Disruption</t>
        </is>
      </c>
      <c r="C15" s="149" t="inlineStr">
        <is>
          <t>Loss of Control or Visibility</t>
        </is>
      </c>
      <c r="D15" s="149" t="inlineStr">
        <is>
          <t>Process Manipulation</t>
        </is>
      </c>
      <c r="E15" s="149" t="inlineStr">
        <is>
          <t>Safety System Compromise</t>
        </is>
      </c>
      <c r="F15" s="150" t="inlineStr">
        <is>
          <t>Destructive or Integrity Attack</t>
        </is>
      </c>
      <c r="G15" s="113" t="inlineStr">
        <is>
          <t>Row total</t>
        </is>
      </c>
    </row>
    <row r="16" ht="15" customHeight="1" s="110">
      <c r="A16" s="151" t="inlineStr">
        <is>
          <t>A_NS</t>
        </is>
      </c>
      <c r="B16" s="152" t="n">
        <v>0.25</v>
      </c>
      <c r="C16" s="152" t="n">
        <v>0.15</v>
      </c>
      <c r="D16" s="152" t="n">
        <v>0.25</v>
      </c>
      <c r="E16" s="152" t="n">
        <v>0.15</v>
      </c>
      <c r="F16" s="153" t="n">
        <v>0.2</v>
      </c>
      <c r="G16" s="154">
        <f>SUM(B16:F16)</f>
        <v/>
      </c>
    </row>
    <row r="17" ht="15" customHeight="1" s="110">
      <c r="A17" s="155" t="inlineStr">
        <is>
          <t>A_CC</t>
        </is>
      </c>
      <c r="B17" s="156" t="n">
        <v>0.7</v>
      </c>
      <c r="C17" s="156" t="n">
        <v>0.1</v>
      </c>
      <c r="D17" s="156" t="n">
        <v>0.05</v>
      </c>
      <c r="E17" s="156" t="n">
        <v>0.02</v>
      </c>
      <c r="F17" s="157" t="n">
        <v>0.13</v>
      </c>
      <c r="G17" s="154">
        <f>SUM(B17:F17)</f>
        <v/>
      </c>
    </row>
    <row r="18" ht="15" customHeight="1" s="110">
      <c r="A18" s="155" t="inlineStr">
        <is>
          <t>A_MI</t>
        </is>
      </c>
      <c r="B18" s="156" t="n">
        <v>0.3</v>
      </c>
      <c r="C18" s="156" t="n">
        <v>0.15</v>
      </c>
      <c r="D18" s="156" t="n">
        <v>0.2</v>
      </c>
      <c r="E18" s="156" t="n">
        <v>0.1</v>
      </c>
      <c r="F18" s="157" t="n">
        <v>0.25</v>
      </c>
      <c r="G18" s="154">
        <f>SUM(B18:F18)</f>
        <v/>
      </c>
    </row>
    <row r="19" ht="15" customHeight="1" s="110">
      <c r="A19" s="158" t="n"/>
      <c r="B19" s="159" t="n"/>
      <c r="C19" s="159" t="n"/>
      <c r="D19" s="159" t="n"/>
      <c r="E19" s="159" t="n"/>
      <c r="F19" s="160" t="n"/>
    </row>
  </sheetData>
  <mergeCells count="3">
    <mergeCell ref="A3:L3"/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1" activeCellId="0" sqref="C21"/>
    </sheetView>
  </sheetViews>
  <sheetFormatPr baseColWidth="8" defaultColWidth="8.58984375" defaultRowHeight="15" customHeight="0" zeroHeight="0" outlineLevelRow="0"/>
  <cols>
    <col width="28" customWidth="1" style="109" min="1" max="1"/>
    <col width="28.89" customWidth="1" style="109" min="2" max="2"/>
    <col width="57.79" customWidth="1" style="109" min="3" max="3"/>
    <col width="12.22" customWidth="1" style="109" min="4" max="4"/>
    <col width="14.44" customWidth="1" style="109" min="5" max="5"/>
  </cols>
  <sheetData>
    <row r="1" ht="27" customHeight="1" s="110">
      <c r="A1" s="111" t="inlineStr">
        <is>
          <t>04 — Route Definitions</t>
        </is>
      </c>
    </row>
    <row r="2" ht="36" customHeight="1" s="110">
      <c r="A2" s="112" t="inlineStr">
        <is>
          <t>Placeholder kept so OT packs use the same worksheet names as the FS IT pack.</t>
        </is>
      </c>
    </row>
    <row r="3" ht="48" customHeight="1" s="110">
      <c r="A3" s="126" t="inlineStr">
        <is>
          <t>How used in the model: Not used. OT has no IT composite routes; stages S1–S5 and TTP gates stay in OT CORE.</t>
        </is>
      </c>
    </row>
    <row r="4" ht="15" customHeight="1" s="110">
      <c r="A4" s="113" t="inlineStr">
        <is>
          <t>SHEET TYPE: SECTOR PACK CALIBRATION - PACK OWNER ONLY</t>
        </is>
      </c>
    </row>
    <row r="15" ht="23.25" customHeight="1" s="110">
      <c r="A15" s="127" t="inlineStr">
        <is>
          <t>Item</t>
        </is>
      </c>
      <c r="B15" s="128" t="inlineStr">
        <is>
          <t>Value</t>
        </is>
      </c>
      <c r="C15" s="128" t="inlineStr">
        <is>
          <t>Description</t>
        </is>
      </c>
      <c r="D15" s="128" t="inlineStr">
        <is>
          <t>Evidence grade</t>
        </is>
      </c>
      <c r="E15" s="129" t="inlineStr">
        <is>
          <t>Source ID</t>
        </is>
      </c>
    </row>
    <row r="16" ht="23.25" customHeight="1" s="110">
      <c r="A16" s="117" t="inlineStr">
        <is>
          <t>OT_CORE</t>
        </is>
      </c>
      <c r="B16" s="131" t="inlineStr">
        <is>
          <t>Held in core OT methodology</t>
        </is>
      </c>
      <c r="C16" s="118" t="inlineStr">
        <is>
          <t>OT does not use IT composite routes. Attack stages S1–S5 and TTP gates are core OT methodology; sector TTP emphasis is on 12 TTP Catalogue.</t>
        </is>
      </c>
      <c r="D16" s="131" t="inlineStr">
        <is>
          <t>D</t>
        </is>
      </c>
      <c r="E16" s="132" t="inlineStr">
        <is>
          <t>SRC-OT-01</t>
        </is>
      </c>
    </row>
    <row r="17" ht="23.25" customHeight="1" s="110">
      <c r="A17" s="120" t="n"/>
      <c r="B17" s="121" t="n"/>
      <c r="C17" s="121" t="n"/>
      <c r="D17" s="121" t="n"/>
      <c r="E17" s="122" t="n"/>
    </row>
    <row r="18" ht="23.25" customHeight="1" s="110">
      <c r="A18" s="120" t="n"/>
      <c r="B18" s="121" t="n"/>
      <c r="C18" s="121" t="n"/>
      <c r="D18" s="121" t="n"/>
      <c r="E18" s="122" t="n"/>
    </row>
    <row r="19" ht="23.25" customHeight="1" s="110">
      <c r="A19" s="120" t="n"/>
      <c r="B19" s="121" t="n"/>
      <c r="C19" s="121" t="n"/>
      <c r="D19" s="121" t="n"/>
      <c r="E19" s="122" t="n"/>
    </row>
    <row r="20" ht="15" customHeight="1" s="110">
      <c r="A20" s="120" t="n"/>
      <c r="B20" s="121" t="n"/>
      <c r="C20" s="121" t="n"/>
      <c r="D20" s="121" t="n"/>
      <c r="E20" s="122" t="n"/>
    </row>
    <row r="21" ht="23.25" customHeight="1" s="110">
      <c r="A21" s="123" t="n"/>
      <c r="B21" s="124" t="n"/>
      <c r="C21" s="124" t="n"/>
      <c r="D21" s="124" t="n"/>
      <c r="E21" s="125" t="n"/>
    </row>
  </sheetData>
  <mergeCells count="3">
    <mergeCell ref="A3:L3"/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33" activeCellId="0" sqref="F33"/>
    </sheetView>
  </sheetViews>
  <sheetFormatPr baseColWidth="8" defaultColWidth="8.58984375" defaultRowHeight="15" customHeight="0" zeroHeight="0" outlineLevelRow="0"/>
  <cols>
    <col width="28" customWidth="1" style="109" min="1" max="1"/>
    <col width="10.56" customWidth="1" style="109" min="2" max="3"/>
    <col width="32.29" customWidth="1" style="109" min="4" max="4"/>
    <col width="20.73" customWidth="1" style="109" min="5" max="5"/>
    <col width="34.11" customWidth="1" style="109" min="6" max="6"/>
    <col width="20.36" customWidth="1" style="109" min="7" max="7"/>
    <col width="11.11" customWidth="1" style="109" min="8" max="8"/>
  </cols>
  <sheetData>
    <row r="1" ht="27" customHeight="1" s="110">
      <c r="A1" s="111" t="inlineStr">
        <is>
          <t>05 — Asset Archetypes</t>
        </is>
      </c>
    </row>
    <row r="2" ht="36" customHeight="1" s="110">
      <c r="A2" s="112" t="inlineStr">
        <is>
          <t>Registered plant / asset archetypes for this sector (tab name kept for format; content is asset types, not IT routes).</t>
        </is>
      </c>
    </row>
    <row r="3" ht="48" customHeight="1" s="110">
      <c r="A3" s="126" t="inlineStr">
        <is>
          <t>How used in the model: Fail-closed lookup of the Run Setup asset type. Pack ID on the matched row must equal this workbook’s PACK_ID.</t>
        </is>
      </c>
    </row>
    <row r="4" ht="15" customHeight="1" s="110">
      <c r="A4" s="113" t="inlineStr">
        <is>
          <t>SHEET TYPE: SECTOR PACK CALIBRATION - PACK OWNER ONLY</t>
        </is>
      </c>
    </row>
    <row r="15" ht="34.5" customHeight="1" s="110">
      <c r="A15" s="127" t="inlineStr">
        <is>
          <t>Sector</t>
        </is>
      </c>
      <c r="B15" s="128" t="inlineStr">
        <is>
          <t>Plant / asset type</t>
        </is>
      </c>
      <c r="C15" s="128" t="inlineStr">
        <is>
          <t>Pack ID</t>
        </is>
      </c>
      <c r="D15" s="128" t="inlineStr">
        <is>
          <t>Operating profile</t>
        </is>
      </c>
      <c r="E15" s="128" t="inlineStr">
        <is>
          <t>Safety / protection context</t>
        </is>
      </c>
      <c r="F15" s="128" t="inlineStr">
        <is>
          <t>BIA treatment</t>
        </is>
      </c>
      <c r="G15" s="128" t="inlineStr">
        <is>
          <t>Calibration status</t>
        </is>
      </c>
      <c r="H15" s="129" t="inlineStr">
        <is>
          <t>Evidence grade</t>
        </is>
      </c>
      <c r="I15" s="113" t="inlineStr">
        <is>
          <t>Source ID</t>
        </is>
      </c>
    </row>
    <row r="16" ht="15" customHeight="1" s="110">
      <c r="A16" s="161" t="inlineStr">
        <is>
          <t>Power Generation</t>
        </is>
      </c>
      <c r="B16" s="140" t="inlineStr">
        <is>
          <t>CCGT</t>
        </is>
      </c>
      <c r="C16" s="140" t="inlineStr">
        <is>
          <t>PG-v1.6</t>
        </is>
      </c>
      <c r="D16" s="162" t="inlineStr">
        <is>
          <t>Continuous generation</t>
        </is>
      </c>
      <c r="E16" s="162" t="inlineStr">
        <is>
          <t>Protection / trip systems</t>
        </is>
      </c>
      <c r="F16" s="162" t="inlineStr">
        <is>
          <t>Existing V1.6 reference asset type</t>
        </is>
      </c>
      <c r="G16" s="162" t="inlineStr">
        <is>
          <t>Reference model working prior</t>
        </is>
      </c>
      <c r="H16" s="163" t="inlineStr">
        <is>
          <t>D</t>
        </is>
      </c>
      <c r="I16" s="146" t="inlineStr">
        <is>
          <t>SRC-OT-01</t>
        </is>
      </c>
    </row>
    <row r="17" ht="15" customHeight="1" s="110">
      <c r="A17" s="164" t="inlineStr">
        <is>
          <t>Power Generation</t>
        </is>
      </c>
      <c r="B17" s="141" t="inlineStr">
        <is>
          <t>OCGT</t>
        </is>
      </c>
      <c r="C17" s="141" t="inlineStr">
        <is>
          <t>PG-v1.6</t>
        </is>
      </c>
      <c r="D17" s="165" t="inlineStr">
        <is>
          <t>Peaking generation</t>
        </is>
      </c>
      <c r="E17" s="165" t="inlineStr">
        <is>
          <t>Protection / trip systems</t>
        </is>
      </c>
      <c r="F17" s="165" t="inlineStr">
        <is>
          <t>Use facility downtime and capacity inputs</t>
        </is>
      </c>
      <c r="G17" s="165" t="inlineStr">
        <is>
          <t>Development archetype</t>
        </is>
      </c>
      <c r="H17" s="166" t="inlineStr">
        <is>
          <t>D</t>
        </is>
      </c>
      <c r="I17" s="146" t="inlineStr">
        <is>
          <t>SRC-OT-01</t>
        </is>
      </c>
    </row>
    <row r="18" ht="23.25" customHeight="1" s="110">
      <c r="A18" s="164" t="inlineStr">
        <is>
          <t>Power Generation</t>
        </is>
      </c>
      <c r="B18" s="141" t="inlineStr">
        <is>
          <t>Coal/Oil Thermal</t>
        </is>
      </c>
      <c r="C18" s="141" t="inlineStr">
        <is>
          <t>PG-v1.6</t>
        </is>
      </c>
      <c r="D18" s="165" t="inlineStr">
        <is>
          <t>Continuous generation</t>
        </is>
      </c>
      <c r="E18" s="165" t="inlineStr">
        <is>
          <t>Protection / trip systems</t>
        </is>
      </c>
      <c r="F18" s="165" t="inlineStr">
        <is>
          <t>Use facility downtime and capacity inputs</t>
        </is>
      </c>
      <c r="G18" s="165" t="inlineStr">
        <is>
          <t>Development archetype</t>
        </is>
      </c>
      <c r="H18" s="166" t="inlineStr">
        <is>
          <t>D</t>
        </is>
      </c>
      <c r="I18" s="146" t="inlineStr">
        <is>
          <t>SRC-OT-01</t>
        </is>
      </c>
    </row>
    <row r="19" ht="15" customHeight="1" s="110">
      <c r="A19" s="167" t="inlineStr">
        <is>
          <t>Power Generation</t>
        </is>
      </c>
      <c r="B19" s="168" t="inlineStr">
        <is>
          <t>Nuclear</t>
        </is>
      </c>
      <c r="C19" s="168" t="inlineStr">
        <is>
          <t>PG-v1.6</t>
        </is>
      </c>
      <c r="D19" s="142" t="inlineStr">
        <is>
          <t>Continuous generation</t>
        </is>
      </c>
      <c r="E19" s="142" t="inlineStr">
        <is>
          <t>Safety and protection systems</t>
        </is>
      </c>
      <c r="F19" s="142" t="inlineStr">
        <is>
          <t>Requires separate nuclear-sector validation before production use</t>
        </is>
      </c>
      <c r="G19" s="142" t="inlineStr">
        <is>
          <t>Restricted development archetype</t>
        </is>
      </c>
      <c r="H19" s="169" t="inlineStr">
        <is>
          <t>D</t>
        </is>
      </c>
      <c r="I19" s="146" t="inlineStr">
        <is>
          <t>SRC-OT-01</t>
        </is>
      </c>
    </row>
    <row r="20" ht="15" customHeight="1" s="110">
      <c r="A20" s="146" t="inlineStr">
        <is>
          <t>Power Generation</t>
        </is>
      </c>
      <c r="B20" s="146" t="inlineStr">
        <is>
          <t>Hydro</t>
        </is>
      </c>
      <c r="C20" s="146" t="inlineStr">
        <is>
          <t>PG-v1.6</t>
        </is>
      </c>
      <c r="D20" s="109" t="inlineStr">
        <is>
          <t>Generation and water-control operation</t>
        </is>
      </c>
      <c r="E20" s="109" t="inlineStr">
        <is>
          <t>Protection / trip systems</t>
        </is>
      </c>
      <c r="F20" s="109" t="inlineStr">
        <is>
          <t>Use facility downtime and capacity inputs</t>
        </is>
      </c>
      <c r="G20" s="109" t="inlineStr">
        <is>
          <t>Development archetype</t>
        </is>
      </c>
      <c r="H20" s="146" t="inlineStr">
        <is>
          <t>D</t>
        </is>
      </c>
      <c r="I20" s="146" t="inlineStr">
        <is>
          <t>SRC-OT-01</t>
        </is>
      </c>
    </row>
    <row r="21" ht="15" customHeight="1" s="110">
      <c r="A21" s="146" t="inlineStr">
        <is>
          <t>Power Generation</t>
        </is>
      </c>
      <c r="B21" s="146" t="inlineStr">
        <is>
          <t>Renewables</t>
        </is>
      </c>
      <c r="C21" s="146" t="inlineStr">
        <is>
          <t>PG-v1.6</t>
        </is>
      </c>
      <c r="D21" s="109" t="inlineStr">
        <is>
          <t>Distributed or central generation</t>
        </is>
      </c>
      <c r="E21" s="109" t="inlineStr">
        <is>
          <t>Protection / trip systems</t>
        </is>
      </c>
      <c r="F21" s="109" t="inlineStr">
        <is>
          <t>Use facility downtime and capacity inputs</t>
        </is>
      </c>
      <c r="G21" s="109" t="inlineStr">
        <is>
          <t>Development archetype</t>
        </is>
      </c>
      <c r="H21" s="146" t="inlineStr">
        <is>
          <t>D</t>
        </is>
      </c>
      <c r="I21" s="146" t="inlineStr">
        <is>
          <t>SRC-OT-01</t>
        </is>
      </c>
    </row>
  </sheetData>
  <mergeCells count="3">
    <mergeCell ref="A3:L3"/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6" activeCellId="0" sqref="E6"/>
    </sheetView>
  </sheetViews>
  <sheetFormatPr baseColWidth="8" defaultColWidth="8.58984375" defaultRowHeight="15" customHeight="0" zeroHeight="0" outlineLevelRow="0"/>
  <cols>
    <col width="28" customWidth="1" style="109" min="1" max="1"/>
    <col width="10.56" customWidth="1" style="109" min="2" max="2"/>
    <col width="34.79" customWidth="1" style="109" min="3" max="3"/>
    <col width="10.56" customWidth="1" style="109" min="4" max="7"/>
    <col width="11.11" customWidth="1" style="109" min="8" max="8"/>
  </cols>
  <sheetData>
    <row r="1" ht="27" customHeight="1" s="110">
      <c r="A1" s="111" t="inlineStr">
        <is>
          <t>06 — Scenario-to-Route Propensity</t>
        </is>
      </c>
    </row>
    <row r="2" ht="36" customHeight="1" s="110">
      <c r="A2" s="112" t="inlineStr">
        <is>
          <t>Placeholder for IT scenario-to-route propensity.</t>
        </is>
      </c>
    </row>
    <row r="3" ht="48" customHeight="1" s="110">
      <c r="A3" s="126" t="inlineStr">
        <is>
          <t>How used in the model: Not used. OT scenario structure is core methodology, not an IT-style route mix.</t>
        </is>
      </c>
    </row>
    <row r="4" ht="15" customHeight="1" s="110">
      <c r="A4" s="113" t="inlineStr">
        <is>
          <t>SHEET TYPE: SECTOR PACK CALIBRATION - PACK OWNER ONLY</t>
        </is>
      </c>
    </row>
    <row r="15" ht="15" customHeight="1" s="110">
      <c r="A15" s="127" t="inlineStr">
        <is>
          <t>Item</t>
        </is>
      </c>
      <c r="B15" s="128" t="inlineStr">
        <is>
          <t>Value</t>
        </is>
      </c>
      <c r="C15" s="128" t="inlineStr">
        <is>
          <t>Description</t>
        </is>
      </c>
      <c r="D15" s="128" t="inlineStr">
        <is>
          <t>Evidence grade</t>
        </is>
      </c>
      <c r="E15" s="128" t="inlineStr">
        <is>
          <t>Source ID</t>
        </is>
      </c>
      <c r="F15" s="170" t="inlineStr">
        <is>
          <t>R_DDOS</t>
        </is>
      </c>
      <c r="G15" s="170" t="inlineStr">
        <is>
          <t>R_INS</t>
        </is>
      </c>
      <c r="H15" s="171" t="inlineStr">
        <is>
          <t>Row total</t>
        </is>
      </c>
    </row>
    <row r="16" ht="34.5" customHeight="1" s="110">
      <c r="A16" s="117" t="inlineStr">
        <is>
          <t>OT_CORE</t>
        </is>
      </c>
      <c r="B16" s="140" t="inlineStr">
        <is>
          <t>Held in core OT methodology</t>
        </is>
      </c>
      <c r="C16" s="162" t="inlineStr">
        <is>
          <t>Not used by the OT engine. OT scenario propensity remains core methodology on OT CORE / OT 06.</t>
        </is>
      </c>
      <c r="D16" s="140" t="inlineStr">
        <is>
          <t>D</t>
        </is>
      </c>
      <c r="E16" s="140" t="inlineStr">
        <is>
          <t>SRC-OT-01</t>
        </is>
      </c>
      <c r="F16" s="162" t="n"/>
      <c r="G16" s="162" t="n"/>
      <c r="H16" s="172" t="n"/>
    </row>
    <row r="17" ht="15" customHeight="1" s="110">
      <c r="A17" s="120" t="n"/>
      <c r="B17" s="165" t="n"/>
      <c r="C17" s="165" t="n"/>
      <c r="D17" s="165" t="n"/>
      <c r="E17" s="165" t="n"/>
      <c r="F17" s="165" t="n"/>
      <c r="G17" s="165" t="n"/>
      <c r="H17" s="173" t="n"/>
    </row>
    <row r="18" ht="15" customHeight="1" s="110">
      <c r="A18" s="120" t="n"/>
      <c r="B18" s="165" t="n"/>
      <c r="C18" s="165" t="n"/>
      <c r="D18" s="165" t="n"/>
      <c r="E18" s="165" t="n"/>
      <c r="F18" s="165" t="n"/>
      <c r="G18" s="165" t="n"/>
      <c r="H18" s="173" t="n"/>
    </row>
    <row r="19" ht="15" customHeight="1" s="110">
      <c r="A19" s="123" t="n"/>
      <c r="B19" s="142" t="n"/>
      <c r="C19" s="142" t="n"/>
      <c r="D19" s="142" t="n"/>
      <c r="E19" s="142" t="n"/>
      <c r="F19" s="142" t="n"/>
      <c r="G19" s="142" t="n"/>
      <c r="H19" s="174" t="n"/>
    </row>
  </sheetData>
  <mergeCells count="3">
    <mergeCell ref="A3:L3"/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6" activeCellId="0" sqref="B16"/>
    </sheetView>
  </sheetViews>
  <sheetFormatPr baseColWidth="8" defaultColWidth="8.58984375" defaultRowHeight="15" customHeight="0" zeroHeight="0" outlineLevelRow="0"/>
  <cols>
    <col width="28" customWidth="1" style="109" min="1" max="1"/>
    <col width="12.22" customWidth="1" style="109" min="2" max="2"/>
    <col width="10" customWidth="1" style="109" min="3" max="3"/>
    <col width="6.11" customWidth="1" style="109" min="4" max="8"/>
    <col width="45.56" customWidth="1" style="109" min="9" max="9"/>
    <col width="11.11" customWidth="1" style="109" min="10" max="10"/>
    <col width="12.22" customWidth="1" style="109" min="11" max="11"/>
    <col width="23.33" customWidth="1" style="109" min="12" max="12"/>
  </cols>
  <sheetData>
    <row r="1" ht="27" customHeight="1" s="110">
      <c r="A1" s="111" t="inlineStr">
        <is>
          <t>07 — Scenario-Aware Stage Requirements</t>
        </is>
      </c>
    </row>
    <row r="2" ht="36" customHeight="1" s="110">
      <c r="A2" s="112" t="inlineStr">
        <is>
          <t>Placeholder for IT scenario-aware stage masks.</t>
        </is>
      </c>
    </row>
    <row r="3" ht="48" customHeight="1" s="110">
      <c r="A3" s="126" t="inlineStr">
        <is>
          <t>How used in the model: Not used. Five-stage requirements are defined on OT CORE, not in the pack.</t>
        </is>
      </c>
    </row>
    <row r="4" ht="15" customHeight="1" s="110">
      <c r="A4" s="113" t="inlineStr">
        <is>
          <t>SHEET TYPE: SECTOR PACK CALIBRATION - PACK OWNER ONLY</t>
        </is>
      </c>
    </row>
    <row r="15" ht="34.5" customHeight="1" s="110">
      <c r="A15" s="127" t="inlineStr">
        <is>
          <t>Item</t>
        </is>
      </c>
      <c r="B15" s="128" t="inlineStr">
        <is>
          <t>Value</t>
        </is>
      </c>
      <c r="C15" s="128" t="inlineStr">
        <is>
          <t>Description</t>
        </is>
      </c>
      <c r="D15" s="128" t="inlineStr">
        <is>
          <t>Evidence grade</t>
        </is>
      </c>
      <c r="E15" s="128" t="inlineStr">
        <is>
          <t>Source ID</t>
        </is>
      </c>
      <c r="F15" s="170" t="inlineStr">
        <is>
          <t>S3</t>
        </is>
      </c>
      <c r="G15" s="170" t="inlineStr">
        <is>
          <t>S4</t>
        </is>
      </c>
      <c r="H15" s="170" t="inlineStr">
        <is>
          <t>S5</t>
        </is>
      </c>
      <c r="I15" s="170" t="inlineStr">
        <is>
          <t>Rationale</t>
        </is>
      </c>
      <c r="J15" s="170" t="inlineStr">
        <is>
          <t>Evidence grade</t>
        </is>
      </c>
      <c r="K15" s="170" t="inlineStr">
        <is>
          <t>Source ID</t>
        </is>
      </c>
      <c r="L15" s="171" t="inlineStr">
        <is>
          <t>Override rule</t>
        </is>
      </c>
    </row>
    <row r="16" ht="23.25" customHeight="1" s="110">
      <c r="A16" s="117" t="inlineStr">
        <is>
          <t>OT_CORE</t>
        </is>
      </c>
      <c r="B16" s="131" t="inlineStr">
        <is>
          <t>Held in core OT methodology</t>
        </is>
      </c>
      <c r="C16" s="118" t="inlineStr">
        <is>
          <t>Five-stage path requirements are core OT methodology. This pack does not override them.</t>
        </is>
      </c>
      <c r="D16" s="131" t="inlineStr">
        <is>
          <t>D</t>
        </is>
      </c>
      <c r="E16" s="131" t="inlineStr">
        <is>
          <t>SRC-OT-01</t>
        </is>
      </c>
      <c r="F16" s="175" t="n"/>
      <c r="G16" s="175" t="n"/>
      <c r="H16" s="175" t="n"/>
      <c r="I16" s="118" t="n"/>
      <c r="J16" s="118" t="n"/>
      <c r="K16" s="118" t="n"/>
      <c r="L16" s="119" t="n"/>
    </row>
    <row r="17" ht="23.25" customHeight="1" s="110">
      <c r="A17" s="120" t="n"/>
      <c r="B17" s="121" t="n"/>
      <c r="C17" s="121" t="n"/>
      <c r="D17" s="176" t="n"/>
      <c r="E17" s="176" t="n"/>
      <c r="F17" s="176" t="n"/>
      <c r="G17" s="176" t="n"/>
      <c r="H17" s="176" t="n"/>
      <c r="I17" s="121" t="n"/>
      <c r="J17" s="121" t="n"/>
      <c r="K17" s="121" t="n"/>
      <c r="L17" s="122" t="n"/>
    </row>
    <row r="18" ht="23.25" customHeight="1" s="110">
      <c r="A18" s="120" t="n"/>
      <c r="B18" s="121" t="n"/>
      <c r="C18" s="121" t="n"/>
      <c r="D18" s="176" t="n"/>
      <c r="E18" s="176" t="n"/>
      <c r="F18" s="176" t="n"/>
      <c r="G18" s="176" t="n"/>
      <c r="H18" s="176" t="n"/>
      <c r="I18" s="121" t="n"/>
      <c r="J18" s="121" t="n"/>
      <c r="K18" s="121" t="n"/>
      <c r="L18" s="122" t="n"/>
    </row>
    <row r="19" ht="23.25" customHeight="1" s="110">
      <c r="A19" s="120" t="n"/>
      <c r="B19" s="121" t="n"/>
      <c r="C19" s="121" t="n"/>
      <c r="D19" s="176" t="n"/>
      <c r="E19" s="176" t="n"/>
      <c r="F19" s="176" t="n"/>
      <c r="G19" s="176" t="n"/>
      <c r="H19" s="176" t="n"/>
      <c r="I19" s="121" t="n"/>
      <c r="J19" s="121" t="n"/>
      <c r="K19" s="121" t="n"/>
      <c r="L19" s="122" t="n"/>
    </row>
    <row r="20" ht="23.25" customHeight="1" s="110">
      <c r="A20" s="120" t="n"/>
      <c r="B20" s="121" t="n"/>
      <c r="C20" s="121" t="n"/>
      <c r="D20" s="176" t="n"/>
      <c r="E20" s="176" t="n"/>
      <c r="F20" s="176" t="n"/>
      <c r="G20" s="176" t="n"/>
      <c r="H20" s="176" t="n"/>
      <c r="I20" s="121" t="n"/>
      <c r="J20" s="121" t="n"/>
      <c r="K20" s="121" t="n"/>
      <c r="L20" s="122" t="n"/>
    </row>
    <row r="21" ht="23.25" customHeight="1" s="110">
      <c r="A21" s="120" t="n"/>
      <c r="B21" s="121" t="n"/>
      <c r="C21" s="121" t="n"/>
      <c r="D21" s="176" t="n"/>
      <c r="E21" s="176" t="n"/>
      <c r="F21" s="176" t="n"/>
      <c r="G21" s="176" t="n"/>
      <c r="H21" s="176" t="n"/>
      <c r="I21" s="121" t="n"/>
      <c r="J21" s="121" t="n"/>
      <c r="K21" s="121" t="n"/>
      <c r="L21" s="122" t="n"/>
    </row>
    <row r="22" ht="23.25" customHeight="1" s="110">
      <c r="A22" s="120" t="n"/>
      <c r="B22" s="121" t="n"/>
      <c r="C22" s="121" t="n"/>
      <c r="D22" s="176" t="n"/>
      <c r="E22" s="176" t="n"/>
      <c r="F22" s="176" t="n"/>
      <c r="G22" s="176" t="n"/>
      <c r="H22" s="176" t="n"/>
      <c r="I22" s="121" t="n"/>
      <c r="J22" s="121" t="n"/>
      <c r="K22" s="121" t="n"/>
      <c r="L22" s="122" t="n"/>
    </row>
    <row r="23" ht="23.25" customHeight="1" s="110">
      <c r="A23" s="120" t="n"/>
      <c r="B23" s="121" t="n"/>
      <c r="C23" s="121" t="n"/>
      <c r="D23" s="176" t="n"/>
      <c r="E23" s="176" t="n"/>
      <c r="F23" s="176" t="n"/>
      <c r="G23" s="176" t="n"/>
      <c r="H23" s="176" t="n"/>
      <c r="I23" s="121" t="n"/>
      <c r="J23" s="121" t="n"/>
      <c r="K23" s="121" t="n"/>
      <c r="L23" s="122" t="n"/>
    </row>
    <row r="24" ht="23.25" customHeight="1" s="110">
      <c r="A24" s="120" t="n"/>
      <c r="B24" s="121" t="n"/>
      <c r="C24" s="121" t="n"/>
      <c r="D24" s="176" t="n"/>
      <c r="E24" s="176" t="n"/>
      <c r="F24" s="176" t="n"/>
      <c r="G24" s="176" t="n"/>
      <c r="H24" s="176" t="n"/>
      <c r="I24" s="121" t="n"/>
      <c r="J24" s="121" t="n"/>
      <c r="K24" s="121" t="n"/>
      <c r="L24" s="122" t="n"/>
    </row>
    <row r="25" ht="23.25" customHeight="1" s="110">
      <c r="A25" s="120" t="n"/>
      <c r="B25" s="121" t="n"/>
      <c r="C25" s="121" t="n"/>
      <c r="D25" s="176" t="n"/>
      <c r="E25" s="176" t="n"/>
      <c r="F25" s="176" t="n"/>
      <c r="G25" s="176" t="n"/>
      <c r="H25" s="176" t="n"/>
      <c r="I25" s="121" t="n"/>
      <c r="J25" s="121" t="n"/>
      <c r="K25" s="121" t="n"/>
      <c r="L25" s="122" t="n"/>
    </row>
    <row r="26" ht="23.25" customHeight="1" s="110">
      <c r="A26" s="120" t="n"/>
      <c r="B26" s="121" t="n"/>
      <c r="C26" s="121" t="n"/>
      <c r="D26" s="176" t="n"/>
      <c r="E26" s="176" t="n"/>
      <c r="F26" s="176" t="n"/>
      <c r="G26" s="176" t="n"/>
      <c r="H26" s="176" t="n"/>
      <c r="I26" s="121" t="n"/>
      <c r="J26" s="121" t="n"/>
      <c r="K26" s="121" t="n"/>
      <c r="L26" s="122" t="n"/>
    </row>
    <row r="27" ht="23.25" customHeight="1" s="110">
      <c r="A27" s="120" t="n"/>
      <c r="B27" s="121" t="n"/>
      <c r="C27" s="121" t="n"/>
      <c r="D27" s="176" t="n"/>
      <c r="E27" s="176" t="n"/>
      <c r="F27" s="176" t="n"/>
      <c r="G27" s="176" t="n"/>
      <c r="H27" s="176" t="n"/>
      <c r="I27" s="121" t="n"/>
      <c r="J27" s="121" t="n"/>
      <c r="K27" s="121" t="n"/>
      <c r="L27" s="122" t="n"/>
    </row>
    <row r="28" ht="23.25" customHeight="1" s="110">
      <c r="A28" s="120" t="n"/>
      <c r="B28" s="121" t="n"/>
      <c r="C28" s="121" t="n"/>
      <c r="D28" s="176" t="n"/>
      <c r="E28" s="176" t="n"/>
      <c r="F28" s="176" t="n"/>
      <c r="G28" s="176" t="n"/>
      <c r="H28" s="176" t="n"/>
      <c r="I28" s="121" t="n"/>
      <c r="J28" s="121" t="n"/>
      <c r="K28" s="121" t="n"/>
      <c r="L28" s="122" t="n"/>
    </row>
    <row r="29" ht="23.25" customHeight="1" s="110">
      <c r="A29" s="120" t="n"/>
      <c r="B29" s="121" t="n"/>
      <c r="C29" s="121" t="n"/>
      <c r="D29" s="176" t="n"/>
      <c r="E29" s="176" t="n"/>
      <c r="F29" s="176" t="n"/>
      <c r="G29" s="176" t="n"/>
      <c r="H29" s="176" t="n"/>
      <c r="I29" s="121" t="n"/>
      <c r="J29" s="121" t="n"/>
      <c r="K29" s="121" t="n"/>
      <c r="L29" s="122" t="n"/>
    </row>
    <row r="30" ht="23.25" customHeight="1" s="110">
      <c r="A30" s="120" t="n"/>
      <c r="B30" s="121" t="n"/>
      <c r="C30" s="121" t="n"/>
      <c r="D30" s="176" t="n"/>
      <c r="E30" s="176" t="n"/>
      <c r="F30" s="176" t="n"/>
      <c r="G30" s="176" t="n"/>
      <c r="H30" s="176" t="n"/>
      <c r="I30" s="121" t="n"/>
      <c r="J30" s="121" t="n"/>
      <c r="K30" s="121" t="n"/>
      <c r="L30" s="122" t="n"/>
    </row>
    <row r="31" ht="23.25" customHeight="1" s="110">
      <c r="A31" s="120" t="n"/>
      <c r="B31" s="121" t="n"/>
      <c r="C31" s="121" t="n"/>
      <c r="D31" s="176" t="n"/>
      <c r="E31" s="176" t="n"/>
      <c r="F31" s="176" t="n"/>
      <c r="G31" s="176" t="n"/>
      <c r="H31" s="176" t="n"/>
      <c r="I31" s="121" t="n"/>
      <c r="J31" s="121" t="n"/>
      <c r="K31" s="121" t="n"/>
      <c r="L31" s="122" t="n"/>
    </row>
    <row r="32" ht="23.25" customHeight="1" s="110">
      <c r="A32" s="120" t="n"/>
      <c r="B32" s="121" t="n"/>
      <c r="C32" s="121" t="n"/>
      <c r="D32" s="176" t="n"/>
      <c r="E32" s="176" t="n"/>
      <c r="F32" s="176" t="n"/>
      <c r="G32" s="176" t="n"/>
      <c r="H32" s="176" t="n"/>
      <c r="I32" s="121" t="n"/>
      <c r="J32" s="121" t="n"/>
      <c r="K32" s="121" t="n"/>
      <c r="L32" s="122" t="n"/>
    </row>
    <row r="33" ht="23.25" customHeight="1" s="110">
      <c r="A33" s="120" t="n"/>
      <c r="B33" s="121" t="n"/>
      <c r="C33" s="121" t="n"/>
      <c r="D33" s="176" t="n"/>
      <c r="E33" s="176" t="n"/>
      <c r="F33" s="176" t="n"/>
      <c r="G33" s="176" t="n"/>
      <c r="H33" s="176" t="n"/>
      <c r="I33" s="121" t="n"/>
      <c r="J33" s="121" t="n"/>
      <c r="K33" s="121" t="n"/>
      <c r="L33" s="122" t="n"/>
    </row>
    <row r="34" ht="23.25" customHeight="1" s="110">
      <c r="A34" s="120" t="n"/>
      <c r="B34" s="121" t="n"/>
      <c r="C34" s="121" t="n"/>
      <c r="D34" s="176" t="n"/>
      <c r="E34" s="176" t="n"/>
      <c r="F34" s="176" t="n"/>
      <c r="G34" s="176" t="n"/>
      <c r="H34" s="176" t="n"/>
      <c r="I34" s="121" t="n"/>
      <c r="J34" s="121" t="n"/>
      <c r="K34" s="121" t="n"/>
      <c r="L34" s="122" t="n"/>
    </row>
    <row r="35" ht="23.25" customHeight="1" s="110">
      <c r="A35" s="120" t="n"/>
      <c r="B35" s="121" t="n"/>
      <c r="C35" s="121" t="n"/>
      <c r="D35" s="176" t="n"/>
      <c r="E35" s="176" t="n"/>
      <c r="F35" s="176" t="n"/>
      <c r="G35" s="176" t="n"/>
      <c r="H35" s="176" t="n"/>
      <c r="I35" s="121" t="n"/>
      <c r="J35" s="121" t="n"/>
      <c r="K35" s="121" t="n"/>
      <c r="L35" s="122" t="n"/>
    </row>
    <row r="36" ht="23.25" customHeight="1" s="110">
      <c r="A36" s="120" t="n"/>
      <c r="B36" s="121" t="n"/>
      <c r="C36" s="121" t="n"/>
      <c r="D36" s="176" t="n"/>
      <c r="E36" s="176" t="n"/>
      <c r="F36" s="176" t="n"/>
      <c r="G36" s="176" t="n"/>
      <c r="H36" s="176" t="n"/>
      <c r="I36" s="121" t="n"/>
      <c r="J36" s="121" t="n"/>
      <c r="K36" s="121" t="n"/>
      <c r="L36" s="122" t="n"/>
    </row>
    <row r="37" ht="23.25" customHeight="1" s="110">
      <c r="A37" s="120" t="n"/>
      <c r="B37" s="121" t="n"/>
      <c r="C37" s="121" t="n"/>
      <c r="D37" s="176" t="n"/>
      <c r="E37" s="176" t="n"/>
      <c r="F37" s="176" t="n"/>
      <c r="G37" s="176" t="n"/>
      <c r="H37" s="176" t="n"/>
      <c r="I37" s="121" t="n"/>
      <c r="J37" s="121" t="n"/>
      <c r="K37" s="121" t="n"/>
      <c r="L37" s="122" t="n"/>
    </row>
    <row r="38" ht="23.25" customHeight="1" s="110">
      <c r="A38" s="120" t="n"/>
      <c r="B38" s="121" t="n"/>
      <c r="C38" s="121" t="n"/>
      <c r="D38" s="176" t="n"/>
      <c r="E38" s="176" t="n"/>
      <c r="F38" s="176" t="n"/>
      <c r="G38" s="176" t="n"/>
      <c r="H38" s="176" t="n"/>
      <c r="I38" s="121" t="n"/>
      <c r="J38" s="121" t="n"/>
      <c r="K38" s="121" t="n"/>
      <c r="L38" s="122" t="n"/>
    </row>
    <row r="39" ht="23.25" customHeight="1" s="110">
      <c r="A39" s="123" t="n"/>
      <c r="B39" s="124" t="n"/>
      <c r="C39" s="124" t="n"/>
      <c r="D39" s="177" t="n"/>
      <c r="E39" s="177" t="n"/>
      <c r="F39" s="177" t="n"/>
      <c r="G39" s="177" t="n"/>
      <c r="H39" s="177" t="n"/>
      <c r="I39" s="124" t="n"/>
      <c r="J39" s="124" t="n"/>
      <c r="K39" s="124" t="n"/>
      <c r="L39" s="125" t="n"/>
    </row>
  </sheetData>
  <mergeCells count="3">
    <mergeCell ref="A3:L3"/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L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5" activeCellId="0" sqref="D25"/>
    </sheetView>
  </sheetViews>
  <sheetFormatPr baseColWidth="8" defaultColWidth="8.58984375" defaultRowHeight="15" customHeight="0" zeroHeight="0" outlineLevelRow="0"/>
  <cols>
    <col width="28" customWidth="1" style="109" min="1" max="1"/>
    <col width="30" customWidth="1" style="109" min="2" max="2"/>
    <col width="8.890000000000001" customWidth="1" style="109" min="3" max="7"/>
  </cols>
  <sheetData>
    <row r="1" ht="27" customHeight="1" s="110">
      <c r="A1" s="111" t="inlineStr">
        <is>
          <t>08 — Reference Stage-Through Priors</t>
        </is>
      </c>
    </row>
    <row r="2" ht="36" customHeight="1" s="110">
      <c r="A2" s="112" t="inlineStr">
        <is>
          <t>Placeholder for IT reference stage-through priors.</t>
        </is>
      </c>
    </row>
    <row r="3" ht="48" customHeight="1" s="110">
      <c r="A3" s="126" t="inlineStr">
        <is>
          <t>How used in the model: Not used. Stage-through math is core OT; sector intensity is sheet 02.</t>
        </is>
      </c>
    </row>
    <row r="4" ht="15" customHeight="1" s="110">
      <c r="A4" s="113" t="inlineStr">
        <is>
          <t>SHEET TYPE: SECTOR PACK CALIBRATION - PACK OWNER ONLY</t>
        </is>
      </c>
    </row>
    <row r="15" ht="23.25" customHeight="1" s="110">
      <c r="A15" s="127" t="inlineStr">
        <is>
          <t>Item</t>
        </is>
      </c>
      <c r="B15" s="128" t="inlineStr">
        <is>
          <t>Value</t>
        </is>
      </c>
      <c r="C15" s="128" t="inlineStr">
        <is>
          <t>Description</t>
        </is>
      </c>
      <c r="D15" s="128" t="inlineStr">
        <is>
          <t>Evidence grade</t>
        </is>
      </c>
      <c r="E15" s="128" t="inlineStr">
        <is>
          <t>Source ID</t>
        </is>
      </c>
      <c r="F15" s="170" t="inlineStr">
        <is>
          <t>S4</t>
        </is>
      </c>
      <c r="G15" s="171" t="inlineStr">
        <is>
          <t>S5</t>
        </is>
      </c>
    </row>
    <row r="16" ht="23.25" customHeight="1" s="110">
      <c r="A16" s="117" t="inlineStr">
        <is>
          <t>OT_CORE</t>
        </is>
      </c>
      <c r="B16" s="131" t="inlineStr">
        <is>
          <t>Held in core OT methodology</t>
        </is>
      </c>
      <c r="C16" s="162" t="inlineStr">
        <is>
          <t>Stage-through calculation is core OT methodology. Sector intensity is on 02 Actor Weights.</t>
        </is>
      </c>
      <c r="D16" s="140" t="inlineStr">
        <is>
          <t>D</t>
        </is>
      </c>
      <c r="E16" s="140" t="inlineStr">
        <is>
          <t>SRC-OT-01</t>
        </is>
      </c>
      <c r="F16" s="162" t="n"/>
      <c r="G16" s="178" t="n"/>
    </row>
    <row r="17" ht="23.25" customHeight="1" s="110">
      <c r="A17" s="120" t="n"/>
      <c r="B17" s="121" t="n"/>
      <c r="C17" s="165" t="n"/>
      <c r="D17" s="165" t="n"/>
      <c r="E17" s="165" t="n"/>
      <c r="F17" s="165" t="n"/>
      <c r="G17" s="179" t="n"/>
    </row>
    <row r="18" ht="23.25" customHeight="1" s="110">
      <c r="A18" s="120" t="n"/>
      <c r="B18" s="121" t="n"/>
      <c r="C18" s="165" t="n"/>
      <c r="D18" s="165" t="n"/>
      <c r="E18" s="165" t="n"/>
      <c r="F18" s="165" t="n"/>
      <c r="G18" s="179" t="n"/>
    </row>
    <row r="19" ht="23.25" customHeight="1" s="110">
      <c r="A19" s="120" t="n"/>
      <c r="B19" s="121" t="n"/>
      <c r="C19" s="165" t="n"/>
      <c r="D19" s="165" t="n"/>
      <c r="E19" s="165" t="n"/>
      <c r="F19" s="165" t="n"/>
      <c r="G19" s="179" t="n"/>
    </row>
    <row r="20" ht="15" customHeight="1" s="110">
      <c r="A20" s="120" t="n"/>
      <c r="B20" s="121" t="n"/>
      <c r="C20" s="165" t="n"/>
      <c r="D20" s="165" t="n"/>
      <c r="E20" s="165" t="n"/>
      <c r="F20" s="165" t="n"/>
      <c r="G20" s="179" t="n"/>
    </row>
    <row r="21" ht="15" customHeight="1" s="110">
      <c r="A21" s="123" t="n"/>
      <c r="B21" s="124" t="n"/>
      <c r="C21" s="142" t="n"/>
      <c r="D21" s="142" t="n"/>
      <c r="E21" s="142" t="n"/>
      <c r="F21" s="142" t="n"/>
      <c r="G21" s="180" t="n"/>
    </row>
  </sheetData>
  <mergeCells count="3">
    <mergeCell ref="A3:L3"/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L79"/>
  <sheetViews>
    <sheetView showFormulas="0" showGridLines="0" showRowColHeaders="1" showZeros="1" rightToLeft="0" tabSelected="0" showOutlineSymbols="1" defaultGridColor="1" view="normal" topLeftCell="A7" colorId="64" zoomScale="100" zoomScaleNormal="100" zoomScalePageLayoutView="100" workbookViewId="0">
      <selection pane="topLeft" activeCell="F29" activeCellId="0" sqref="F29"/>
    </sheetView>
  </sheetViews>
  <sheetFormatPr baseColWidth="8" defaultColWidth="8.58984375" defaultRowHeight="15" customHeight="0" zeroHeight="0" outlineLevelRow="0"/>
  <cols>
    <col width="12" customWidth="1" style="109" min="1" max="1"/>
    <col width="28" customWidth="1" style="109" min="2" max="2"/>
    <col width="21.22" customWidth="1" style="109" min="3" max="3"/>
    <col width="20" customWidth="1" style="109" min="4" max="9"/>
    <col width="71.67" customWidth="1" style="109" min="10" max="10"/>
    <col width="20" customWidth="1" style="109" min="11" max="38"/>
  </cols>
  <sheetData>
    <row r="1" ht="17.35" customHeight="1" s="110">
      <c r="A1" s="111" t="inlineStr">
        <is>
          <t>09 — Scenario Impact Parameters</t>
        </is>
      </c>
    </row>
    <row r="2" ht="15" customHeight="1" s="110">
      <c r="A2" s="112" t="inlineStr">
        <is>
          <t>Row-oriented sector P50/P99 downtime and capacity parameters (DOWNTIME_DAYS, CAPACITY_AFFECTED).</t>
        </is>
      </c>
    </row>
    <row r="3" ht="15" customHeight="1" s="110">
      <c r="A3" s="126" t="inlineStr">
        <is>
          <t>How used in the model: Authoritative sector input. The OT engine loads this table from the pack (not OT 05 A58:G62). IT enterprise parameters are not used. Facility revenue/BI factor and driver rates remain on OT 05.</t>
        </is>
      </c>
    </row>
    <row r="4" ht="15" customHeight="1" s="110">
      <c r="A4" s="113" t="inlineStr">
        <is>
          <t>SHEET TYPE: SECTOR PACK CALIBRATION - PACK OWNER ONLY</t>
        </is>
      </c>
    </row>
    <row r="15" ht="15" customHeight="1" s="110">
      <c r="A15" s="148" t="inlineStr">
        <is>
          <t>Scenario ID</t>
        </is>
      </c>
      <c r="B15" s="149" t="inlineStr">
        <is>
          <t>Scenario</t>
        </is>
      </c>
      <c r="C15" s="149" t="inlineStr">
        <is>
          <t>Parameter ID</t>
        </is>
      </c>
      <c r="D15" s="149" t="inlineStr">
        <is>
          <t>P50</t>
        </is>
      </c>
      <c r="E15" s="149" t="inlineStr">
        <is>
          <t>P99</t>
        </is>
      </c>
      <c r="F15" s="149" t="inlineStr">
        <is>
          <t>Unit</t>
        </is>
      </c>
      <c r="G15" s="149" t="inlineStr">
        <is>
          <t>Applies?</t>
        </is>
      </c>
      <c r="H15" s="149" t="inlineStr">
        <is>
          <t>Evidence grade</t>
        </is>
      </c>
      <c r="I15" s="149" t="inlineStr">
        <is>
          <t>Source ID</t>
        </is>
      </c>
      <c r="J15" s="149" t="inlineStr">
        <is>
          <t>Description / rationale</t>
        </is>
      </c>
      <c r="K15" s="170" t="n"/>
      <c r="L15" s="170" t="n"/>
      <c r="M15" s="170" t="n"/>
      <c r="N15" s="170" t="n"/>
      <c r="O15" s="170" t="n"/>
      <c r="P15" s="170" t="n"/>
      <c r="Q15" s="170" t="n"/>
      <c r="R15" s="170" t="n"/>
      <c r="S15" s="170" t="n"/>
      <c r="T15" s="170" t="n"/>
      <c r="U15" s="170" t="n"/>
      <c r="V15" s="170" t="n"/>
      <c r="W15" s="170" t="n"/>
      <c r="X15" s="170" t="n"/>
      <c r="Y15" s="170" t="n"/>
      <c r="Z15" s="170" t="n"/>
      <c r="AA15" s="170" t="n"/>
      <c r="AB15" s="170" t="n"/>
      <c r="AC15" s="170" t="n"/>
      <c r="AD15" s="170" t="n"/>
      <c r="AE15" s="170" t="n"/>
      <c r="AF15" s="170" t="n"/>
      <c r="AG15" s="170" t="n"/>
      <c r="AH15" s="170" t="n"/>
      <c r="AI15" s="170" t="n"/>
      <c r="AJ15" s="170" t="n"/>
      <c r="AK15" s="170" t="n"/>
      <c r="AL15" s="171" t="n"/>
    </row>
    <row r="16" ht="46.05" customHeight="1" s="110">
      <c r="A16" s="151" t="inlineStr">
        <is>
          <t>SC_1</t>
        </is>
      </c>
      <c r="B16" s="181" t="inlineStr">
        <is>
          <t>Operational Disruption</t>
        </is>
      </c>
      <c r="C16" s="130" t="inlineStr">
        <is>
          <t>DOWNTIME_DAYS</t>
        </is>
      </c>
      <c r="D16" s="182" t="n">
        <v>5</v>
      </c>
      <c r="E16" s="182" t="n">
        <v>45</v>
      </c>
      <c r="F16" s="183" t="inlineStr">
        <is>
          <t>days</t>
        </is>
      </c>
      <c r="G16" s="130" t="inlineStr">
        <is>
          <t>Yes</t>
        </is>
      </c>
      <c r="H16" s="130" t="inlineStr">
        <is>
          <t>D</t>
        </is>
      </c>
      <c r="I16" s="130" t="inlineStr">
        <is>
          <t>SRC-OT-01</t>
        </is>
      </c>
      <c r="J16" s="184" t="inlineStr">
        <is>
          <t>Days of lost or reduced facility operation for this scenario. Drives business interruption and daily operating-cost drivers; not the same as restoration/rebuild effort days on driver rates. Sector note: Material outage/reduced generation; use BIA, dispatch and claims evidence.</t>
        </is>
      </c>
      <c r="K16" s="175" t="n"/>
      <c r="L16" s="175" t="n"/>
      <c r="M16" s="175" t="n"/>
      <c r="N16" s="175" t="n"/>
      <c r="O16" s="175" t="n"/>
      <c r="P16" s="175" t="n"/>
      <c r="Q16" s="175" t="n"/>
      <c r="R16" s="175" t="n"/>
      <c r="S16" s="175" t="n"/>
      <c r="T16" s="175" t="n"/>
      <c r="U16" s="175" t="n"/>
      <c r="V16" s="175" t="n"/>
      <c r="W16" s="175" t="n"/>
      <c r="X16" s="175" t="n"/>
      <c r="Y16" s="175" t="n"/>
      <c r="Z16" s="175" t="n"/>
      <c r="AA16" s="175" t="n"/>
      <c r="AB16" s="175" t="n"/>
      <c r="AC16" s="175" t="n"/>
      <c r="AD16" s="175" t="n"/>
      <c r="AE16" s="175" t="n"/>
      <c r="AF16" s="175" t="n"/>
      <c r="AG16" s="175" t="n"/>
      <c r="AH16" s="175" t="n"/>
      <c r="AI16" s="175" t="n"/>
      <c r="AJ16" s="175" t="n"/>
      <c r="AK16" s="118" t="n"/>
      <c r="AL16" s="119" t="n"/>
    </row>
    <row r="17" ht="34.85" customHeight="1" s="110">
      <c r="A17" s="155" t="inlineStr">
        <is>
          <t>SC_1</t>
        </is>
      </c>
      <c r="B17" s="185" t="inlineStr">
        <is>
          <t>Operational Disruption</t>
        </is>
      </c>
      <c r="C17" s="133" t="inlineStr">
        <is>
          <t>CAPACITY_AFFECTED</t>
        </is>
      </c>
      <c r="D17" s="186" t="n">
        <v>0.75</v>
      </c>
      <c r="E17" s="186" t="n">
        <v>1</v>
      </c>
      <c r="F17" s="136" t="inlineStr">
        <is>
          <t>share (0-1)</t>
        </is>
      </c>
      <c r="G17" s="133" t="inlineStr">
        <is>
          <t>Yes</t>
        </is>
      </c>
      <c r="H17" s="133" t="inlineStr">
        <is>
          <t>D</t>
        </is>
      </c>
      <c r="I17" s="133" t="inlineStr">
        <is>
          <t>SRC-OT-01</t>
        </is>
      </c>
      <c r="J17" s="187" t="inlineStr">
        <is>
          <t>Share of facility capacity or output affected while downtime runs (0 to 1). Scales business-interruption loss together with downtime days. Sector note: Material outage/reduced generation; use BIA, dispatch and claims evidence.</t>
        </is>
      </c>
      <c r="K17" s="176" t="n"/>
      <c r="L17" s="176" t="n"/>
      <c r="M17" s="176" t="n"/>
      <c r="N17" s="176" t="n"/>
      <c r="O17" s="176" t="n"/>
      <c r="P17" s="176" t="n"/>
      <c r="Q17" s="176" t="n"/>
      <c r="R17" s="176" t="n"/>
      <c r="S17" s="176" t="n"/>
      <c r="T17" s="176" t="n"/>
      <c r="U17" s="176" t="n"/>
      <c r="V17" s="176" t="n"/>
      <c r="W17" s="176" t="n"/>
      <c r="X17" s="176" t="n"/>
      <c r="Y17" s="176" t="n"/>
      <c r="Z17" s="176" t="n"/>
      <c r="AA17" s="176" t="n"/>
      <c r="AB17" s="176" t="n"/>
      <c r="AC17" s="176" t="n"/>
      <c r="AD17" s="176" t="n"/>
      <c r="AE17" s="176" t="n"/>
      <c r="AF17" s="176" t="n"/>
      <c r="AG17" s="176" t="n"/>
      <c r="AH17" s="176" t="n"/>
      <c r="AI17" s="176" t="n"/>
      <c r="AJ17" s="176" t="n"/>
      <c r="AK17" s="121" t="n"/>
      <c r="AL17" s="122" t="n"/>
    </row>
    <row r="18" ht="46.05" customHeight="1" s="110">
      <c r="A18" s="155" t="inlineStr">
        <is>
          <t>SC_2</t>
        </is>
      </c>
      <c r="B18" s="185" t="inlineStr">
        <is>
          <t>Loss of Control or Visibility</t>
        </is>
      </c>
      <c r="C18" s="133" t="inlineStr">
        <is>
          <t>DOWNTIME_DAYS</t>
        </is>
      </c>
      <c r="D18" s="188" t="n">
        <v>3</v>
      </c>
      <c r="E18" s="188" t="n">
        <v>30</v>
      </c>
      <c r="F18" s="136" t="inlineStr">
        <is>
          <t>days</t>
        </is>
      </c>
      <c r="G18" s="133" t="inlineStr">
        <is>
          <t>Yes</t>
        </is>
      </c>
      <c r="H18" s="133" t="inlineStr">
        <is>
          <t>D</t>
        </is>
      </c>
      <c r="I18" s="133" t="inlineStr">
        <is>
          <t>SRC-OT-01</t>
        </is>
      </c>
      <c r="J18" s="187" t="inlineStr">
        <is>
          <t>Days of lost or reduced facility operation for this scenario. Drives business interruption and daily operating-cost drivers; not the same as restoration/rebuild effort days on driver rates. Sector note: Loss of trusted view/control may force conservative operation or shutdown.</t>
        </is>
      </c>
      <c r="K18" s="176" t="n"/>
      <c r="L18" s="176" t="n"/>
      <c r="M18" s="176" t="n"/>
      <c r="N18" s="176" t="n"/>
      <c r="O18" s="176" t="n"/>
      <c r="P18" s="176" t="n"/>
      <c r="Q18" s="176" t="n"/>
      <c r="R18" s="176" t="n"/>
      <c r="S18" s="176" t="n"/>
      <c r="T18" s="176" t="n"/>
      <c r="U18" s="176" t="n"/>
      <c r="V18" s="176" t="n"/>
      <c r="W18" s="176" t="n"/>
      <c r="X18" s="176" t="n"/>
      <c r="Y18" s="176" t="n"/>
      <c r="Z18" s="176" t="n"/>
      <c r="AA18" s="176" t="n"/>
      <c r="AB18" s="176" t="n"/>
      <c r="AC18" s="176" t="n"/>
      <c r="AD18" s="176" t="n"/>
      <c r="AE18" s="176" t="n"/>
      <c r="AF18" s="176" t="n"/>
      <c r="AG18" s="176" t="n"/>
      <c r="AH18" s="176" t="n"/>
      <c r="AI18" s="176" t="n"/>
      <c r="AJ18" s="176" t="n"/>
      <c r="AK18" s="121" t="n"/>
      <c r="AL18" s="122" t="n"/>
    </row>
    <row r="19" ht="34.85" customHeight="1" s="110">
      <c r="A19" s="158" t="inlineStr">
        <is>
          <t>SC_2</t>
        </is>
      </c>
      <c r="B19" s="189" t="inlineStr">
        <is>
          <t>Loss of Control or Visibility</t>
        </is>
      </c>
      <c r="C19" s="190" t="inlineStr">
        <is>
          <t>CAPACITY_AFFECTED</t>
        </is>
      </c>
      <c r="D19" s="191" t="n">
        <v>0.5</v>
      </c>
      <c r="E19" s="191" t="n">
        <v>1</v>
      </c>
      <c r="F19" s="192" t="inlineStr">
        <is>
          <t>share (0-1)</t>
        </is>
      </c>
      <c r="G19" s="190" t="inlineStr">
        <is>
          <t>Yes</t>
        </is>
      </c>
      <c r="H19" s="190" t="inlineStr">
        <is>
          <t>D</t>
        </is>
      </c>
      <c r="I19" s="190" t="inlineStr">
        <is>
          <t>SRC-OT-01</t>
        </is>
      </c>
      <c r="J19" s="193" t="inlineStr">
        <is>
          <t>Share of facility capacity or output affected while downtime runs (0 to 1). Scales business-interruption loss together with downtime days. Sector note: Loss of trusted view/control may force conservative operation or shutdown.</t>
        </is>
      </c>
      <c r="K19" s="177" t="n"/>
      <c r="L19" s="177" t="n"/>
      <c r="M19" s="177" t="n"/>
      <c r="N19" s="177" t="n"/>
      <c r="O19" s="177" t="n"/>
      <c r="P19" s="177" t="n"/>
      <c r="Q19" s="177" t="n"/>
      <c r="R19" s="177" t="n"/>
      <c r="S19" s="177" t="n"/>
      <c r="T19" s="177" t="n"/>
      <c r="U19" s="177" t="n"/>
      <c r="V19" s="177" t="n"/>
      <c r="W19" s="177" t="n"/>
      <c r="X19" s="177" t="n"/>
      <c r="Y19" s="177" t="n"/>
      <c r="Z19" s="177" t="n"/>
      <c r="AA19" s="177" t="n"/>
      <c r="AB19" s="177" t="n"/>
      <c r="AC19" s="177" t="n"/>
      <c r="AD19" s="177" t="n"/>
      <c r="AE19" s="177" t="n"/>
      <c r="AF19" s="177" t="n"/>
      <c r="AG19" s="177" t="n"/>
      <c r="AH19" s="177" t="n"/>
      <c r="AI19" s="177" t="n"/>
      <c r="AJ19" s="177" t="n"/>
      <c r="AK19" s="124" t="n"/>
      <c r="AL19" s="125" t="n"/>
    </row>
    <row r="20" ht="46.05" customHeight="1" s="110">
      <c r="A20" s="194" t="inlineStr">
        <is>
          <t>SC_3</t>
        </is>
      </c>
      <c r="B20" s="194" t="inlineStr">
        <is>
          <t>Process Manipulation</t>
        </is>
      </c>
      <c r="C20" s="195" t="inlineStr">
        <is>
          <t>DOWNTIME_DAYS</t>
        </is>
      </c>
      <c r="D20" s="196" t="n">
        <v>7</v>
      </c>
      <c r="E20" s="196" t="n">
        <v>60</v>
      </c>
      <c r="F20" s="147" t="inlineStr">
        <is>
          <t>days</t>
        </is>
      </c>
      <c r="G20" s="195" t="inlineStr">
        <is>
          <t>Yes</t>
        </is>
      </c>
      <c r="H20" s="195" t="inlineStr">
        <is>
          <t>D</t>
        </is>
      </c>
      <c r="I20" s="195" t="inlineStr">
        <is>
          <t>SRC-OT-01</t>
        </is>
      </c>
      <c r="J20" s="197" t="inlineStr">
        <is>
          <t>Days of lost or reduced facility operation for this scenario. Drives business interruption and daily operating-cost drivers; not the same as restoration/rebuild effort days on driver rates. Sector note: Unsafe or off-spec process changes may require inspection and recommissioning.</t>
        </is>
      </c>
    </row>
    <row r="21" ht="34.85" customHeight="1" s="110">
      <c r="A21" s="194" t="inlineStr">
        <is>
          <t>SC_3</t>
        </is>
      </c>
      <c r="B21" s="194" t="inlineStr">
        <is>
          <t>Process Manipulation</t>
        </is>
      </c>
      <c r="C21" s="194" t="inlineStr">
        <is>
          <t>CAPACITY_AFFECTED</t>
        </is>
      </c>
      <c r="D21" s="198" t="n">
        <v>0.75</v>
      </c>
      <c r="E21" s="198" t="n">
        <v>1</v>
      </c>
      <c r="F21" s="194" t="inlineStr">
        <is>
          <t>share (0-1)</t>
        </is>
      </c>
      <c r="G21" s="195" t="inlineStr">
        <is>
          <t>Yes</t>
        </is>
      </c>
      <c r="H21" s="195" t="inlineStr">
        <is>
          <t>D</t>
        </is>
      </c>
      <c r="I21" s="195" t="inlineStr">
        <is>
          <t>SRC-OT-01</t>
        </is>
      </c>
      <c r="J21" s="197" t="inlineStr">
        <is>
          <t>Share of facility capacity or output affected while downtime runs (0 to 1). Scales business-interruption loss together with downtime days. Sector note: Unsafe or off-spec process changes may require inspection and recommissioning.</t>
        </is>
      </c>
    </row>
    <row r="22" ht="46.05" customHeight="1" s="110">
      <c r="A22" s="194" t="inlineStr">
        <is>
          <t>SC_4</t>
        </is>
      </c>
      <c r="B22" s="194" t="inlineStr">
        <is>
          <t>Safety System Compromise</t>
        </is>
      </c>
      <c r="C22" s="194" t="inlineStr">
        <is>
          <t>DOWNTIME_DAYS</t>
        </is>
      </c>
      <c r="D22" s="196" t="n">
        <v>14</v>
      </c>
      <c r="E22" s="196" t="n">
        <v>120</v>
      </c>
      <c r="F22" s="194" t="inlineStr">
        <is>
          <t>days</t>
        </is>
      </c>
      <c r="G22" s="195" t="inlineStr">
        <is>
          <t>Yes</t>
        </is>
      </c>
      <c r="H22" s="195" t="inlineStr">
        <is>
          <t>D</t>
        </is>
      </c>
      <c r="I22" s="195" t="inlineStr">
        <is>
          <t>SRC-OT-01</t>
        </is>
      </c>
      <c r="J22" s="197" t="inlineStr">
        <is>
          <t>Days of lost or reduced facility operation for this scenario. Drives business interruption and daily operating-cost drivers; not the same as restoration/rebuild effort days on driver rates. Sector note: Protection/SIS restoration and assurance can extend outage duration.</t>
        </is>
      </c>
    </row>
    <row r="23" ht="34.85" customHeight="1" s="110">
      <c r="A23" s="194" t="inlineStr">
        <is>
          <t>SC_4</t>
        </is>
      </c>
      <c r="B23" s="194" t="inlineStr">
        <is>
          <t>Safety System Compromise</t>
        </is>
      </c>
      <c r="C23" s="194" t="inlineStr">
        <is>
          <t>CAPACITY_AFFECTED</t>
        </is>
      </c>
      <c r="D23" s="198" t="n">
        <v>0.8</v>
      </c>
      <c r="E23" s="198" t="n">
        <v>1</v>
      </c>
      <c r="F23" s="194" t="inlineStr">
        <is>
          <t>share (0-1)</t>
        </is>
      </c>
      <c r="G23" s="195" t="inlineStr">
        <is>
          <t>Yes</t>
        </is>
      </c>
      <c r="H23" s="195" t="inlineStr">
        <is>
          <t>D</t>
        </is>
      </c>
      <c r="I23" s="195" t="inlineStr">
        <is>
          <t>SRC-OT-01</t>
        </is>
      </c>
      <c r="J23" s="197" t="inlineStr">
        <is>
          <t>Share of facility capacity or output affected while downtime runs (0 to 1). Scales business-interruption loss together with downtime days. Sector note: Protection/SIS restoration and assurance can extend outage duration.</t>
        </is>
      </c>
    </row>
    <row r="24" ht="34.85" customHeight="1" s="110">
      <c r="A24" s="194" t="inlineStr">
        <is>
          <t>SC_5</t>
        </is>
      </c>
      <c r="B24" s="194" t="inlineStr">
        <is>
          <t>Destructive or Integrity Attack</t>
        </is>
      </c>
      <c r="C24" s="194" t="inlineStr">
        <is>
          <t>DOWNTIME_DAYS</t>
        </is>
      </c>
      <c r="D24" s="196" t="n">
        <v>30</v>
      </c>
      <c r="E24" s="196" t="n">
        <v>180</v>
      </c>
      <c r="F24" s="194" t="inlineStr">
        <is>
          <t>days</t>
        </is>
      </c>
      <c r="G24" s="195" t="inlineStr">
        <is>
          <t>Yes</t>
        </is>
      </c>
      <c r="H24" s="195" t="inlineStr">
        <is>
          <t>D</t>
        </is>
      </c>
      <c r="I24" s="195" t="inlineStr">
        <is>
          <t>SRC-OT-01</t>
        </is>
      </c>
      <c r="J24" s="197" t="inlineStr">
        <is>
          <t>Days of lost or reduced facility operation for this scenario. Drives business interruption and daily operating-cost drivers; not the same as restoration/rebuild effort days on driver rates. Sector note: Rebuild, replacement and integrity assurance create the longest tail.</t>
        </is>
      </c>
    </row>
    <row r="25" ht="34.85" customHeight="1" s="110">
      <c r="A25" s="194" t="inlineStr">
        <is>
          <t>SC_5</t>
        </is>
      </c>
      <c r="B25" s="194" t="inlineStr">
        <is>
          <t>Destructive or Integrity Attack</t>
        </is>
      </c>
      <c r="C25" s="194" t="inlineStr">
        <is>
          <t>CAPACITY_AFFECTED</t>
        </is>
      </c>
      <c r="D25" s="198" t="n">
        <v>1</v>
      </c>
      <c r="E25" s="198" t="n">
        <v>1</v>
      </c>
      <c r="F25" s="194" t="inlineStr">
        <is>
          <t>share (0-1)</t>
        </is>
      </c>
      <c r="G25" s="195" t="inlineStr">
        <is>
          <t>Yes</t>
        </is>
      </c>
      <c r="H25" s="195" t="inlineStr">
        <is>
          <t>D</t>
        </is>
      </c>
      <c r="I25" s="195" t="inlineStr">
        <is>
          <t>SRC-OT-01</t>
        </is>
      </c>
      <c r="J25" s="197" t="inlineStr">
        <is>
          <t>Share of facility capacity or output affected while downtime runs (0 to 1). Scales business-interruption loss together with downtime days. Sector note: Rebuild, replacement and integrity assurance create the longest tail.</t>
        </is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autoFilter ref="A15:J25"/>
  <mergeCells count="3">
    <mergeCell ref="A3:L3"/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L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2" activeCellId="0" sqref="D32"/>
    </sheetView>
  </sheetViews>
  <sheetFormatPr baseColWidth="8" defaultColWidth="8.58984375" defaultRowHeight="15" customHeight="0" zeroHeight="0" outlineLevelRow="0"/>
  <cols>
    <col width="28" customWidth="1" style="109" min="1" max="1"/>
    <col width="43.12" customWidth="1" style="109" min="2" max="2"/>
    <col width="12.22" customWidth="1" style="109" min="3" max="3"/>
    <col width="16.96" customWidth="1" style="109" min="4" max="4"/>
    <col width="22.06" customWidth="1" style="109" min="5" max="5"/>
    <col width="79.69" customWidth="1" style="109" min="6" max="6"/>
    <col width="12.22" customWidth="1" style="109" min="7" max="8"/>
  </cols>
  <sheetData>
    <row r="1" ht="17.35" customHeight="1" s="110">
      <c r="A1" s="111" t="inlineStr">
        <is>
          <t>10 — Impact Driver Rates</t>
        </is>
      </c>
    </row>
    <row r="2" ht="15" customHeight="1" s="110">
      <c r="A2" s="112" t="inlineStr">
        <is>
          <t>Pack P50/P99 rates for the common OT BIA drivers.</t>
        </is>
      </c>
    </row>
    <row r="3" ht="53.9" customHeight="1" s="110">
      <c r="A3" s="126" t="inlineStr">
        <is>
          <t>How used in the model: Reference copy. Facility quantities and overrides stay on OT 05. Python does not currently reload these rates from the external pack file.</t>
        </is>
      </c>
    </row>
    <row r="4" ht="15" customHeight="1" s="110">
      <c r="A4" s="113" t="inlineStr">
        <is>
          <t>SHEET TYPE: SECTOR PACK CALIBRATION - PACK OWNER ONLY</t>
        </is>
      </c>
    </row>
    <row r="15" ht="23.65" customHeight="1" s="110">
      <c r="A15" s="127" t="inlineStr">
        <is>
          <t>Rate ID</t>
        </is>
      </c>
      <c r="B15" s="128" t="inlineStr">
        <is>
          <t>Driver</t>
        </is>
      </c>
      <c r="C15" s="128" t="inlineStr">
        <is>
          <t>P50</t>
        </is>
      </c>
      <c r="D15" s="128" t="inlineStr">
        <is>
          <t>P99</t>
        </is>
      </c>
      <c r="E15" s="128" t="inlineStr">
        <is>
          <t>Unit</t>
        </is>
      </c>
      <c r="F15" s="128" t="inlineStr">
        <is>
          <t>Source / status</t>
        </is>
      </c>
      <c r="G15" s="128" t="inlineStr">
        <is>
          <t>Evidence grade</t>
        </is>
      </c>
      <c r="H15" s="129" t="inlineStr">
        <is>
          <t>Source ID</t>
        </is>
      </c>
    </row>
    <row r="16" ht="23.65" customHeight="1" s="110">
      <c r="A16" s="117" t="inlineStr">
        <is>
          <t>IR-01</t>
        </is>
      </c>
      <c r="B16" s="118" t="inlineStr">
        <is>
          <t>OT and digital forensic investigation</t>
        </is>
      </c>
      <c r="C16" s="199" t="n">
        <v>20000</v>
      </c>
      <c r="D16" s="199" t="n">
        <v>45000</v>
      </c>
      <c r="E16" s="118" t="inlineStr">
        <is>
          <t>USD/day × days</t>
        </is>
      </c>
      <c r="F16" s="118" t="inlineStr">
        <is>
          <t>Working prior; replace with IR retainer, panel and claims data.</t>
        </is>
      </c>
      <c r="G16" s="131" t="inlineStr">
        <is>
          <t>D</t>
        </is>
      </c>
      <c r="H16" s="132" t="inlineStr">
        <is>
          <t>SRC-OT-01</t>
        </is>
      </c>
    </row>
    <row r="17" ht="23.65" customHeight="1" s="110">
      <c r="A17" s="120" t="inlineStr">
        <is>
          <t>IR-02</t>
        </is>
      </c>
      <c r="B17" s="121" t="inlineStr">
        <is>
          <t>External cyber incident response</t>
        </is>
      </c>
      <c r="C17" s="200" t="n">
        <v>25000</v>
      </c>
      <c r="D17" s="200" t="n">
        <v>50000</v>
      </c>
      <c r="E17" s="121" t="inlineStr">
        <is>
          <t>USD/day × days</t>
        </is>
      </c>
      <c r="F17" s="121" t="inlineStr">
        <is>
          <t>Working prior; replace with response supplier evidence.</t>
        </is>
      </c>
      <c r="G17" s="134" t="inlineStr">
        <is>
          <t>D</t>
        </is>
      </c>
      <c r="H17" s="135" t="inlineStr">
        <is>
          <t>SRC-OT-01</t>
        </is>
      </c>
    </row>
    <row r="18" ht="23.65" customHeight="1" s="110">
      <c r="A18" s="120" t="inlineStr">
        <is>
          <t>IR-03</t>
        </is>
      </c>
      <c r="B18" s="121" t="inlineStr">
        <is>
          <t>Crisis communications</t>
        </is>
      </c>
      <c r="C18" s="200" t="n">
        <v>10000</v>
      </c>
      <c r="D18" s="200" t="n">
        <v>25000</v>
      </c>
      <c r="E18" s="121" t="inlineStr">
        <is>
          <t>USD/day × days</t>
        </is>
      </c>
      <c r="F18" s="121" t="inlineStr">
        <is>
          <t>Working prior; calibrate with communications and panel rates.</t>
        </is>
      </c>
      <c r="G18" s="134" t="inlineStr">
        <is>
          <t>D</t>
        </is>
      </c>
      <c r="H18" s="135" t="inlineStr">
        <is>
          <t>SRC-OT-01</t>
        </is>
      </c>
    </row>
    <row r="19" ht="23.65" customHeight="1" s="110">
      <c r="A19" s="120" t="inlineStr">
        <is>
          <t>RC-01</t>
        </is>
      </c>
      <c r="B19" s="121" t="inlineStr">
        <is>
          <t>OT restoration and recommissioning</t>
        </is>
      </c>
      <c r="C19" s="200" t="n">
        <v>30000</v>
      </c>
      <c r="D19" s="200" t="n">
        <v>75000</v>
      </c>
      <c r="E19" s="121" t="inlineStr">
        <is>
          <t>USD/day × days</t>
        </is>
      </c>
      <c r="F19" s="121" t="inlineStr">
        <is>
          <t>Working prior; replace with Engineering/O&amp;M work-pack estimates.</t>
        </is>
      </c>
      <c r="G19" s="134" t="inlineStr">
        <is>
          <t>D</t>
        </is>
      </c>
      <c r="H19" s="135" t="inlineStr">
        <is>
          <t>SRC-OT-01</t>
        </is>
      </c>
    </row>
    <row r="20" ht="23.65" customHeight="1" s="110">
      <c r="A20" s="120" t="inlineStr">
        <is>
          <t>RC-02</t>
        </is>
      </c>
      <c r="B20" s="121" t="inlineStr">
        <is>
          <t>OEM and specialist engineering support</t>
        </is>
      </c>
      <c r="C20" s="200" t="n">
        <v>25000</v>
      </c>
      <c r="D20" s="200" t="n">
        <v>75000</v>
      </c>
      <c r="E20" s="121" t="inlineStr">
        <is>
          <t>USD/day × days</t>
        </is>
      </c>
      <c r="F20" s="121" t="inlineStr">
        <is>
          <t>Working prior; replace with OEM/framework agreements.</t>
        </is>
      </c>
      <c r="G20" s="134" t="inlineStr">
        <is>
          <t>D</t>
        </is>
      </c>
      <c r="H20" s="135" t="inlineStr">
        <is>
          <t>SRC-OT-01</t>
        </is>
      </c>
    </row>
    <row r="21" ht="23.65" customHeight="1" s="110">
      <c r="A21" s="120" t="inlineStr">
        <is>
          <t>RC-03</t>
        </is>
      </c>
      <c r="B21" s="121" t="inlineStr">
        <is>
          <t>Configuration/data restoration and integrity validation</t>
        </is>
      </c>
      <c r="C21" s="200" t="n">
        <v>15000</v>
      </c>
      <c r="D21" s="200" t="n">
        <v>40000</v>
      </c>
      <c r="E21" s="121" t="inlineStr">
        <is>
          <t>USD/day × days</t>
        </is>
      </c>
      <c r="F21" s="121" t="inlineStr">
        <is>
          <t>Working prior; calibrate from recovery plans and exercises.</t>
        </is>
      </c>
      <c r="G21" s="134" t="inlineStr">
        <is>
          <t>D</t>
        </is>
      </c>
      <c r="H21" s="135" t="inlineStr">
        <is>
          <t>SRC-OT-01</t>
        </is>
      </c>
    </row>
    <row r="22" ht="23.65" customHeight="1" s="110">
      <c r="A22" s="120" t="inlineStr">
        <is>
          <t>BI-01</t>
        </is>
      </c>
      <c r="B22" s="121" t="inlineStr">
        <is>
          <t>Business interruption</t>
        </is>
      </c>
      <c r="C22" s="200" t="n"/>
      <c r="D22" s="200" t="n"/>
      <c r="E22" s="121" t="inlineStr">
        <is>
          <t>USD</t>
        </is>
      </c>
      <c r="F22" s="121" t="inlineStr">
        <is>
          <t>Agreed revenue-based convention; scenario duration/capacity below.</t>
        </is>
      </c>
      <c r="G22" s="134" t="inlineStr">
        <is>
          <t>D</t>
        </is>
      </c>
      <c r="H22" s="135" t="inlineStr">
        <is>
          <t>SRC-OT-01</t>
        </is>
      </c>
    </row>
    <row r="23" ht="23.65" customHeight="1" s="110">
      <c r="A23" s="123" t="inlineStr">
        <is>
          <t>OP-01</t>
        </is>
      </c>
      <c r="B23" s="124" t="inlineStr">
        <is>
          <t>Manual operations / increased cost of working</t>
        </is>
      </c>
      <c r="C23" s="201" t="n">
        <v>50000</v>
      </c>
      <c r="D23" s="201" t="n">
        <v>200000</v>
      </c>
      <c r="E23" s="124" t="inlineStr">
        <is>
          <t>USD/day × scenario days</t>
        </is>
      </c>
      <c r="F23" s="124" t="inlineStr">
        <is>
          <t>Working prior; replace with continuity and operations estimates.</t>
        </is>
      </c>
      <c r="G23" s="202" t="inlineStr">
        <is>
          <t>D</t>
        </is>
      </c>
      <c r="H23" s="203" t="inlineStr">
        <is>
          <t>SRC-OT-01</t>
        </is>
      </c>
    </row>
    <row r="24" ht="15" customHeight="1" s="110">
      <c r="A24" s="109" t="inlineStr">
        <is>
          <t>OP-02</t>
        </is>
      </c>
      <c r="B24" s="109" t="inlineStr">
        <is>
          <t>Alternative supply / availability and contract penalties</t>
        </is>
      </c>
      <c r="C24" s="204" t="n">
        <v>150000</v>
      </c>
      <c r="D24" s="204" t="n">
        <v>750000</v>
      </c>
      <c r="E24" s="109" t="inlineStr">
        <is>
          <t>USD/day × scenario days</t>
        </is>
      </c>
      <c r="F24" s="109" t="inlineStr">
        <is>
          <t>Working prior; calibrate with Commercial contracts, continuity arrangements and penalty terms.</t>
        </is>
      </c>
      <c r="G24" s="146" t="inlineStr">
        <is>
          <t>D</t>
        </is>
      </c>
      <c r="H24" s="146" t="inlineStr">
        <is>
          <t>SRC-OT-01</t>
        </is>
      </c>
    </row>
    <row r="25" ht="15" customHeight="1" s="110">
      <c r="A25" s="109" t="inlineStr">
        <is>
          <t>EX-01</t>
        </is>
      </c>
      <c r="B25" s="109" t="inlineStr">
        <is>
          <t>Extortion / ransom</t>
        </is>
      </c>
      <c r="C25" s="204" t="n">
        <v>0</v>
      </c>
      <c r="D25" s="204" t="n">
        <v>0</v>
      </c>
      <c r="E25" s="109" t="inlineStr">
        <is>
          <t>USD</t>
        </is>
      </c>
      <c r="F25" s="109" t="inlineStr">
        <is>
          <t>Working prior; replace with approved incident/claims/market evidence.</t>
        </is>
      </c>
      <c r="G25" s="146" t="inlineStr">
        <is>
          <t>D</t>
        </is>
      </c>
      <c r="H25" s="146" t="inlineStr">
        <is>
          <t>SRC-OT-01</t>
        </is>
      </c>
    </row>
    <row r="26" ht="15" customHeight="1" s="110">
      <c r="A26" s="109" t="inlineStr">
        <is>
          <t>LG-01</t>
        </is>
      </c>
      <c r="B26" s="109" t="inlineStr">
        <is>
          <t>Legal and regulatory response</t>
        </is>
      </c>
      <c r="C26" s="204" t="n">
        <v>10000</v>
      </c>
      <c r="D26" s="204" t="n">
        <v>30000</v>
      </c>
      <c r="E26" s="109" t="inlineStr">
        <is>
          <t>USD/day × days</t>
        </is>
      </c>
      <c r="F26" s="109" t="inlineStr">
        <is>
          <t>Working prior; replace with Legal panel and response estimates.</t>
        </is>
      </c>
      <c r="G26" s="146" t="inlineStr">
        <is>
          <t>D</t>
        </is>
      </c>
      <c r="H26" s="146" t="inlineStr">
        <is>
          <t>SRC-OT-01</t>
        </is>
      </c>
    </row>
    <row r="27" ht="15" customHeight="1" s="110">
      <c r="A27" s="109" t="inlineStr">
        <is>
          <t>LG-02</t>
        </is>
      </c>
      <c r="B27" s="109" t="inlineStr">
        <is>
          <t>Regulatory fines and penalties</t>
        </is>
      </c>
      <c r="C27" s="204" t="n"/>
      <c r="D27" s="204" t="n"/>
      <c r="E27" s="109" t="inlineStr">
        <is>
          <t>share of annual revenue</t>
        </is>
      </c>
      <c r="F27" s="109" t="inlineStr">
        <is>
          <t>Working prior; Legal must calibrate jurisdiction and enforcement context.</t>
        </is>
      </c>
      <c r="G27" s="146" t="inlineStr">
        <is>
          <t>D</t>
        </is>
      </c>
      <c r="H27" s="146" t="inlineStr">
        <is>
          <t>SRC-OT-01</t>
        </is>
      </c>
    </row>
    <row r="28" ht="15" customHeight="1" s="110">
      <c r="A28" s="109" t="inlineStr">
        <is>
          <t>SF-01</t>
        </is>
      </c>
      <c r="B28" s="109" t="inlineStr">
        <is>
          <t>Safety and emergency response</t>
        </is>
      </c>
      <c r="C28" s="204" t="n">
        <v>1000000</v>
      </c>
      <c r="D28" s="204" t="n">
        <v>25000000</v>
      </c>
      <c r="E28" s="109" t="inlineStr">
        <is>
          <t>USD</t>
        </is>
      </c>
      <c r="F28" s="109" t="inlineStr">
        <is>
          <t>Working prior; replace with HSE scenario and claims evidence.</t>
        </is>
      </c>
      <c r="G28" s="146" t="inlineStr">
        <is>
          <t>D</t>
        </is>
      </c>
      <c r="H28" s="146" t="inlineStr">
        <is>
          <t>SRC-OT-01</t>
        </is>
      </c>
    </row>
    <row r="29" ht="15" customHeight="1" s="110">
      <c r="A29" s="109" t="inlineStr">
        <is>
          <t>EN-01</t>
        </is>
      </c>
      <c r="B29" s="109" t="inlineStr">
        <is>
          <t>Environmental remediation</t>
        </is>
      </c>
      <c r="C29" s="204" t="n">
        <v>1000000</v>
      </c>
      <c r="D29" s="204" t="n">
        <v>50000000</v>
      </c>
      <c r="E29" s="109" t="inlineStr">
        <is>
          <t>USD</t>
        </is>
      </c>
      <c r="F29" s="109" t="inlineStr">
        <is>
          <t>Working prior; replace with HSE/environmental loss scenarios.</t>
        </is>
      </c>
      <c r="G29" s="146" t="inlineStr">
        <is>
          <t>D</t>
        </is>
      </c>
      <c r="H29" s="146" t="inlineStr">
        <is>
          <t>SRC-OT-01</t>
        </is>
      </c>
    </row>
    <row r="30" ht="15" customHeight="1" s="110">
      <c r="A30" s="109" t="inlineStr">
        <is>
          <t>PD-01</t>
        </is>
      </c>
      <c r="B30" s="109" t="inlineStr">
        <is>
          <t>OT endpoint / controller replacement</t>
        </is>
      </c>
      <c r="C30" s="204" t="n">
        <v>15000</v>
      </c>
      <c r="D30" s="204" t="n">
        <v>40000</v>
      </c>
      <c r="E30" s="109" t="inlineStr">
        <is>
          <t>USD/unit × affected share</t>
        </is>
      </c>
      <c r="F30" s="109" t="inlineStr">
        <is>
          <t>Working prior; calibrate from asset register and replacement estimates.</t>
        </is>
      </c>
      <c r="G30" s="146" t="inlineStr">
        <is>
          <t>D</t>
        </is>
      </c>
      <c r="H30" s="146" t="inlineStr">
        <is>
          <t>SRC-OT-01</t>
        </is>
      </c>
    </row>
    <row r="31" ht="15" customHeight="1" s="110">
      <c r="A31" s="109" t="inlineStr">
        <is>
          <t>PD-02</t>
        </is>
      </c>
      <c r="B31" s="109" t="inlineStr">
        <is>
          <t>OT server / engineering-system replacement</t>
        </is>
      </c>
      <c r="C31" s="204" t="n">
        <v>50000</v>
      </c>
      <c r="D31" s="204" t="n">
        <v>150000</v>
      </c>
      <c r="E31" s="109" t="inlineStr">
        <is>
          <t>USD/unit × affected share</t>
        </is>
      </c>
      <c r="F31" s="109" t="inlineStr">
        <is>
          <t>Working prior; calibrate from asset register/OEM estimates.</t>
        </is>
      </c>
      <c r="G31" s="146" t="inlineStr">
        <is>
          <t>D</t>
        </is>
      </c>
      <c r="H31" s="146" t="inlineStr">
        <is>
          <t>SRC-OT-01</t>
        </is>
      </c>
    </row>
    <row r="32" ht="15" customHeight="1" s="110">
      <c r="A32" s="109" t="inlineStr">
        <is>
          <t>PD-03</t>
        </is>
      </c>
      <c r="B32" s="109" t="inlineStr">
        <is>
          <t>Major equipment / physical damage</t>
        </is>
      </c>
      <c r="C32" s="204" t="n">
        <v>2000000</v>
      </c>
      <c r="D32" s="204" t="n">
        <v>150000000</v>
      </c>
      <c r="E32" s="109" t="inlineStr">
        <is>
          <t>USD</t>
        </is>
      </c>
      <c r="F32" s="109" t="inlineStr">
        <is>
          <t>Working prior; replace with Engineering/property loss scenarios.</t>
        </is>
      </c>
      <c r="G32" s="146" t="inlineStr">
        <is>
          <t>D</t>
        </is>
      </c>
      <c r="H32" s="146" t="inlineStr">
        <is>
          <t>SRC-OT-01</t>
        </is>
      </c>
    </row>
    <row r="33" ht="15" customHeight="1" s="110">
      <c r="A33" s="109" t="inlineStr">
        <is>
          <t>IN-01</t>
        </is>
      </c>
      <c r="B33" s="109" t="inlineStr">
        <is>
          <t>Post-event security uplift</t>
        </is>
      </c>
      <c r="C33" s="146" t="n"/>
      <c r="D33" s="146" t="n"/>
      <c r="E33" s="109" t="inlineStr">
        <is>
          <t>share of annual revenue</t>
        </is>
      </c>
      <c r="F33" s="109" t="inlineStr">
        <is>
          <t>Working prior; calibrate with Cyber/Engineering remediation plans.</t>
        </is>
      </c>
      <c r="G33" s="146" t="inlineStr">
        <is>
          <t>D</t>
        </is>
      </c>
      <c r="H33" s="146" t="inlineStr">
        <is>
          <t>SRC-OT-01</t>
        </is>
      </c>
    </row>
    <row r="34" ht="15" customHeight="1" s="110">
      <c r="A34" s="109" t="inlineStr">
        <is>
          <t>FORMULA-LINKED CONDITIONAL DRIVER COST BY SCENARIO</t>
        </is>
      </c>
      <c r="C34" s="146" t="n"/>
      <c r="D34" s="146" t="n"/>
      <c r="G34" s="146" t="inlineStr">
        <is>
          <t>D</t>
        </is>
      </c>
      <c r="H34" s="146" t="inlineStr">
        <is>
          <t>SRC-OT-01</t>
        </is>
      </c>
    </row>
    <row r="35" ht="15" customHeight="1" s="110">
      <c r="A35" s="109" t="inlineStr">
        <is>
          <t>Scenario</t>
        </is>
      </c>
      <c r="B35" s="109" t="inlineStr">
        <is>
          <t>Driver ID</t>
        </is>
      </c>
      <c r="C35" s="146" t="inlineStr">
        <is>
          <t>Cost driver</t>
        </is>
      </c>
      <c r="D35" s="146" t="inlineStr">
        <is>
          <t>P50 conditional cost</t>
        </is>
      </c>
      <c r="E35" s="109" t="inlineStr">
        <is>
          <t>Actor applicability</t>
        </is>
      </c>
      <c r="G35" s="146" t="inlineStr">
        <is>
          <t>D</t>
        </is>
      </c>
      <c r="H35" s="146" t="inlineStr">
        <is>
          <t>SRC-OT-01</t>
        </is>
      </c>
    </row>
    <row r="36" ht="15" customHeight="1" s="110">
      <c r="A36" s="109" t="inlineStr">
        <is>
          <t>Operational Disruption</t>
        </is>
      </c>
      <c r="B36" s="109" t="inlineStr">
        <is>
          <t>IR-01</t>
        </is>
      </c>
      <c r="C36" s="146" t="inlineStr">
        <is>
          <t>OT and digital forensic investigation</t>
        </is>
      </c>
      <c r="D36" s="146">
        <f>IF($F$29="TRUE",$C$67*$E$67,0)</f>
        <v/>
      </c>
      <c r="E36" s="109" t="inlineStr">
        <is>
          <t>All</t>
        </is>
      </c>
      <c r="G36" s="146" t="inlineStr">
        <is>
          <t>D</t>
        </is>
      </c>
      <c r="H36" s="146" t="inlineStr">
        <is>
          <t>SRC-OT-01</t>
        </is>
      </c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N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10" activeCellId="0" sqref="H10"/>
    </sheetView>
  </sheetViews>
  <sheetFormatPr baseColWidth="8" defaultColWidth="8.58984375" defaultRowHeight="15" customHeight="0" zeroHeight="0" outlineLevelRow="0"/>
  <cols>
    <col width="28" customWidth="1" style="109" min="1" max="1"/>
    <col width="27.78" customWidth="1" style="109" min="2" max="2"/>
    <col width="30.9" customWidth="1" style="109" min="3" max="3"/>
    <col width="23.6" customWidth="1" style="109" min="4" max="4"/>
    <col width="24.93" customWidth="1" style="109" min="5" max="5"/>
    <col width="22.26" customWidth="1" style="109" min="6" max="6"/>
    <col width="24.82" customWidth="1" style="109" min="7" max="7"/>
    <col width="28.95" customWidth="1" style="109" min="8" max="8"/>
    <col width="41.24" customWidth="1" style="109" min="9" max="12"/>
    <col width="12.22" customWidth="1" style="109" min="13" max="13"/>
    <col width="47.79" customWidth="1" style="109" min="14" max="14"/>
  </cols>
  <sheetData>
    <row r="1" ht="17.35" customHeight="1" s="110">
      <c r="A1" s="111" t="inlineStr">
        <is>
          <t>11 — Actor and Scenario Impact Applicability</t>
        </is>
      </c>
    </row>
    <row r="2" ht="15" customHeight="1" s="110">
      <c r="A2" s="112" t="inlineStr">
        <is>
          <t>Pack driver-to-scenario applicability (1 = applies).</t>
        </is>
      </c>
    </row>
    <row r="3" ht="43.4" customHeight="1" s="110">
      <c r="A3" s="126" t="inlineStr">
        <is>
          <t>How used in the model: Reference copy of the governed OT matrix. Runtime applicability is still the OT 05 / core BIA path.</t>
        </is>
      </c>
    </row>
    <row r="4" ht="15" customHeight="1" s="110">
      <c r="A4" s="113" t="inlineStr">
        <is>
          <t>SHEET TYPE: SECTOR PACK CALIBRATION - PACK OWNER ONLY</t>
        </is>
      </c>
    </row>
    <row r="15" ht="46.05" customHeight="1" s="110">
      <c r="A15" s="127" t="inlineStr">
        <is>
          <t>Driver ID</t>
        </is>
      </c>
      <c r="B15" s="128" t="inlineStr">
        <is>
          <t>Driver</t>
        </is>
      </c>
      <c r="C15" s="128" t="inlineStr">
        <is>
          <t>Loss block</t>
        </is>
      </c>
      <c r="D15" s="128" t="inlineStr">
        <is>
          <t>Operational Disruption</t>
        </is>
      </c>
      <c r="E15" s="128" t="inlineStr">
        <is>
          <t>Loss of Control or Visibility</t>
        </is>
      </c>
      <c r="F15" s="128" t="inlineStr">
        <is>
          <t>Process Manipulation</t>
        </is>
      </c>
      <c r="G15" s="128" t="inlineStr">
        <is>
          <t>Safety System Compromise</t>
        </is>
      </c>
      <c r="H15" s="128" t="inlineStr">
        <is>
          <t>Destructive or Integrity Attack</t>
        </is>
      </c>
      <c r="I15" s="128" t="inlineStr">
        <is>
          <t>Evidence grade</t>
        </is>
      </c>
      <c r="J15" s="128" t="inlineStr">
        <is>
          <t>Source ID</t>
        </is>
      </c>
      <c r="K15" s="170" t="inlineStr">
        <is>
          <t>SC_FRAUD</t>
        </is>
      </c>
      <c r="L15" s="170" t="inlineStr">
        <is>
          <t>Evidence grade</t>
        </is>
      </c>
      <c r="M15" s="170" t="inlineStr">
        <is>
          <t>Source ID</t>
        </is>
      </c>
      <c r="N15" s="171" t="inlineStr">
        <is>
          <t>Rationale</t>
        </is>
      </c>
    </row>
    <row r="16" ht="23.65" customHeight="1" s="110">
      <c r="A16" s="117" t="inlineStr">
        <is>
          <t>IR-01</t>
        </is>
      </c>
      <c r="B16" s="118" t="inlineStr">
        <is>
          <t>OT and digital forensic investigation</t>
        </is>
      </c>
      <c r="C16" s="118" t="inlineStr">
        <is>
          <t>Incident response costs</t>
        </is>
      </c>
      <c r="D16" s="183" t="n">
        <v>1</v>
      </c>
      <c r="E16" s="183" t="n">
        <v>1</v>
      </c>
      <c r="F16" s="183" t="n">
        <v>1</v>
      </c>
      <c r="G16" s="183" t="n">
        <v>1</v>
      </c>
      <c r="H16" s="183" t="n">
        <v>1</v>
      </c>
      <c r="I16" s="183" t="inlineStr">
        <is>
          <t>D</t>
        </is>
      </c>
      <c r="J16" s="183" t="inlineStr">
        <is>
          <t>SRC-OT-01</t>
        </is>
      </c>
      <c r="K16" s="175" t="n"/>
      <c r="L16" s="118" t="n"/>
      <c r="M16" s="118" t="n"/>
      <c r="N16" s="119" t="n"/>
    </row>
    <row r="17" ht="23.65" customHeight="1" s="110">
      <c r="A17" s="120" t="inlineStr">
        <is>
          <t>IR-02</t>
        </is>
      </c>
      <c r="B17" s="121" t="inlineStr">
        <is>
          <t>External cyber incident response</t>
        </is>
      </c>
      <c r="C17" s="121" t="inlineStr">
        <is>
          <t>Incident response costs</t>
        </is>
      </c>
      <c r="D17" s="136" t="n">
        <v>1</v>
      </c>
      <c r="E17" s="136" t="n">
        <v>1</v>
      </c>
      <c r="F17" s="136" t="n">
        <v>1</v>
      </c>
      <c r="G17" s="136" t="n">
        <v>1</v>
      </c>
      <c r="H17" s="136" t="n">
        <v>1</v>
      </c>
      <c r="I17" s="136" t="inlineStr">
        <is>
          <t>D</t>
        </is>
      </c>
      <c r="J17" s="136" t="inlineStr">
        <is>
          <t>SRC-OT-01</t>
        </is>
      </c>
      <c r="K17" s="176" t="n"/>
      <c r="L17" s="121" t="n"/>
      <c r="M17" s="121" t="n"/>
      <c r="N17" s="122" t="n"/>
    </row>
    <row r="18" ht="15" customHeight="1" s="110">
      <c r="A18" s="120" t="inlineStr">
        <is>
          <t>IR-03</t>
        </is>
      </c>
      <c r="B18" s="121" t="inlineStr">
        <is>
          <t>Crisis communications</t>
        </is>
      </c>
      <c r="C18" s="121" t="inlineStr">
        <is>
          <t>Incident response costs</t>
        </is>
      </c>
      <c r="D18" s="136" t="n">
        <v>1</v>
      </c>
      <c r="E18" s="136" t="n">
        <v>1</v>
      </c>
      <c r="F18" s="136" t="n">
        <v>1</v>
      </c>
      <c r="G18" s="136" t="n">
        <v>1</v>
      </c>
      <c r="H18" s="136" t="n">
        <v>1</v>
      </c>
      <c r="I18" s="136" t="inlineStr">
        <is>
          <t>D</t>
        </is>
      </c>
      <c r="J18" s="136" t="inlineStr">
        <is>
          <t>SRC-OT-01</t>
        </is>
      </c>
      <c r="K18" s="176" t="n"/>
      <c r="L18" s="121" t="n"/>
      <c r="M18" s="121" t="n"/>
      <c r="N18" s="122" t="n"/>
    </row>
    <row r="19" ht="23.65" customHeight="1" s="110">
      <c r="A19" s="120" t="inlineStr">
        <is>
          <t>RC-01</t>
        </is>
      </c>
      <c r="B19" s="121" t="inlineStr">
        <is>
          <t>OT restoration and recommissioning</t>
        </is>
      </c>
      <c r="C19" s="121" t="inlineStr">
        <is>
          <t>Recovery and restoration costs</t>
        </is>
      </c>
      <c r="D19" s="136" t="n">
        <v>1</v>
      </c>
      <c r="E19" s="136" t="n">
        <v>1</v>
      </c>
      <c r="F19" s="136" t="n">
        <v>1</v>
      </c>
      <c r="G19" s="136" t="n">
        <v>1</v>
      </c>
      <c r="H19" s="136" t="n">
        <v>1</v>
      </c>
      <c r="I19" s="136" t="inlineStr">
        <is>
          <t>D</t>
        </is>
      </c>
      <c r="J19" s="136" t="inlineStr">
        <is>
          <t>SRC-OT-01</t>
        </is>
      </c>
      <c r="K19" s="176" t="n"/>
      <c r="L19" s="121" t="n"/>
      <c r="M19" s="121" t="n"/>
      <c r="N19" s="122" t="n"/>
    </row>
    <row r="20" ht="23.65" customHeight="1" s="110">
      <c r="A20" s="120" t="inlineStr">
        <is>
          <t>RC-02</t>
        </is>
      </c>
      <c r="B20" s="121" t="inlineStr">
        <is>
          <t>OEM and specialist engineering support</t>
        </is>
      </c>
      <c r="C20" s="121" t="inlineStr">
        <is>
          <t>Recovery and restoration costs</t>
        </is>
      </c>
      <c r="D20" s="136" t="n">
        <v>1</v>
      </c>
      <c r="E20" s="136" t="n">
        <v>1</v>
      </c>
      <c r="F20" s="136" t="n">
        <v>1</v>
      </c>
      <c r="G20" s="136" t="n">
        <v>1</v>
      </c>
      <c r="H20" s="136" t="n">
        <v>1</v>
      </c>
      <c r="I20" s="136" t="inlineStr">
        <is>
          <t>D</t>
        </is>
      </c>
      <c r="J20" s="136" t="inlineStr">
        <is>
          <t>SRC-OT-01</t>
        </is>
      </c>
      <c r="K20" s="176" t="n"/>
      <c r="L20" s="121" t="n"/>
      <c r="M20" s="121" t="n"/>
      <c r="N20" s="122" t="n"/>
    </row>
    <row r="21" ht="23.65" customHeight="1" s="110">
      <c r="A21" s="120" t="inlineStr">
        <is>
          <t>RC-03</t>
        </is>
      </c>
      <c r="B21" s="121" t="inlineStr">
        <is>
          <t>Configuration/data restoration and integrity validation</t>
        </is>
      </c>
      <c r="C21" s="121" t="inlineStr">
        <is>
          <t>Recovery and restoration costs</t>
        </is>
      </c>
      <c r="D21" s="136" t="n">
        <v>1</v>
      </c>
      <c r="E21" s="136" t="n">
        <v>1</v>
      </c>
      <c r="F21" s="136" t="n">
        <v>1</v>
      </c>
      <c r="G21" s="136" t="n">
        <v>1</v>
      </c>
      <c r="H21" s="136" t="n">
        <v>1</v>
      </c>
      <c r="I21" s="136" t="inlineStr">
        <is>
          <t>D</t>
        </is>
      </c>
      <c r="J21" s="136" t="inlineStr">
        <is>
          <t>SRC-OT-01</t>
        </is>
      </c>
      <c r="K21" s="176" t="n"/>
      <c r="L21" s="121" t="n"/>
      <c r="M21" s="121" t="n"/>
      <c r="N21" s="122" t="n"/>
    </row>
    <row r="22" ht="23.65" customHeight="1" s="110">
      <c r="A22" s="120" t="inlineStr">
        <is>
          <t>BI-01</t>
        </is>
      </c>
      <c r="B22" s="121" t="inlineStr">
        <is>
          <t>Business interruption</t>
        </is>
      </c>
      <c r="C22" s="121" t="inlineStr">
        <is>
          <t>Business interruption and continuity</t>
        </is>
      </c>
      <c r="D22" s="136" t="n">
        <v>1</v>
      </c>
      <c r="E22" s="136" t="n">
        <v>1</v>
      </c>
      <c r="F22" s="136" t="n">
        <v>1</v>
      </c>
      <c r="G22" s="136" t="n">
        <v>1</v>
      </c>
      <c r="H22" s="136" t="n">
        <v>1</v>
      </c>
      <c r="I22" s="136" t="inlineStr">
        <is>
          <t>D</t>
        </is>
      </c>
      <c r="J22" s="136" t="inlineStr">
        <is>
          <t>SRC-OT-01</t>
        </is>
      </c>
      <c r="K22" s="176" t="n"/>
      <c r="L22" s="121" t="n"/>
      <c r="M22" s="121" t="n"/>
      <c r="N22" s="122" t="n"/>
    </row>
    <row r="23" ht="23.65" customHeight="1" s="110">
      <c r="A23" s="120" t="inlineStr">
        <is>
          <t>OP-01</t>
        </is>
      </c>
      <c r="B23" s="121" t="inlineStr">
        <is>
          <t>Manual operations / increased cost of working</t>
        </is>
      </c>
      <c r="C23" s="121" t="inlineStr">
        <is>
          <t>Business interruption and continuity</t>
        </is>
      </c>
      <c r="D23" s="136" t="n">
        <v>1</v>
      </c>
      <c r="E23" s="136" t="n">
        <v>1</v>
      </c>
      <c r="F23" s="136" t="n">
        <v>1</v>
      </c>
      <c r="G23" s="136" t="n">
        <v>1</v>
      </c>
      <c r="H23" s="136" t="n">
        <v>1</v>
      </c>
      <c r="I23" s="136" t="inlineStr">
        <is>
          <t>D</t>
        </is>
      </c>
      <c r="J23" s="136" t="inlineStr">
        <is>
          <t>SRC-OT-01</t>
        </is>
      </c>
      <c r="K23" s="176" t="n"/>
      <c r="L23" s="121" t="n"/>
      <c r="M23" s="121" t="n"/>
      <c r="N23" s="122" t="n"/>
    </row>
    <row r="24" ht="23.65" customHeight="1" s="110">
      <c r="A24" s="120" t="inlineStr">
        <is>
          <t>OP-02</t>
        </is>
      </c>
      <c r="B24" s="121" t="inlineStr">
        <is>
          <t>Alternative supply / availability and contract penalties</t>
        </is>
      </c>
      <c r="C24" s="121" t="inlineStr">
        <is>
          <t>Business interruption and continuity</t>
        </is>
      </c>
      <c r="D24" s="136" t="n">
        <v>1</v>
      </c>
      <c r="E24" s="136" t="n">
        <v>1</v>
      </c>
      <c r="F24" s="136" t="n">
        <v>1</v>
      </c>
      <c r="G24" s="136" t="n">
        <v>1</v>
      </c>
      <c r="H24" s="136" t="n">
        <v>1</v>
      </c>
      <c r="I24" s="136" t="inlineStr">
        <is>
          <t>D</t>
        </is>
      </c>
      <c r="J24" s="136" t="inlineStr">
        <is>
          <t>SRC-OT-01</t>
        </is>
      </c>
      <c r="K24" s="176" t="n"/>
      <c r="L24" s="121" t="n"/>
      <c r="M24" s="121" t="n"/>
      <c r="N24" s="122" t="n"/>
    </row>
    <row r="25" ht="15" customHeight="1" s="110">
      <c r="A25" s="120" t="inlineStr">
        <is>
          <t>EX-01</t>
        </is>
      </c>
      <c r="B25" s="121" t="inlineStr">
        <is>
          <t>Extortion / ransom</t>
        </is>
      </c>
      <c r="C25" s="121" t="inlineStr">
        <is>
          <t>Direct loss / extortion</t>
        </is>
      </c>
      <c r="D25" s="136" t="n">
        <v>1</v>
      </c>
      <c r="E25" s="136" t="n">
        <v>0</v>
      </c>
      <c r="F25" s="136" t="n">
        <v>0</v>
      </c>
      <c r="G25" s="136" t="n">
        <v>0</v>
      </c>
      <c r="H25" s="136" t="n">
        <v>1</v>
      </c>
      <c r="I25" s="136" t="inlineStr">
        <is>
          <t>D</t>
        </is>
      </c>
      <c r="J25" s="136" t="inlineStr">
        <is>
          <t>SRC-OT-01</t>
        </is>
      </c>
      <c r="K25" s="176" t="n"/>
      <c r="L25" s="121" t="n"/>
      <c r="M25" s="121" t="n"/>
      <c r="N25" s="122" t="n"/>
    </row>
    <row r="26" ht="15" customHeight="1" s="110">
      <c r="A26" s="120" t="inlineStr">
        <is>
          <t>LG-01</t>
        </is>
      </c>
      <c r="B26" s="121" t="inlineStr">
        <is>
          <t>Legal and regulatory response</t>
        </is>
      </c>
      <c r="C26" s="121" t="inlineStr">
        <is>
          <t>Legal and regulatory costs</t>
        </is>
      </c>
      <c r="D26" s="136" t="n">
        <v>1</v>
      </c>
      <c r="E26" s="136" t="n">
        <v>1</v>
      </c>
      <c r="F26" s="136" t="n">
        <v>1</v>
      </c>
      <c r="G26" s="136" t="n">
        <v>1</v>
      </c>
      <c r="H26" s="136" t="n">
        <v>1</v>
      </c>
      <c r="I26" s="136" t="inlineStr">
        <is>
          <t>D</t>
        </is>
      </c>
      <c r="J26" s="136" t="inlineStr">
        <is>
          <t>SRC-OT-01</t>
        </is>
      </c>
      <c r="K26" s="176" t="n"/>
      <c r="L26" s="121" t="n"/>
      <c r="M26" s="121" t="n"/>
      <c r="N26" s="122" t="n"/>
    </row>
    <row r="27" ht="15" customHeight="1" s="110">
      <c r="A27" s="120" t="inlineStr">
        <is>
          <t>LG-02</t>
        </is>
      </c>
      <c r="B27" s="121" t="inlineStr">
        <is>
          <t>Regulatory fines and penalties</t>
        </is>
      </c>
      <c r="C27" s="121" t="inlineStr">
        <is>
          <t>Legal and regulatory costs</t>
        </is>
      </c>
      <c r="D27" s="136" t="n">
        <v>0</v>
      </c>
      <c r="E27" s="136" t="n">
        <v>0</v>
      </c>
      <c r="F27" s="136" t="n">
        <v>1</v>
      </c>
      <c r="G27" s="136" t="n">
        <v>1</v>
      </c>
      <c r="H27" s="136" t="n">
        <v>1</v>
      </c>
      <c r="I27" s="136" t="inlineStr">
        <is>
          <t>D</t>
        </is>
      </c>
      <c r="J27" s="136" t="inlineStr">
        <is>
          <t>SRC-OT-01</t>
        </is>
      </c>
      <c r="K27" s="176" t="n"/>
      <c r="L27" s="121" t="n"/>
      <c r="M27" s="121" t="n"/>
      <c r="N27" s="122" t="n"/>
    </row>
    <row r="28" ht="15" customHeight="1" s="110">
      <c r="A28" s="120" t="inlineStr">
        <is>
          <t>SF-01</t>
        </is>
      </c>
      <c r="B28" s="121" t="inlineStr">
        <is>
          <t>Safety and emergency response</t>
        </is>
      </c>
      <c r="C28" s="121" t="inlineStr">
        <is>
          <t>Safety and environmental costs</t>
        </is>
      </c>
      <c r="D28" s="136" t="n">
        <v>0</v>
      </c>
      <c r="E28" s="136" t="n">
        <v>0</v>
      </c>
      <c r="F28" s="136" t="n">
        <v>1</v>
      </c>
      <c r="G28" s="136" t="n">
        <v>1</v>
      </c>
      <c r="H28" s="136" t="n">
        <v>1</v>
      </c>
      <c r="I28" s="136" t="inlineStr">
        <is>
          <t>D</t>
        </is>
      </c>
      <c r="J28" s="136" t="inlineStr">
        <is>
          <t>SRC-OT-01</t>
        </is>
      </c>
      <c r="K28" s="176" t="n"/>
      <c r="L28" s="121" t="n"/>
      <c r="M28" s="121" t="n"/>
      <c r="N28" s="122" t="n"/>
    </row>
    <row r="29" ht="15" customHeight="1" s="110">
      <c r="A29" s="123" t="inlineStr">
        <is>
          <t>EN-01</t>
        </is>
      </c>
      <c r="B29" s="124" t="inlineStr">
        <is>
          <t>Environmental remediation</t>
        </is>
      </c>
      <c r="C29" s="124" t="inlineStr">
        <is>
          <t>Safety and environmental costs</t>
        </is>
      </c>
      <c r="D29" s="192" t="n">
        <v>0</v>
      </c>
      <c r="E29" s="192" t="n">
        <v>0</v>
      </c>
      <c r="F29" s="192" t="n">
        <v>1</v>
      </c>
      <c r="G29" s="192" t="n">
        <v>1</v>
      </c>
      <c r="H29" s="192" t="n">
        <v>1</v>
      </c>
      <c r="I29" s="192" t="inlineStr">
        <is>
          <t>D</t>
        </is>
      </c>
      <c r="J29" s="192" t="inlineStr">
        <is>
          <t>SRC-OT-01</t>
        </is>
      </c>
      <c r="K29" s="177" t="n"/>
      <c r="L29" s="124" t="n"/>
      <c r="M29" s="124" t="n"/>
      <c r="N29" s="125" t="n"/>
    </row>
    <row r="30" ht="15" customHeight="1" s="110">
      <c r="A30" s="109" t="inlineStr">
        <is>
          <t>PD-01</t>
        </is>
      </c>
      <c r="B30" s="109" t="inlineStr">
        <is>
          <t>OT endpoint / controller replacement</t>
        </is>
      </c>
      <c r="C30" s="109" t="inlineStr">
        <is>
          <t>Physical damage costs</t>
        </is>
      </c>
      <c r="D30" s="147" t="n">
        <v>1</v>
      </c>
      <c r="E30" s="147" t="n">
        <v>1</v>
      </c>
      <c r="F30" s="147" t="n">
        <v>1</v>
      </c>
      <c r="G30" s="147" t="n">
        <v>1</v>
      </c>
      <c r="H30" s="147" t="n">
        <v>1</v>
      </c>
      <c r="I30" s="147" t="inlineStr">
        <is>
          <t>D</t>
        </is>
      </c>
      <c r="J30" s="147" t="inlineStr">
        <is>
          <t>SRC-OT-01</t>
        </is>
      </c>
    </row>
    <row r="31" ht="15" customHeight="1" s="110">
      <c r="A31" s="109" t="inlineStr">
        <is>
          <t>PD-02</t>
        </is>
      </c>
      <c r="B31" s="109" t="inlineStr">
        <is>
          <t>OT server / engineering-system replacement</t>
        </is>
      </c>
      <c r="C31" s="109" t="inlineStr">
        <is>
          <t>Physical damage costs</t>
        </is>
      </c>
      <c r="D31" s="147" t="n">
        <v>1</v>
      </c>
      <c r="E31" s="147" t="n">
        <v>1</v>
      </c>
      <c r="F31" s="147" t="n">
        <v>1</v>
      </c>
      <c r="G31" s="147" t="n">
        <v>1</v>
      </c>
      <c r="H31" s="147" t="n">
        <v>1</v>
      </c>
      <c r="I31" s="147" t="inlineStr">
        <is>
          <t>D</t>
        </is>
      </c>
      <c r="J31" s="147" t="inlineStr">
        <is>
          <t>SRC-OT-01</t>
        </is>
      </c>
    </row>
    <row r="32" ht="15" customHeight="1" s="110">
      <c r="A32" s="109" t="inlineStr">
        <is>
          <t>PD-03</t>
        </is>
      </c>
      <c r="B32" s="109" t="inlineStr">
        <is>
          <t>Major equipment / physical damage</t>
        </is>
      </c>
      <c r="C32" s="109" t="inlineStr">
        <is>
          <t>Physical damage costs</t>
        </is>
      </c>
      <c r="D32" s="147" t="n">
        <v>0</v>
      </c>
      <c r="E32" s="147" t="n">
        <v>0</v>
      </c>
      <c r="F32" s="147" t="n">
        <v>1</v>
      </c>
      <c r="G32" s="147" t="n">
        <v>1</v>
      </c>
      <c r="H32" s="147" t="n">
        <v>1</v>
      </c>
      <c r="I32" s="147" t="inlineStr">
        <is>
          <t>D</t>
        </is>
      </c>
      <c r="J32" s="147" t="inlineStr">
        <is>
          <t>SRC-OT-01</t>
        </is>
      </c>
    </row>
    <row r="33" ht="15" customHeight="1" s="110">
      <c r="A33" s="109" t="inlineStr">
        <is>
          <t>IN-01</t>
        </is>
      </c>
      <c r="B33" s="109" t="inlineStr">
        <is>
          <t>Post-event security uplift</t>
        </is>
      </c>
      <c r="C33" s="109" t="inlineStr">
        <is>
          <t>Indirect losses</t>
        </is>
      </c>
      <c r="D33" s="147" t="n">
        <v>1</v>
      </c>
      <c r="E33" s="147" t="n">
        <v>1</v>
      </c>
      <c r="F33" s="147" t="n">
        <v>1</v>
      </c>
      <c r="G33" s="147" t="n">
        <v>1</v>
      </c>
      <c r="H33" s="147" t="n">
        <v>1</v>
      </c>
      <c r="I33" s="147" t="inlineStr">
        <is>
          <t>D</t>
        </is>
      </c>
      <c r="J33" s="147" t="inlineStr">
        <is>
          <t>SRC-OT-01</t>
        </is>
      </c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M1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39" activeCellId="0" sqref="H39"/>
    </sheetView>
  </sheetViews>
  <sheetFormatPr baseColWidth="8" defaultColWidth="8.58984375" defaultRowHeight="15" customHeight="0" zeroHeight="0" outlineLevelRow="0"/>
  <cols>
    <col width="28" customWidth="1" style="109" min="1" max="1"/>
    <col width="27.78" customWidth="1" style="109" min="2" max="2"/>
    <col width="7.22" customWidth="1" style="109" min="3" max="3"/>
    <col width="28.89" customWidth="1" style="109" min="4" max="4"/>
    <col width="36.67" customWidth="1" style="109" min="5" max="5"/>
    <col width="41.24" customWidth="1" style="109" min="6" max="7"/>
    <col width="93.45" customWidth="1" style="109" min="8" max="8"/>
    <col width="41.24" customWidth="1" style="109" min="9" max="12"/>
    <col width="10.56" customWidth="1" style="109" min="13" max="13"/>
  </cols>
  <sheetData>
    <row r="1" ht="27" customHeight="1" s="110">
      <c r="A1" s="111" t="inlineStr">
        <is>
          <t>12 — ATT&amp;CK for ICS Catalogue</t>
        </is>
      </c>
    </row>
    <row r="2" ht="36" customHeight="1" s="110">
      <c r="A2" s="112" t="inlineStr">
        <is>
          <t>ATT&amp;CK for ICS techniques for this sector: default applicable Yes/No, facility gate, rationale and guidance URL.</t>
        </is>
      </c>
    </row>
    <row r="3" ht="48" customHeight="1" s="110">
      <c r="A3" s="126" t="inlineStr">
        <is>
          <t>How used in the model: Every governed TTP on OT CORE - Scenario-TTP Map must have a row. Applicability and gates feed OT path feasibility; missing rows fail closed.</t>
        </is>
      </c>
    </row>
    <row r="4" ht="15" customHeight="1" s="110">
      <c r="A4" s="113" t="inlineStr">
        <is>
          <t>SHEET TYPE: SECTOR PACK CALIBRATION - PACK OWNER ONLY</t>
        </is>
      </c>
    </row>
    <row r="15" ht="23.25" customHeight="1" s="110">
      <c r="A15" s="127" t="inlineStr">
        <is>
          <t>TTP ID</t>
        </is>
      </c>
      <c r="B15" s="128" t="inlineStr">
        <is>
          <t>Technique</t>
        </is>
      </c>
      <c r="C15" s="128" t="inlineStr">
        <is>
          <t>Stage</t>
        </is>
      </c>
      <c r="D15" s="128" t="inlineStr">
        <is>
          <t>Platforms</t>
        </is>
      </c>
      <c r="E15" s="128" t="inlineStr">
        <is>
          <t>MITRE URL</t>
        </is>
      </c>
      <c r="F15" s="128" t="inlineStr">
        <is>
          <t>Default applicable?</t>
        </is>
      </c>
      <c r="G15" s="128" t="inlineStr">
        <is>
          <t>Facility gate</t>
        </is>
      </c>
      <c r="H15" s="128" t="inlineStr">
        <is>
          <t>Rationale</t>
        </is>
      </c>
      <c r="I15" s="128" t="inlineStr">
        <is>
          <t>Sector guidance URL</t>
        </is>
      </c>
      <c r="J15" s="128" t="inlineStr">
        <is>
          <t>Calibration status</t>
        </is>
      </c>
      <c r="K15" s="128" t="inlineStr">
        <is>
          <t>Evidence grade</t>
        </is>
      </c>
      <c r="L15" s="128" t="inlineStr">
        <is>
          <t>Source ID</t>
        </is>
      </c>
      <c r="M15" s="171" t="inlineStr">
        <is>
          <t>SC_FRAUD</t>
        </is>
      </c>
    </row>
    <row r="16" ht="34.85" customHeight="1" s="110">
      <c r="A16" s="117" t="inlineStr">
        <is>
          <t>T0800</t>
        </is>
      </c>
      <c r="B16" s="118" t="inlineStr">
        <is>
          <t>Activate Firmware Update Mode</t>
        </is>
      </c>
      <c r="C16" s="118" t="inlineStr">
        <is>
          <t>S5</t>
        </is>
      </c>
      <c r="D16" s="118" t="inlineStr">
        <is>
          <t>All registered asset types; actual architecture/platform evidence overrides</t>
        </is>
      </c>
      <c r="E16" s="118" t="inlineStr">
        <is>
          <t>https://attack.mitre.org/techniques/T0800</t>
        </is>
      </c>
      <c r="F16" s="131" t="inlineStr">
        <is>
          <t>Yes</t>
        </is>
      </c>
      <c r="G16" s="175" t="inlineStr">
        <is>
          <t>No explicit facility gate — defaults feasible</t>
        </is>
      </c>
      <c r="H16" s="175" t="inlineStr">
        <is>
          <t>Activate Firmware Update Mode is an ATT&amp;CK for ICS impact or response-inhibition technique that can support one or more governed adverse scenarios; scenario role remains controlled on 09.</t>
        </is>
      </c>
      <c r="I16" s="175" t="inlineStr">
        <is>
          <t>https://csrc.nist.gov/pubs/sp/800/82/r3/final</t>
        </is>
      </c>
      <c r="J16" s="175" t="inlineStr">
        <is>
          <t>Reference mapping</t>
        </is>
      </c>
      <c r="K16" s="131" t="inlineStr">
        <is>
          <t>D</t>
        </is>
      </c>
      <c r="L16" s="131" t="inlineStr">
        <is>
          <t>SRC-OT-01</t>
        </is>
      </c>
      <c r="M16" s="205" t="n"/>
    </row>
    <row r="17" ht="34.85" customHeight="1" s="110">
      <c r="A17" s="120" t="inlineStr">
        <is>
          <t>T0801</t>
        </is>
      </c>
      <c r="B17" s="121" t="inlineStr">
        <is>
          <t>Monitor Process State</t>
        </is>
      </c>
      <c r="C17" s="121" t="inlineStr">
        <is>
          <t>S4</t>
        </is>
      </c>
      <c r="D17" s="121" t="inlineStr">
        <is>
          <t>All registered asset types; actual architecture/platform evidence overrides</t>
        </is>
      </c>
      <c r="E17" s="121" t="inlineStr">
        <is>
          <t>https://attack.mitre.org/techniques/T0801</t>
        </is>
      </c>
      <c r="F17" s="134" t="inlineStr">
        <is>
          <t>Yes</t>
        </is>
      </c>
      <c r="G17" s="176" t="inlineStr">
        <is>
          <t>No explicit facility gate — defaults feasible</t>
        </is>
      </c>
      <c r="H17" s="176" t="inlineStr">
        <is>
          <t>Monitor Process State can support discovery or interaction with process state, control assets and operational data in Power Generation environments.</t>
        </is>
      </c>
      <c r="I17" s="176" t="inlineStr">
        <is>
          <t>https://csrc.nist.gov/pubs/sp/800/82/r3/final</t>
        </is>
      </c>
      <c r="J17" s="176" t="inlineStr">
        <is>
          <t>Reference mapping</t>
        </is>
      </c>
      <c r="K17" s="134" t="inlineStr">
        <is>
          <t>D</t>
        </is>
      </c>
      <c r="L17" s="134" t="inlineStr">
        <is>
          <t>SRC-OT-01</t>
        </is>
      </c>
      <c r="M17" s="206" t="n"/>
    </row>
    <row r="18" ht="34.85" customHeight="1" s="110">
      <c r="A18" s="120" t="inlineStr">
        <is>
          <t>T0802</t>
        </is>
      </c>
      <c r="B18" s="121" t="inlineStr">
        <is>
          <t>Automated Collection</t>
        </is>
      </c>
      <c r="C18" s="121" t="inlineStr">
        <is>
          <t>S4</t>
        </is>
      </c>
      <c r="D18" s="121" t="inlineStr">
        <is>
          <t>All registered asset types; actual architecture/platform evidence overrides</t>
        </is>
      </c>
      <c r="E18" s="121" t="inlineStr">
        <is>
          <t>https://attack.mitre.org/techniques/T0802</t>
        </is>
      </c>
      <c r="F18" s="134" t="inlineStr">
        <is>
          <t>Yes</t>
        </is>
      </c>
      <c r="G18" s="176" t="inlineStr">
        <is>
          <t>No explicit facility gate — defaults feasible</t>
        </is>
      </c>
      <c r="H18" s="176" t="inlineStr">
        <is>
          <t>Automated Collection can support discovery or interaction with process state, control assets and operational data in Power Generation environments.</t>
        </is>
      </c>
      <c r="I18" s="176" t="inlineStr">
        <is>
          <t>https://csrc.nist.gov/pubs/sp/800/82/r3/final</t>
        </is>
      </c>
      <c r="J18" s="176" t="inlineStr">
        <is>
          <t>Reference mapping</t>
        </is>
      </c>
      <c r="K18" s="134" t="inlineStr">
        <is>
          <t>D</t>
        </is>
      </c>
      <c r="L18" s="134" t="inlineStr">
        <is>
          <t>SRC-OT-01</t>
        </is>
      </c>
      <c r="M18" s="206" t="n"/>
    </row>
    <row r="19" ht="34.85" customHeight="1" s="110">
      <c r="A19" s="120" t="inlineStr">
        <is>
          <t>T0806</t>
        </is>
      </c>
      <c r="B19" s="121" t="inlineStr">
        <is>
          <t>Brute Force I/O</t>
        </is>
      </c>
      <c r="C19" s="121" t="inlineStr">
        <is>
          <t>S5</t>
        </is>
      </c>
      <c r="D19" s="121" t="inlineStr">
        <is>
          <t>All registered asset types; actual architecture/platform evidence overrides</t>
        </is>
      </c>
      <c r="E19" s="121" t="inlineStr">
        <is>
          <t>https://attack.mitre.org/techniques/T0806</t>
        </is>
      </c>
      <c r="F19" s="134" t="inlineStr">
        <is>
          <t>Yes</t>
        </is>
      </c>
      <c r="G19" s="176" t="inlineStr">
        <is>
          <t>No explicit facility gate — defaults feasible</t>
        </is>
      </c>
      <c r="H19" s="176" t="inlineStr">
        <is>
          <t>Brute Force I/O is an ATT&amp;CK for ICS impact or response-inhibition technique that can support one or more governed adverse scenarios; scenario role remains controlled on 09.</t>
        </is>
      </c>
      <c r="I19" s="176" t="inlineStr">
        <is>
          <t>https://csrc.nist.gov/pubs/sp/800/82/r3/final</t>
        </is>
      </c>
      <c r="J19" s="176" t="inlineStr">
        <is>
          <t>Reference mapping</t>
        </is>
      </c>
      <c r="K19" s="134" t="inlineStr">
        <is>
          <t>D</t>
        </is>
      </c>
      <c r="L19" s="134" t="inlineStr">
        <is>
          <t>SRC-OT-01</t>
        </is>
      </c>
      <c r="M19" s="206" t="n"/>
    </row>
    <row r="20" ht="34.85" customHeight="1" s="110">
      <c r="A20" s="120" t="inlineStr">
        <is>
          <t>T0807</t>
        </is>
      </c>
      <c r="B20" s="121" t="inlineStr">
        <is>
          <t>Command-Line Interface</t>
        </is>
      </c>
      <c r="C20" s="121" t="inlineStr">
        <is>
          <t>S2</t>
        </is>
      </c>
      <c r="D20" s="121" t="inlineStr">
        <is>
          <t>All registered asset types; actual architecture/platform evidence overrides</t>
        </is>
      </c>
      <c r="E20" s="121" t="inlineStr">
        <is>
          <t>https://attack.mitre.org/techniques/T0807</t>
        </is>
      </c>
      <c r="F20" s="134" t="inlineStr">
        <is>
          <t>Yes</t>
        </is>
      </c>
      <c r="G20" s="176" t="inlineStr">
        <is>
          <t>No explicit facility gate — defaults feasible</t>
        </is>
      </c>
      <c r="H20" s="176" t="inlineStr">
        <is>
          <t>Command-Line Interface is applicable to execution or persistence on engineering workstations, HMIs, servers or controllers used in Power Generation facilities.</t>
        </is>
      </c>
      <c r="I20" s="176" t="inlineStr">
        <is>
          <t>https://csrc.nist.gov/pubs/sp/800/82/r3/final</t>
        </is>
      </c>
      <c r="J20" s="176" t="inlineStr">
        <is>
          <t>Reference mapping</t>
        </is>
      </c>
      <c r="K20" s="134" t="inlineStr">
        <is>
          <t>D</t>
        </is>
      </c>
      <c r="L20" s="134" t="inlineStr">
        <is>
          <t>SRC-OT-01</t>
        </is>
      </c>
      <c r="M20" s="206" t="n"/>
    </row>
    <row r="21" ht="34.85" customHeight="1" s="110">
      <c r="A21" s="120" t="inlineStr">
        <is>
          <t>T0809</t>
        </is>
      </c>
      <c r="B21" s="121" t="inlineStr">
        <is>
          <t>Data Destruction</t>
        </is>
      </c>
      <c r="C21" s="121" t="inlineStr">
        <is>
          <t>S5</t>
        </is>
      </c>
      <c r="D21" s="121" t="inlineStr">
        <is>
          <t>All registered asset types; actual architecture/platform evidence overrides</t>
        </is>
      </c>
      <c r="E21" s="121" t="inlineStr">
        <is>
          <t>https://attack.mitre.org/techniques/T0809</t>
        </is>
      </c>
      <c r="F21" s="134" t="inlineStr">
        <is>
          <t>Yes</t>
        </is>
      </c>
      <c r="G21" s="176" t="inlineStr">
        <is>
          <t>No explicit facility gate — defaults feasible</t>
        </is>
      </c>
      <c r="H21" s="176" t="inlineStr">
        <is>
          <t>Data Destruction is an ATT&amp;CK for ICS impact or response-inhibition technique that can support one or more governed adverse scenarios; scenario role remains controlled on 09.</t>
        </is>
      </c>
      <c r="I21" s="176" t="inlineStr">
        <is>
          <t>https://csrc.nist.gov/pubs/sp/800/82/r3/final</t>
        </is>
      </c>
      <c r="J21" s="176" t="inlineStr">
        <is>
          <t>Reference mapping</t>
        </is>
      </c>
      <c r="K21" s="134" t="inlineStr">
        <is>
          <t>D</t>
        </is>
      </c>
      <c r="L21" s="134" t="inlineStr">
        <is>
          <t>SRC-OT-01</t>
        </is>
      </c>
      <c r="M21" s="206" t="n"/>
    </row>
    <row r="22" ht="34.85" customHeight="1" s="110">
      <c r="A22" s="120" t="inlineStr">
        <is>
          <t>T0811</t>
        </is>
      </c>
      <c r="B22" s="121" t="inlineStr">
        <is>
          <t>Data from Information Repositories</t>
        </is>
      </c>
      <c r="C22" s="121" t="inlineStr">
        <is>
          <t>S4</t>
        </is>
      </c>
      <c r="D22" s="121" t="inlineStr">
        <is>
          <t>All registered asset types; actual architecture/platform evidence overrides</t>
        </is>
      </c>
      <c r="E22" s="121" t="inlineStr">
        <is>
          <t>https://attack.mitre.org/techniques/T0811</t>
        </is>
      </c>
      <c r="F22" s="134" t="inlineStr">
        <is>
          <t>Yes</t>
        </is>
      </c>
      <c r="G22" s="176" t="inlineStr">
        <is>
          <t>No explicit facility gate — defaults feasible</t>
        </is>
      </c>
      <c r="H22" s="176" t="inlineStr">
        <is>
          <t>Data from Information Repositories can support discovery or interaction with process state, control assets and operational data in Power Generation environments.</t>
        </is>
      </c>
      <c r="I22" s="176" t="inlineStr">
        <is>
          <t>https://csrc.nist.gov/pubs/sp/800/82/r3/final</t>
        </is>
      </c>
      <c r="J22" s="176" t="inlineStr">
        <is>
          <t>Reference mapping</t>
        </is>
      </c>
      <c r="K22" s="134" t="inlineStr">
        <is>
          <t>D</t>
        </is>
      </c>
      <c r="L22" s="134" t="inlineStr">
        <is>
          <t>SRC-OT-01</t>
        </is>
      </c>
      <c r="M22" s="206" t="n"/>
    </row>
    <row r="23" ht="34.85" customHeight="1" s="110">
      <c r="A23" s="120" t="inlineStr">
        <is>
          <t>T0813</t>
        </is>
      </c>
      <c r="B23" s="121" t="inlineStr">
        <is>
          <t>Denial of Control</t>
        </is>
      </c>
      <c r="C23" s="121" t="inlineStr">
        <is>
          <t>S5</t>
        </is>
      </c>
      <c r="D23" s="121" t="inlineStr">
        <is>
          <t>All registered asset types; actual architecture/platform evidence overrides</t>
        </is>
      </c>
      <c r="E23" s="121" t="inlineStr">
        <is>
          <t>https://attack.mitre.org/techniques/T0813</t>
        </is>
      </c>
      <c r="F23" s="134" t="inlineStr">
        <is>
          <t>Yes</t>
        </is>
      </c>
      <c r="G23" s="176" t="inlineStr">
        <is>
          <t>No explicit facility gate — defaults feasible</t>
        </is>
      </c>
      <c r="H23" s="176" t="inlineStr">
        <is>
          <t>Denial of Control is an ATT&amp;CK for ICS impact or response-inhibition technique that can support one or more governed adverse scenarios; scenario role remains controlled on 09.</t>
        </is>
      </c>
      <c r="I23" s="176" t="inlineStr">
        <is>
          <t>https://csrc.nist.gov/pubs/sp/800/82/r3/final</t>
        </is>
      </c>
      <c r="J23" s="176" t="inlineStr">
        <is>
          <t>Reference mapping</t>
        </is>
      </c>
      <c r="K23" s="134" t="inlineStr">
        <is>
          <t>D</t>
        </is>
      </c>
      <c r="L23" s="134" t="inlineStr">
        <is>
          <t>SRC-OT-01</t>
        </is>
      </c>
      <c r="M23" s="206" t="n"/>
    </row>
    <row r="24" ht="34.85" customHeight="1" s="110">
      <c r="A24" s="120" t="inlineStr">
        <is>
          <t>T0814</t>
        </is>
      </c>
      <c r="B24" s="121" t="inlineStr">
        <is>
          <t>Denial of Service</t>
        </is>
      </c>
      <c r="C24" s="121" t="inlineStr">
        <is>
          <t>S5</t>
        </is>
      </c>
      <c r="D24" s="121" t="inlineStr">
        <is>
          <t>All registered asset types; actual architecture/platform evidence overrides</t>
        </is>
      </c>
      <c r="E24" s="121" t="inlineStr">
        <is>
          <t>https://attack.mitre.org/techniques/T0814</t>
        </is>
      </c>
      <c r="F24" s="134" t="inlineStr">
        <is>
          <t>Yes</t>
        </is>
      </c>
      <c r="G24" s="176" t="inlineStr">
        <is>
          <t>No explicit facility gate — defaults feasible</t>
        </is>
      </c>
      <c r="H24" s="176" t="inlineStr">
        <is>
          <t>Denial of Service is an ATT&amp;CK for ICS impact or response-inhibition technique that can support one or more governed adverse scenarios; scenario role remains controlled on 09.</t>
        </is>
      </c>
      <c r="I24" s="176" t="inlineStr">
        <is>
          <t>https://csrc.nist.gov/pubs/sp/800/82/r3/final</t>
        </is>
      </c>
      <c r="J24" s="176" t="inlineStr">
        <is>
          <t>Reference mapping</t>
        </is>
      </c>
      <c r="K24" s="134" t="inlineStr">
        <is>
          <t>D</t>
        </is>
      </c>
      <c r="L24" s="134" t="inlineStr">
        <is>
          <t>SRC-OT-01</t>
        </is>
      </c>
      <c r="M24" s="206" t="n"/>
    </row>
    <row r="25" ht="34.85" customHeight="1" s="110">
      <c r="A25" s="120" t="inlineStr">
        <is>
          <t>T0815</t>
        </is>
      </c>
      <c r="B25" s="121" t="inlineStr">
        <is>
          <t>Denial of View</t>
        </is>
      </c>
      <c r="C25" s="121" t="inlineStr">
        <is>
          <t>S5</t>
        </is>
      </c>
      <c r="D25" s="121" t="inlineStr">
        <is>
          <t>All registered asset types; actual architecture/platform evidence overrides</t>
        </is>
      </c>
      <c r="E25" s="121" t="inlineStr">
        <is>
          <t>https://attack.mitre.org/techniques/T0815</t>
        </is>
      </c>
      <c r="F25" s="134" t="inlineStr">
        <is>
          <t>Yes</t>
        </is>
      </c>
      <c r="G25" s="176" t="inlineStr">
        <is>
          <t>No explicit facility gate — defaults feasible</t>
        </is>
      </c>
      <c r="H25" s="176" t="inlineStr">
        <is>
          <t>Denial of View is an ATT&amp;CK for ICS impact or response-inhibition technique that can support one or more governed adverse scenarios; scenario role remains controlled on 09.</t>
        </is>
      </c>
      <c r="I25" s="176" t="inlineStr">
        <is>
          <t>https://csrc.nist.gov/pubs/sp/800/82/r3/final</t>
        </is>
      </c>
      <c r="J25" s="176" t="inlineStr">
        <is>
          <t>Reference mapping</t>
        </is>
      </c>
      <c r="K25" s="134" t="inlineStr">
        <is>
          <t>D</t>
        </is>
      </c>
      <c r="L25" s="134" t="inlineStr">
        <is>
          <t>SRC-OT-01</t>
        </is>
      </c>
      <c r="M25" s="206" t="n"/>
    </row>
    <row r="26" ht="34.85" customHeight="1" s="110">
      <c r="A26" s="120" t="inlineStr">
        <is>
          <t>T0816</t>
        </is>
      </c>
      <c r="B26" s="121" t="inlineStr">
        <is>
          <t>Device Restart/Shutdown</t>
        </is>
      </c>
      <c r="C26" s="121" t="inlineStr">
        <is>
          <t>S5</t>
        </is>
      </c>
      <c r="D26" s="121" t="inlineStr">
        <is>
          <t>All registered asset types; actual architecture/platform evidence overrides</t>
        </is>
      </c>
      <c r="E26" s="121" t="inlineStr">
        <is>
          <t>https://attack.mitre.org/techniques/T0816</t>
        </is>
      </c>
      <c r="F26" s="134" t="inlineStr">
        <is>
          <t>Yes</t>
        </is>
      </c>
      <c r="G26" s="176" t="inlineStr">
        <is>
          <t>No explicit facility gate — defaults feasible</t>
        </is>
      </c>
      <c r="H26" s="176" t="inlineStr">
        <is>
          <t>Device Restart/Shutdown is an ATT&amp;CK for ICS impact or response-inhibition technique that can support one or more governed adverse scenarios; scenario role remains controlled on 09.</t>
        </is>
      </c>
      <c r="I26" s="176" t="inlineStr">
        <is>
          <t>https://csrc.nist.gov/pubs/sp/800/82/r3/final</t>
        </is>
      </c>
      <c r="J26" s="176" t="inlineStr">
        <is>
          <t>Reference mapping</t>
        </is>
      </c>
      <c r="K26" s="134" t="inlineStr">
        <is>
          <t>D</t>
        </is>
      </c>
      <c r="L26" s="134" t="inlineStr">
        <is>
          <t>SRC-OT-01</t>
        </is>
      </c>
      <c r="M26" s="206" t="n"/>
    </row>
    <row r="27" ht="34.85" customHeight="1" s="110">
      <c r="A27" s="120" t="inlineStr">
        <is>
          <t>T0817</t>
        </is>
      </c>
      <c r="B27" s="121" t="inlineStr">
        <is>
          <t>Drive-by Compromise</t>
        </is>
      </c>
      <c r="C27" s="121" t="inlineStr">
        <is>
          <t>S1</t>
        </is>
      </c>
      <c r="D27" s="121" t="inlineStr">
        <is>
          <t>All registered asset types; actual architecture/platform evidence overrides</t>
        </is>
      </c>
      <c r="E27" s="121" t="inlineStr">
        <is>
          <t>https://attack.mitre.org/techniques/T0817</t>
        </is>
      </c>
      <c r="F27" s="134" t="inlineStr">
        <is>
          <t>Yes</t>
        </is>
      </c>
      <c r="G27" s="176" t="inlineStr">
        <is>
          <t>No explicit facility gate — defaults feasible</t>
        </is>
      </c>
      <c r="H27" s="176" t="inlineStr">
        <is>
          <t>The Drive-by Compromise route is credible for Power Generation OT when the enabling access condition exists; existing facility gates determine remote, internet, transient, supply-chain or wireless feasibility.</t>
        </is>
      </c>
      <c r="I27" s="176" t="inlineStr">
        <is>
          <t>https://csrc.nist.gov/pubs/sp/800/82/r3/final</t>
        </is>
      </c>
      <c r="J27" s="176" t="inlineStr">
        <is>
          <t>Reference mapping</t>
        </is>
      </c>
      <c r="K27" s="134" t="inlineStr">
        <is>
          <t>D</t>
        </is>
      </c>
      <c r="L27" s="134" t="inlineStr">
        <is>
          <t>SRC-OT-01</t>
        </is>
      </c>
      <c r="M27" s="206" t="n"/>
    </row>
    <row r="28" ht="34.85" customHeight="1" s="110">
      <c r="A28" s="120" t="inlineStr">
        <is>
          <t>T0819</t>
        </is>
      </c>
      <c r="B28" s="121" t="inlineStr">
        <is>
          <t>Exploit Public-Facing Application</t>
        </is>
      </c>
      <c r="C28" s="121" t="inlineStr">
        <is>
          <t>S1</t>
        </is>
      </c>
      <c r="D28" s="121" t="inlineStr">
        <is>
          <t>All registered asset types; actual architecture/platform evidence overrides</t>
        </is>
      </c>
      <c r="E28" s="121" t="inlineStr">
        <is>
          <t>https://attack.mitre.org/techniques/T0819</t>
        </is>
      </c>
      <c r="F28" s="134" t="inlineStr">
        <is>
          <t>Yes</t>
        </is>
      </c>
      <c r="G28" s="176" t="inlineStr">
        <is>
          <t>No explicit facility gate — defaults feasible</t>
        </is>
      </c>
      <c r="H28" s="176" t="inlineStr">
        <is>
          <t>The Exploit Public-Facing Application route is credible for Power Generation OT when the enabling access condition exists; existing facility gates determine remote, internet, transient, supply-chain or wireless feasibility.</t>
        </is>
      </c>
      <c r="I28" s="176" t="inlineStr">
        <is>
          <t>https://csrc.nist.gov/pubs/sp/800/82/r3/final</t>
        </is>
      </c>
      <c r="J28" s="176" t="inlineStr">
        <is>
          <t>Reference mapping</t>
        </is>
      </c>
      <c r="K28" s="134" t="inlineStr">
        <is>
          <t>D</t>
        </is>
      </c>
      <c r="L28" s="134" t="inlineStr">
        <is>
          <t>SRC-OT-01</t>
        </is>
      </c>
      <c r="M28" s="206" t="n"/>
    </row>
    <row r="29" ht="34.85" customHeight="1" s="110">
      <c r="A29" s="120" t="inlineStr">
        <is>
          <t>T0820</t>
        </is>
      </c>
      <c r="B29" s="121" t="inlineStr">
        <is>
          <t>Exploitation for Evasion</t>
        </is>
      </c>
      <c r="C29" s="121" t="inlineStr">
        <is>
          <t>S2</t>
        </is>
      </c>
      <c r="D29" s="121" t="inlineStr">
        <is>
          <t>All registered asset types; actual architecture/platform evidence overrides</t>
        </is>
      </c>
      <c r="E29" s="121" t="inlineStr">
        <is>
          <t>https://attack.mitre.org/techniques/T0820</t>
        </is>
      </c>
      <c r="F29" s="134" t="inlineStr">
        <is>
          <t>Yes</t>
        </is>
      </c>
      <c r="G29" s="176" t="inlineStr">
        <is>
          <t>No explicit facility gate — defaults feasible</t>
        </is>
      </c>
      <c r="H29" s="176" t="inlineStr">
        <is>
          <t>Exploitation for Evasion is applicable to execution or persistence on engineering workstations, HMIs, servers or controllers used in Power Generation facilities.</t>
        </is>
      </c>
      <c r="I29" s="176" t="inlineStr">
        <is>
          <t>https://csrc.nist.gov/pubs/sp/800/82/r3/final</t>
        </is>
      </c>
      <c r="J29" s="176" t="inlineStr">
        <is>
          <t>Reference mapping</t>
        </is>
      </c>
      <c r="K29" s="134" t="inlineStr">
        <is>
          <t>D</t>
        </is>
      </c>
      <c r="L29" s="134" t="inlineStr">
        <is>
          <t>SRC-OT-01</t>
        </is>
      </c>
      <c r="M29" s="206" t="n"/>
    </row>
    <row r="30" ht="34.85" customHeight="1" s="110">
      <c r="A30" s="120" t="inlineStr">
        <is>
          <t>T0821</t>
        </is>
      </c>
      <c r="B30" s="121" t="inlineStr">
        <is>
          <t>Modify Controller Tasking</t>
        </is>
      </c>
      <c r="C30" s="121" t="inlineStr">
        <is>
          <t>S2</t>
        </is>
      </c>
      <c r="D30" s="121" t="inlineStr">
        <is>
          <t>All registered asset types; actual architecture/platform evidence overrides</t>
        </is>
      </c>
      <c r="E30" s="121" t="inlineStr">
        <is>
          <t>https://attack.mitre.org/techniques/T0821</t>
        </is>
      </c>
      <c r="F30" s="134" t="inlineStr">
        <is>
          <t>Yes</t>
        </is>
      </c>
      <c r="G30" s="176" t="inlineStr">
        <is>
          <t>No explicit facility gate — defaults feasible</t>
        </is>
      </c>
      <c r="H30" s="176" t="inlineStr">
        <is>
          <t>Modify Controller Tasking is applicable to execution or persistence on engineering workstations, HMIs, servers or controllers used in Power Generation facilities.</t>
        </is>
      </c>
      <c r="I30" s="176" t="inlineStr">
        <is>
          <t>https://csrc.nist.gov/pubs/sp/800/82/r3/final</t>
        </is>
      </c>
      <c r="J30" s="176" t="inlineStr">
        <is>
          <t>Reference mapping</t>
        </is>
      </c>
      <c r="K30" s="134" t="inlineStr">
        <is>
          <t>D</t>
        </is>
      </c>
      <c r="L30" s="134" t="inlineStr">
        <is>
          <t>SRC-OT-01</t>
        </is>
      </c>
      <c r="M30" s="206" t="n"/>
    </row>
    <row r="31" ht="34.85" customHeight="1" s="110">
      <c r="A31" s="120" t="inlineStr">
        <is>
          <t>T0822</t>
        </is>
      </c>
      <c r="B31" s="121" t="inlineStr">
        <is>
          <t>External Remote Services</t>
        </is>
      </c>
      <c r="C31" s="121" t="inlineStr">
        <is>
          <t>S1</t>
        </is>
      </c>
      <c r="D31" s="121" t="inlineStr">
        <is>
          <t>All registered asset types; actual architecture/platform evidence overrides</t>
        </is>
      </c>
      <c r="E31" s="121" t="inlineStr">
        <is>
          <t>https://attack.mitre.org/techniques/T0822</t>
        </is>
      </c>
      <c r="F31" s="134" t="inlineStr">
        <is>
          <t>Yes</t>
        </is>
      </c>
      <c r="G31" s="176" t="inlineStr">
        <is>
          <t>REMOTE_REQUIRED — Not None</t>
        </is>
      </c>
      <c r="H31" s="176" t="inlineStr">
        <is>
          <t>The External Remote Services route is credible for Power Generation OT when the enabling access condition exists; existing facility gates determine remote, internet, transient, supply-chain or wireless feasibility.</t>
        </is>
      </c>
      <c r="I31" s="176" t="inlineStr">
        <is>
          <t>https://csrc.nist.gov/pubs/sp/800/82/r3/final</t>
        </is>
      </c>
      <c r="J31" s="176" t="inlineStr">
        <is>
          <t>Reference mapping</t>
        </is>
      </c>
      <c r="K31" s="134" t="inlineStr">
        <is>
          <t>D</t>
        </is>
      </c>
      <c r="L31" s="134" t="inlineStr">
        <is>
          <t>SRC-OT-01</t>
        </is>
      </c>
      <c r="M31" s="206" t="n"/>
    </row>
    <row r="32" ht="34.85" customHeight="1" s="110">
      <c r="A32" s="120" t="inlineStr">
        <is>
          <t>T0823</t>
        </is>
      </c>
      <c r="B32" s="121" t="inlineStr">
        <is>
          <t>Graphical User Interface</t>
        </is>
      </c>
      <c r="C32" s="121" t="inlineStr">
        <is>
          <t>S2</t>
        </is>
      </c>
      <c r="D32" s="121" t="inlineStr">
        <is>
          <t>All registered asset types; actual architecture/platform evidence overrides</t>
        </is>
      </c>
      <c r="E32" s="121" t="inlineStr">
        <is>
          <t>https://attack.mitre.org/techniques/T0823</t>
        </is>
      </c>
      <c r="F32" s="134" t="inlineStr">
        <is>
          <t>Yes</t>
        </is>
      </c>
      <c r="G32" s="176" t="inlineStr">
        <is>
          <t>No explicit facility gate — defaults feasible</t>
        </is>
      </c>
      <c r="H32" s="176" t="inlineStr">
        <is>
          <t>Graphical User Interface is applicable to execution or persistence on engineering workstations, HMIs, servers or controllers used in Power Generation facilities.</t>
        </is>
      </c>
      <c r="I32" s="176" t="inlineStr">
        <is>
          <t>https://csrc.nist.gov/pubs/sp/800/82/r3/final</t>
        </is>
      </c>
      <c r="J32" s="176" t="inlineStr">
        <is>
          <t>Reference mapping</t>
        </is>
      </c>
      <c r="K32" s="134" t="inlineStr">
        <is>
          <t>D</t>
        </is>
      </c>
      <c r="L32" s="134" t="inlineStr">
        <is>
          <t>SRC-OT-01</t>
        </is>
      </c>
      <c r="M32" s="206" t="n"/>
    </row>
    <row r="33" ht="34.85" customHeight="1" s="110">
      <c r="A33" s="120" t="inlineStr">
        <is>
          <t>T0826</t>
        </is>
      </c>
      <c r="B33" s="121" t="inlineStr">
        <is>
          <t>Loss of Availability</t>
        </is>
      </c>
      <c r="C33" s="121" t="inlineStr">
        <is>
          <t>S5</t>
        </is>
      </c>
      <c r="D33" s="121" t="inlineStr">
        <is>
          <t>All registered asset types; actual architecture/platform evidence overrides</t>
        </is>
      </c>
      <c r="E33" s="121" t="inlineStr">
        <is>
          <t>https://attack.mitre.org/techniques/T0826</t>
        </is>
      </c>
      <c r="F33" s="134" t="inlineStr">
        <is>
          <t>Yes</t>
        </is>
      </c>
      <c r="G33" s="176" t="inlineStr">
        <is>
          <t>No explicit facility gate — defaults feasible</t>
        </is>
      </c>
      <c r="H33" s="176" t="inlineStr">
        <is>
          <t>Loss of Availability is an ATT&amp;CK for ICS impact or response-inhibition technique that can support one or more governed adverse scenarios; scenario role remains controlled on 09.</t>
        </is>
      </c>
      <c r="I33" s="176" t="inlineStr">
        <is>
          <t>https://csrc.nist.gov/pubs/sp/800/82/r3/final</t>
        </is>
      </c>
      <c r="J33" s="176" t="inlineStr">
        <is>
          <t>Reference mapping</t>
        </is>
      </c>
      <c r="K33" s="134" t="inlineStr">
        <is>
          <t>D</t>
        </is>
      </c>
      <c r="L33" s="134" t="inlineStr">
        <is>
          <t>SRC-OT-01</t>
        </is>
      </c>
      <c r="M33" s="206" t="n"/>
    </row>
    <row r="34" ht="34.85" customHeight="1" s="110">
      <c r="A34" s="120" t="inlineStr">
        <is>
          <t>T0827</t>
        </is>
      </c>
      <c r="B34" s="121" t="inlineStr">
        <is>
          <t>Loss of Control</t>
        </is>
      </c>
      <c r="C34" s="121" t="inlineStr">
        <is>
          <t>S5</t>
        </is>
      </c>
      <c r="D34" s="121" t="inlineStr">
        <is>
          <t>All registered asset types; actual architecture/platform evidence overrides</t>
        </is>
      </c>
      <c r="E34" s="121" t="inlineStr">
        <is>
          <t>https://attack.mitre.org/techniques/T0827</t>
        </is>
      </c>
      <c r="F34" s="134" t="inlineStr">
        <is>
          <t>Yes</t>
        </is>
      </c>
      <c r="G34" s="176" t="inlineStr">
        <is>
          <t>No explicit facility gate — defaults feasible</t>
        </is>
      </c>
      <c r="H34" s="176" t="inlineStr">
        <is>
          <t>Loss of Control is an ATT&amp;CK for ICS impact or response-inhibition technique that can support one or more governed adverse scenarios; scenario role remains controlled on 09.</t>
        </is>
      </c>
      <c r="I34" s="176" t="inlineStr">
        <is>
          <t>https://csrc.nist.gov/pubs/sp/800/82/r3/final</t>
        </is>
      </c>
      <c r="J34" s="176" t="inlineStr">
        <is>
          <t>Reference mapping</t>
        </is>
      </c>
      <c r="K34" s="134" t="inlineStr">
        <is>
          <t>D</t>
        </is>
      </c>
      <c r="L34" s="134" t="inlineStr">
        <is>
          <t>SRC-OT-01</t>
        </is>
      </c>
      <c r="M34" s="206" t="n"/>
    </row>
    <row r="35" ht="34.85" customHeight="1" s="110">
      <c r="A35" s="120" t="inlineStr">
        <is>
          <t>T0828</t>
        </is>
      </c>
      <c r="B35" s="121" t="inlineStr">
        <is>
          <t>Loss of Productivity and Revenue</t>
        </is>
      </c>
      <c r="C35" s="121" t="inlineStr">
        <is>
          <t>S5</t>
        </is>
      </c>
      <c r="D35" s="121" t="inlineStr">
        <is>
          <t>All registered asset types; actual architecture/platform evidence overrides</t>
        </is>
      </c>
      <c r="E35" s="121" t="inlineStr">
        <is>
          <t>https://attack.mitre.org/techniques/T0828</t>
        </is>
      </c>
      <c r="F35" s="134" t="inlineStr">
        <is>
          <t>Yes</t>
        </is>
      </c>
      <c r="G35" s="176" t="inlineStr">
        <is>
          <t>No explicit facility gate — defaults feasible</t>
        </is>
      </c>
      <c r="H35" s="176" t="inlineStr">
        <is>
          <t>Loss of Productivity and Revenue is an ATT&amp;CK for ICS impact or response-inhibition technique that can support one or more governed adverse scenarios; scenario role remains controlled on 09.</t>
        </is>
      </c>
      <c r="I35" s="176" t="inlineStr">
        <is>
          <t>https://csrc.nist.gov/pubs/sp/800/82/r3/final</t>
        </is>
      </c>
      <c r="J35" s="176" t="inlineStr">
        <is>
          <t>Reference mapping</t>
        </is>
      </c>
      <c r="K35" s="134" t="inlineStr">
        <is>
          <t>D</t>
        </is>
      </c>
      <c r="L35" s="134" t="inlineStr">
        <is>
          <t>SRC-OT-01</t>
        </is>
      </c>
      <c r="M35" s="206" t="n"/>
    </row>
    <row r="36" ht="34.85" customHeight="1" s="110">
      <c r="A36" s="120" t="inlineStr">
        <is>
          <t>T0829</t>
        </is>
      </c>
      <c r="B36" s="121" t="inlineStr">
        <is>
          <t>Loss of View</t>
        </is>
      </c>
      <c r="C36" s="121" t="inlineStr">
        <is>
          <t>S5</t>
        </is>
      </c>
      <c r="D36" s="121" t="inlineStr">
        <is>
          <t>All registered asset types; actual architecture/platform evidence overrides</t>
        </is>
      </c>
      <c r="E36" s="121" t="inlineStr">
        <is>
          <t>https://attack.mitre.org/techniques/T0829</t>
        </is>
      </c>
      <c r="F36" s="134" t="inlineStr">
        <is>
          <t>Yes</t>
        </is>
      </c>
      <c r="G36" s="176" t="inlineStr">
        <is>
          <t>No explicit facility gate — defaults feasible</t>
        </is>
      </c>
      <c r="H36" s="176" t="inlineStr">
        <is>
          <t>Loss of View is an ATT&amp;CK for ICS impact or response-inhibition technique that can support one or more governed adverse scenarios; scenario role remains controlled on 09.</t>
        </is>
      </c>
      <c r="I36" s="176" t="inlineStr">
        <is>
          <t>https://csrc.nist.gov/pubs/sp/800/82/r3/final</t>
        </is>
      </c>
      <c r="J36" s="176" t="inlineStr">
        <is>
          <t>Reference mapping</t>
        </is>
      </c>
      <c r="K36" s="134" t="inlineStr">
        <is>
          <t>D</t>
        </is>
      </c>
      <c r="L36" s="134" t="inlineStr">
        <is>
          <t>SRC-OT-01</t>
        </is>
      </c>
      <c r="M36" s="206" t="n"/>
    </row>
    <row r="37" ht="34.85" customHeight="1" s="110">
      <c r="A37" s="120" t="inlineStr">
        <is>
          <t>T0830</t>
        </is>
      </c>
      <c r="B37" s="121" t="inlineStr">
        <is>
          <t>Adversary-in-the-Middle</t>
        </is>
      </c>
      <c r="C37" s="121" t="inlineStr">
        <is>
          <t>S4</t>
        </is>
      </c>
      <c r="D37" s="121" t="inlineStr">
        <is>
          <t>All registered asset types; actual architecture/platform evidence overrides</t>
        </is>
      </c>
      <c r="E37" s="121" t="inlineStr">
        <is>
          <t>https://attack.mitre.org/techniques/T0830</t>
        </is>
      </c>
      <c r="F37" s="134" t="inlineStr">
        <is>
          <t>Yes</t>
        </is>
      </c>
      <c r="G37" s="176" t="inlineStr">
        <is>
          <t>No explicit facility gate — defaults feasible</t>
        </is>
      </c>
      <c r="H37" s="176" t="inlineStr">
        <is>
          <t>Adversary-in-the-Middle can support discovery or interaction with process state, control assets and operational data in Power Generation environments.</t>
        </is>
      </c>
      <c r="I37" s="176" t="inlineStr">
        <is>
          <t>https://csrc.nist.gov/pubs/sp/800/82/r3/final</t>
        </is>
      </c>
      <c r="J37" s="176" t="inlineStr">
        <is>
          <t>Reference mapping</t>
        </is>
      </c>
      <c r="K37" s="134" t="inlineStr">
        <is>
          <t>D</t>
        </is>
      </c>
      <c r="L37" s="134" t="inlineStr">
        <is>
          <t>SRC-OT-01</t>
        </is>
      </c>
      <c r="M37" s="206" t="n"/>
    </row>
    <row r="38" ht="34.85" customHeight="1" s="110">
      <c r="A38" s="123" t="inlineStr">
        <is>
          <t>T0831</t>
        </is>
      </c>
      <c r="B38" s="124" t="inlineStr">
        <is>
          <t>Manipulation of Control</t>
        </is>
      </c>
      <c r="C38" s="124" t="inlineStr">
        <is>
          <t>S5</t>
        </is>
      </c>
      <c r="D38" s="124" t="inlineStr">
        <is>
          <t>All registered asset types; actual architecture/platform evidence overrides</t>
        </is>
      </c>
      <c r="E38" s="124" t="inlineStr">
        <is>
          <t>https://attack.mitre.org/techniques/T0831</t>
        </is>
      </c>
      <c r="F38" s="202" t="inlineStr">
        <is>
          <t>Yes</t>
        </is>
      </c>
      <c r="G38" s="177" t="inlineStr">
        <is>
          <t>No explicit facility gate — defaults feasible</t>
        </is>
      </c>
      <c r="H38" s="177" t="inlineStr">
        <is>
          <t>Manipulation of Control is an ATT&amp;CK for ICS impact or response-inhibition technique that can support one or more governed adverse scenarios; scenario role remains controlled on 09.</t>
        </is>
      </c>
      <c r="I38" s="177" t="inlineStr">
        <is>
          <t>https://csrc.nist.gov/pubs/sp/800/82/r3/final</t>
        </is>
      </c>
      <c r="J38" s="177" t="inlineStr">
        <is>
          <t>Reference mapping</t>
        </is>
      </c>
      <c r="K38" s="202" t="inlineStr">
        <is>
          <t>D</t>
        </is>
      </c>
      <c r="L38" s="202" t="inlineStr">
        <is>
          <t>SRC-OT-01</t>
        </is>
      </c>
      <c r="M38" s="207" t="n"/>
    </row>
    <row r="39" ht="15" customHeight="1" s="110">
      <c r="A39" s="109" t="inlineStr">
        <is>
          <t>T0832</t>
        </is>
      </c>
      <c r="B39" s="109" t="inlineStr">
        <is>
          <t>Manipulation of View</t>
        </is>
      </c>
      <c r="C39" s="109" t="inlineStr">
        <is>
          <t>S5</t>
        </is>
      </c>
      <c r="D39" s="109" t="inlineStr">
        <is>
          <t>All registered asset types; actual architecture/platform evidence overrides</t>
        </is>
      </c>
      <c r="E39" s="109" t="inlineStr">
        <is>
          <t>https://attack.mitre.org/techniques/T0832</t>
        </is>
      </c>
      <c r="F39" s="146" t="inlineStr">
        <is>
          <t>Yes</t>
        </is>
      </c>
      <c r="G39" s="109" t="inlineStr">
        <is>
          <t>No explicit facility gate — defaults feasible</t>
        </is>
      </c>
      <c r="H39" s="109" t="inlineStr">
        <is>
          <t>Manipulation of View is an ATT&amp;CK for ICS impact or response-inhibition technique that can support one or more governed adverse scenarios; scenario role remains controlled on 09.</t>
        </is>
      </c>
      <c r="I39" s="109" t="inlineStr">
        <is>
          <t>https://csrc.nist.gov/pubs/sp/800/82/r3/final</t>
        </is>
      </c>
      <c r="J39" s="109" t="inlineStr">
        <is>
          <t>Reference mapping</t>
        </is>
      </c>
      <c r="K39" s="146" t="inlineStr">
        <is>
          <t>D</t>
        </is>
      </c>
      <c r="L39" s="146" t="inlineStr">
        <is>
          <t>SRC-OT-01</t>
        </is>
      </c>
    </row>
    <row r="40" ht="15" customHeight="1" s="110">
      <c r="A40" s="109" t="inlineStr">
        <is>
          <t>T0834</t>
        </is>
      </c>
      <c r="B40" s="109" t="inlineStr">
        <is>
          <t>Native API</t>
        </is>
      </c>
      <c r="C40" s="109" t="inlineStr">
        <is>
          <t>S2</t>
        </is>
      </c>
      <c r="D40" s="109" t="inlineStr">
        <is>
          <t>All registered asset types; actual architecture/platform evidence overrides</t>
        </is>
      </c>
      <c r="E40" s="109" t="inlineStr">
        <is>
          <t>https://attack.mitre.org/techniques/T0834</t>
        </is>
      </c>
      <c r="F40" s="146" t="inlineStr">
        <is>
          <t>Yes</t>
        </is>
      </c>
      <c r="G40" s="109" t="inlineStr">
        <is>
          <t>No explicit facility gate — defaults feasible</t>
        </is>
      </c>
      <c r="H40" s="109" t="inlineStr">
        <is>
          <t>Native API is applicable to execution or persistence on engineering workstations, HMIs, servers or controllers used in Power Generation facilities.</t>
        </is>
      </c>
      <c r="I40" s="109" t="inlineStr">
        <is>
          <t>https://csrc.nist.gov/pubs/sp/800/82/r3/final</t>
        </is>
      </c>
      <c r="J40" s="109" t="inlineStr">
        <is>
          <t>Reference mapping</t>
        </is>
      </c>
      <c r="K40" s="146" t="inlineStr">
        <is>
          <t>D</t>
        </is>
      </c>
      <c r="L40" s="146" t="inlineStr">
        <is>
          <t>SRC-OT-01</t>
        </is>
      </c>
    </row>
    <row r="41" ht="15" customHeight="1" s="110">
      <c r="A41" s="109" t="inlineStr">
        <is>
          <t>T0835</t>
        </is>
      </c>
      <c r="B41" s="109" t="inlineStr">
        <is>
          <t>Manipulate I/O Image</t>
        </is>
      </c>
      <c r="C41" s="109" t="inlineStr">
        <is>
          <t>S5</t>
        </is>
      </c>
      <c r="D41" s="109" t="inlineStr">
        <is>
          <t>All registered asset types; actual architecture/platform evidence overrides</t>
        </is>
      </c>
      <c r="E41" s="109" t="inlineStr">
        <is>
          <t>https://attack.mitre.org/techniques/T0835</t>
        </is>
      </c>
      <c r="F41" s="146" t="inlineStr">
        <is>
          <t>Yes</t>
        </is>
      </c>
      <c r="G41" s="109" t="inlineStr">
        <is>
          <t>No explicit facility gate — defaults feasible</t>
        </is>
      </c>
      <c r="H41" s="109" t="inlineStr">
        <is>
          <t>Manipulate I/O Image is an ATT&amp;CK for ICS impact or response-inhibition technique that can support one or more governed adverse scenarios; scenario role remains controlled on 09.</t>
        </is>
      </c>
      <c r="I41" s="109" t="inlineStr">
        <is>
          <t>https://csrc.nist.gov/pubs/sp/800/82/r3/final</t>
        </is>
      </c>
      <c r="J41" s="109" t="inlineStr">
        <is>
          <t>Reference mapping</t>
        </is>
      </c>
      <c r="K41" s="146" t="inlineStr">
        <is>
          <t>D</t>
        </is>
      </c>
      <c r="L41" s="146" t="inlineStr">
        <is>
          <t>SRC-OT-01</t>
        </is>
      </c>
    </row>
    <row r="42" ht="15" customHeight="1" s="110">
      <c r="A42" s="109" t="inlineStr">
        <is>
          <t>T0836</t>
        </is>
      </c>
      <c r="B42" s="109" t="inlineStr">
        <is>
          <t>Modify Parameter</t>
        </is>
      </c>
      <c r="C42" s="109" t="inlineStr">
        <is>
          <t>S5</t>
        </is>
      </c>
      <c r="D42" s="109" t="inlineStr">
        <is>
          <t>All registered asset types; actual architecture/platform evidence overrides</t>
        </is>
      </c>
      <c r="E42" s="109" t="inlineStr">
        <is>
          <t>https://attack.mitre.org/techniques/T0836</t>
        </is>
      </c>
      <c r="F42" s="146" t="inlineStr">
        <is>
          <t>Yes</t>
        </is>
      </c>
      <c r="G42" s="109" t="inlineStr">
        <is>
          <t>No explicit facility gate — defaults feasible</t>
        </is>
      </c>
      <c r="H42" s="109" t="inlineStr">
        <is>
          <t>Modify Parameter is an ATT&amp;CK for ICS impact or response-inhibition technique that can support one or more governed adverse scenarios; scenario role remains controlled on 09.</t>
        </is>
      </c>
      <c r="I42" s="109" t="inlineStr">
        <is>
          <t>https://csrc.nist.gov/pubs/sp/800/82/r3/final</t>
        </is>
      </c>
      <c r="J42" s="109" t="inlineStr">
        <is>
          <t>Reference mapping</t>
        </is>
      </c>
      <c r="K42" s="146" t="inlineStr">
        <is>
          <t>D</t>
        </is>
      </c>
      <c r="L42" s="146" t="inlineStr">
        <is>
          <t>SRC-OT-01</t>
        </is>
      </c>
    </row>
    <row r="43" ht="15" customHeight="1" s="110">
      <c r="A43" s="109" t="inlineStr">
        <is>
          <t>T0837</t>
        </is>
      </c>
      <c r="B43" s="109" t="inlineStr">
        <is>
          <t>Loss of Protection</t>
        </is>
      </c>
      <c r="C43" s="109" t="inlineStr">
        <is>
          <t>S5</t>
        </is>
      </c>
      <c r="D43" s="109" t="inlineStr">
        <is>
          <t>All registered asset types; actual architecture/platform evidence overrides</t>
        </is>
      </c>
      <c r="E43" s="109" t="inlineStr">
        <is>
          <t>https://attack.mitre.org/techniques/T0837</t>
        </is>
      </c>
      <c r="F43" s="146" t="inlineStr">
        <is>
          <t>Yes</t>
        </is>
      </c>
      <c r="G43" s="109" t="inlineStr">
        <is>
          <t>No explicit facility gate — defaults feasible</t>
        </is>
      </c>
      <c r="H43" s="109" t="inlineStr">
        <is>
          <t>Loss of Protection is an ATT&amp;CK for ICS impact or response-inhibition technique that can support one or more governed adverse scenarios; scenario role remains controlled on 09.</t>
        </is>
      </c>
      <c r="I43" s="109" t="inlineStr">
        <is>
          <t>https://csrc.nist.gov/pubs/sp/800/82/r3/final</t>
        </is>
      </c>
      <c r="J43" s="109" t="inlineStr">
        <is>
          <t>Reference mapping</t>
        </is>
      </c>
      <c r="K43" s="146" t="inlineStr">
        <is>
          <t>D</t>
        </is>
      </c>
      <c r="L43" s="146" t="inlineStr">
        <is>
          <t>SRC-OT-01</t>
        </is>
      </c>
    </row>
    <row r="44" ht="15" customHeight="1" s="110">
      <c r="A44" s="109" t="inlineStr">
        <is>
          <t>T0838</t>
        </is>
      </c>
      <c r="B44" s="109" t="inlineStr">
        <is>
          <t>Modify Alarm Settings</t>
        </is>
      </c>
      <c r="C44" s="109" t="inlineStr">
        <is>
          <t>S5</t>
        </is>
      </c>
      <c r="D44" s="109" t="inlineStr">
        <is>
          <t>All registered asset types; actual architecture/platform evidence overrides</t>
        </is>
      </c>
      <c r="E44" s="109" t="inlineStr">
        <is>
          <t>https://attack.mitre.org/techniques/T0838</t>
        </is>
      </c>
      <c r="F44" s="146" t="inlineStr">
        <is>
          <t>Yes</t>
        </is>
      </c>
      <c r="G44" s="109" t="inlineStr">
        <is>
          <t>No explicit facility gate — defaults feasible</t>
        </is>
      </c>
      <c r="H44" s="109" t="inlineStr">
        <is>
          <t>Modify Alarm Settings is an ATT&amp;CK for ICS impact or response-inhibition technique that can support one or more governed adverse scenarios; scenario role remains controlled on 09.</t>
        </is>
      </c>
      <c r="I44" s="109" t="inlineStr">
        <is>
          <t>https://csrc.nist.gov/pubs/sp/800/82/r3/final</t>
        </is>
      </c>
      <c r="J44" s="109" t="inlineStr">
        <is>
          <t>Reference mapping</t>
        </is>
      </c>
      <c r="K44" s="146" t="inlineStr">
        <is>
          <t>D</t>
        </is>
      </c>
      <c r="L44" s="146" t="inlineStr">
        <is>
          <t>SRC-OT-01</t>
        </is>
      </c>
    </row>
    <row r="45" ht="15" customHeight="1" s="110">
      <c r="A45" s="109" t="inlineStr">
        <is>
          <t>T0840</t>
        </is>
      </c>
      <c r="B45" s="109" t="inlineStr">
        <is>
          <t>Network Connection Enumeration</t>
        </is>
      </c>
      <c r="C45" s="109" t="inlineStr">
        <is>
          <t>S4</t>
        </is>
      </c>
      <c r="D45" s="109" t="inlineStr">
        <is>
          <t>All registered asset types; actual architecture/platform evidence overrides</t>
        </is>
      </c>
      <c r="E45" s="109" t="inlineStr">
        <is>
          <t>https://attack.mitre.org/techniques/T0840</t>
        </is>
      </c>
      <c r="F45" s="146" t="inlineStr">
        <is>
          <t>Yes</t>
        </is>
      </c>
      <c r="G45" s="109" t="inlineStr">
        <is>
          <t>No explicit facility gate — defaults feasible</t>
        </is>
      </c>
      <c r="H45" s="109" t="inlineStr">
        <is>
          <t>Network Connection Enumeration can support discovery or interaction with process state, control assets and operational data in Power Generation environments.</t>
        </is>
      </c>
      <c r="I45" s="109" t="inlineStr">
        <is>
          <t>https://csrc.nist.gov/pubs/sp/800/82/r3/final</t>
        </is>
      </c>
      <c r="J45" s="109" t="inlineStr">
        <is>
          <t>Reference mapping</t>
        </is>
      </c>
      <c r="K45" s="146" t="inlineStr">
        <is>
          <t>D</t>
        </is>
      </c>
      <c r="L45" s="146" t="inlineStr">
        <is>
          <t>SRC-OT-01</t>
        </is>
      </c>
    </row>
    <row r="46" ht="15" customHeight="1" s="110">
      <c r="A46" s="109" t="inlineStr">
        <is>
          <t>T0842</t>
        </is>
      </c>
      <c r="B46" s="109" t="inlineStr">
        <is>
          <t>Network Sniffing</t>
        </is>
      </c>
      <c r="C46" s="109" t="inlineStr">
        <is>
          <t>S4</t>
        </is>
      </c>
      <c r="D46" s="109" t="inlineStr">
        <is>
          <t>All registered asset types; actual architecture/platform evidence overrides</t>
        </is>
      </c>
      <c r="E46" s="109" t="inlineStr">
        <is>
          <t>https://attack.mitre.org/techniques/T0842</t>
        </is>
      </c>
      <c r="F46" s="146" t="inlineStr">
        <is>
          <t>Yes</t>
        </is>
      </c>
      <c r="G46" s="109" t="inlineStr">
        <is>
          <t>No explicit facility gate — defaults feasible</t>
        </is>
      </c>
      <c r="H46" s="109" t="inlineStr">
        <is>
          <t>Network Sniffing can support discovery or interaction with process state, control assets and operational data in Power Generation environments.</t>
        </is>
      </c>
      <c r="I46" s="109" t="inlineStr">
        <is>
          <t>https://csrc.nist.gov/pubs/sp/800/82/r3/final</t>
        </is>
      </c>
      <c r="J46" s="109" t="inlineStr">
        <is>
          <t>Reference mapping</t>
        </is>
      </c>
      <c r="K46" s="146" t="inlineStr">
        <is>
          <t>D</t>
        </is>
      </c>
      <c r="L46" s="146" t="inlineStr">
        <is>
          <t>SRC-OT-01</t>
        </is>
      </c>
    </row>
    <row r="47" ht="15" customHeight="1" s="110">
      <c r="A47" s="109" t="inlineStr">
        <is>
          <t>T0843</t>
        </is>
      </c>
      <c r="B47" s="109" t="inlineStr">
        <is>
          <t>Program Download</t>
        </is>
      </c>
      <c r="C47" s="109" t="inlineStr">
        <is>
          <t>S3</t>
        </is>
      </c>
      <c r="D47" s="109" t="inlineStr">
        <is>
          <t>All registered asset types; actual architecture/platform evidence overrides</t>
        </is>
      </c>
      <c r="E47" s="109" t="inlineStr">
        <is>
          <t>https://attack.mitre.org/techniques/T0843</t>
        </is>
      </c>
      <c r="F47" s="146" t="inlineStr">
        <is>
          <t>Yes</t>
        </is>
      </c>
      <c r="G47" s="109" t="inlineStr">
        <is>
          <t>No explicit facility gate — defaults feasible</t>
        </is>
      </c>
      <c r="H47" s="109" t="inlineStr">
        <is>
          <t>Program Download can support movement toward or within plant/control zones; actual reachability is governed by the assessed facility architecture.</t>
        </is>
      </c>
      <c r="I47" s="109" t="inlineStr">
        <is>
          <t>https://csrc.nist.gov/pubs/sp/800/82/r3/final</t>
        </is>
      </c>
      <c r="J47" s="109" t="inlineStr">
        <is>
          <t>Reference mapping</t>
        </is>
      </c>
      <c r="K47" s="146" t="inlineStr">
        <is>
          <t>D</t>
        </is>
      </c>
      <c r="L47" s="146" t="inlineStr">
        <is>
          <t>SRC-OT-01</t>
        </is>
      </c>
    </row>
    <row r="48" ht="15" customHeight="1" s="110">
      <c r="A48" s="109" t="inlineStr">
        <is>
          <t>T0843.001</t>
        </is>
      </c>
      <c r="B48" s="109" t="inlineStr">
        <is>
          <t>Download All</t>
        </is>
      </c>
      <c r="C48" s="109" t="inlineStr">
        <is>
          <t>S3</t>
        </is>
      </c>
      <c r="D48" s="109" t="inlineStr">
        <is>
          <t>All registered asset types; actual architecture/platform evidence overrides</t>
        </is>
      </c>
      <c r="E48" s="109" t="inlineStr">
        <is>
          <t>https://attack.mitre.org/techniques/T0843/001</t>
        </is>
      </c>
      <c r="F48" s="146" t="inlineStr">
        <is>
          <t>Yes</t>
        </is>
      </c>
      <c r="G48" s="109" t="inlineStr">
        <is>
          <t>No explicit facility gate — defaults feasible</t>
        </is>
      </c>
      <c r="H48" s="109" t="inlineStr">
        <is>
          <t>Download All can support movement toward or within plant/control zones; actual reachability is governed by the assessed facility architecture.</t>
        </is>
      </c>
      <c r="I48" s="109" t="inlineStr">
        <is>
          <t>https://csrc.nist.gov/pubs/sp/800/82/r3/final</t>
        </is>
      </c>
      <c r="J48" s="109" t="inlineStr">
        <is>
          <t>Reference mapping</t>
        </is>
      </c>
      <c r="K48" s="146" t="inlineStr">
        <is>
          <t>D</t>
        </is>
      </c>
      <c r="L48" s="146" t="inlineStr">
        <is>
          <t>SRC-OT-01</t>
        </is>
      </c>
    </row>
    <row r="49" ht="15" customHeight="1" s="110">
      <c r="A49" s="109" t="inlineStr">
        <is>
          <t>T0843.002</t>
        </is>
      </c>
      <c r="B49" s="109" t="inlineStr">
        <is>
          <t>Online Edit</t>
        </is>
      </c>
      <c r="C49" s="109" t="inlineStr">
        <is>
          <t>S3</t>
        </is>
      </c>
      <c r="D49" s="109" t="inlineStr">
        <is>
          <t>All registered asset types; actual architecture/platform evidence overrides</t>
        </is>
      </c>
      <c r="E49" s="109" t="inlineStr">
        <is>
          <t>https://attack.mitre.org/techniques/T0843/002</t>
        </is>
      </c>
      <c r="F49" s="146" t="inlineStr">
        <is>
          <t>Yes</t>
        </is>
      </c>
      <c r="G49" s="109" t="inlineStr">
        <is>
          <t>No explicit facility gate — defaults feasible</t>
        </is>
      </c>
      <c r="H49" s="109" t="inlineStr">
        <is>
          <t>Online Edit can support movement toward or within plant/control zones; actual reachability is governed by the assessed facility architecture.</t>
        </is>
      </c>
      <c r="I49" s="109" t="inlineStr">
        <is>
          <t>https://csrc.nist.gov/pubs/sp/800/82/r3/final</t>
        </is>
      </c>
      <c r="J49" s="109" t="inlineStr">
        <is>
          <t>Reference mapping</t>
        </is>
      </c>
      <c r="K49" s="146" t="inlineStr">
        <is>
          <t>D</t>
        </is>
      </c>
      <c r="L49" s="146" t="inlineStr">
        <is>
          <t>SRC-OT-01</t>
        </is>
      </c>
    </row>
    <row r="50" ht="15" customHeight="1" s="110">
      <c r="A50" s="109" t="inlineStr">
        <is>
          <t>T0843.003</t>
        </is>
      </c>
      <c r="B50" s="109" t="inlineStr">
        <is>
          <t>Program Append</t>
        </is>
      </c>
      <c r="C50" s="109" t="inlineStr">
        <is>
          <t>S3</t>
        </is>
      </c>
      <c r="D50" s="109" t="inlineStr">
        <is>
          <t>All registered asset types; actual architecture/platform evidence overrides</t>
        </is>
      </c>
      <c r="E50" s="109" t="inlineStr">
        <is>
          <t>https://attack.mitre.org/techniques/T0843/003</t>
        </is>
      </c>
      <c r="F50" s="146" t="inlineStr">
        <is>
          <t>Yes</t>
        </is>
      </c>
      <c r="G50" s="109" t="inlineStr">
        <is>
          <t>No explicit facility gate — defaults feasible</t>
        </is>
      </c>
      <c r="H50" s="109" t="inlineStr">
        <is>
          <t>Program Append can support movement toward or within plant/control zones; actual reachability is governed by the assessed facility architecture.</t>
        </is>
      </c>
      <c r="I50" s="109" t="inlineStr">
        <is>
          <t>https://csrc.nist.gov/pubs/sp/800/82/r3/final</t>
        </is>
      </c>
      <c r="J50" s="109" t="inlineStr">
        <is>
          <t>Reference mapping</t>
        </is>
      </c>
      <c r="K50" s="146" t="inlineStr">
        <is>
          <t>D</t>
        </is>
      </c>
      <c r="L50" s="146" t="inlineStr">
        <is>
          <t>SRC-OT-01</t>
        </is>
      </c>
    </row>
    <row r="51" ht="15" customHeight="1" s="110">
      <c r="A51" s="109" t="inlineStr">
        <is>
          <t>T0845</t>
        </is>
      </c>
      <c r="B51" s="109" t="inlineStr">
        <is>
          <t>Program Upload</t>
        </is>
      </c>
      <c r="C51" s="109" t="inlineStr">
        <is>
          <t>S4</t>
        </is>
      </c>
      <c r="D51" s="109" t="inlineStr">
        <is>
          <t>All registered asset types; actual architecture/platform evidence overrides</t>
        </is>
      </c>
      <c r="E51" s="109" t="inlineStr">
        <is>
          <t>https://attack.mitre.org/techniques/T0845</t>
        </is>
      </c>
      <c r="F51" s="146" t="inlineStr">
        <is>
          <t>Yes</t>
        </is>
      </c>
      <c r="G51" s="109" t="inlineStr">
        <is>
          <t>No explicit facility gate — defaults feasible</t>
        </is>
      </c>
      <c r="H51" s="109" t="inlineStr">
        <is>
          <t>Program Upload can support discovery or interaction with process state, control assets and operational data in Power Generation environments.</t>
        </is>
      </c>
      <c r="I51" s="109" t="inlineStr">
        <is>
          <t>https://csrc.nist.gov/pubs/sp/800/82/r3/final</t>
        </is>
      </c>
      <c r="J51" s="109" t="inlineStr">
        <is>
          <t>Reference mapping</t>
        </is>
      </c>
      <c r="K51" s="146" t="inlineStr">
        <is>
          <t>D</t>
        </is>
      </c>
      <c r="L51" s="146" t="inlineStr">
        <is>
          <t>SRC-OT-01</t>
        </is>
      </c>
    </row>
    <row r="52" ht="15" customHeight="1" s="110">
      <c r="A52" s="109" t="inlineStr">
        <is>
          <t>T0846</t>
        </is>
      </c>
      <c r="B52" s="109" t="inlineStr">
        <is>
          <t>Remote System Discovery</t>
        </is>
      </c>
      <c r="C52" s="109" t="inlineStr">
        <is>
          <t>S4</t>
        </is>
      </c>
      <c r="D52" s="109" t="inlineStr">
        <is>
          <t>All registered asset types; actual architecture/platform evidence overrides</t>
        </is>
      </c>
      <c r="E52" s="109" t="inlineStr">
        <is>
          <t>https://attack.mitre.org/techniques/T0846</t>
        </is>
      </c>
      <c r="F52" s="146" t="inlineStr">
        <is>
          <t>Yes</t>
        </is>
      </c>
      <c r="G52" s="109" t="inlineStr">
        <is>
          <t>No explicit facility gate — defaults feasible</t>
        </is>
      </c>
      <c r="H52" s="109" t="inlineStr">
        <is>
          <t>Remote System Discovery can support discovery or interaction with process state, control assets and operational data in Power Generation environments.</t>
        </is>
      </c>
      <c r="I52" s="109" t="inlineStr">
        <is>
          <t>https://csrc.nist.gov/pubs/sp/800/82/r3/final</t>
        </is>
      </c>
      <c r="J52" s="109" t="inlineStr">
        <is>
          <t>Reference mapping</t>
        </is>
      </c>
      <c r="K52" s="146" t="inlineStr">
        <is>
          <t>D</t>
        </is>
      </c>
      <c r="L52" s="146" t="inlineStr">
        <is>
          <t>SRC-OT-01</t>
        </is>
      </c>
    </row>
    <row r="53" ht="15" customHeight="1" s="110">
      <c r="A53" s="109" t="inlineStr">
        <is>
          <t>T0846.001</t>
        </is>
      </c>
      <c r="B53" s="109" t="inlineStr">
        <is>
          <t>Port Scan</t>
        </is>
      </c>
      <c r="C53" s="109" t="inlineStr">
        <is>
          <t>S4</t>
        </is>
      </c>
      <c r="D53" s="109" t="inlineStr">
        <is>
          <t>All registered asset types; actual architecture/platform evidence overrides</t>
        </is>
      </c>
      <c r="E53" s="109" t="inlineStr">
        <is>
          <t>https://attack.mitre.org/techniques/T0846/001</t>
        </is>
      </c>
      <c r="F53" s="146" t="inlineStr">
        <is>
          <t>Yes</t>
        </is>
      </c>
      <c r="G53" s="109" t="inlineStr">
        <is>
          <t>No explicit facility gate — defaults feasible</t>
        </is>
      </c>
      <c r="H53" s="109" t="inlineStr">
        <is>
          <t>Port Scan can support discovery or interaction with process state, control assets and operational data in Power Generation environments.</t>
        </is>
      </c>
      <c r="I53" s="109" t="inlineStr">
        <is>
          <t>https://csrc.nist.gov/pubs/sp/800/82/r3/final</t>
        </is>
      </c>
      <c r="J53" s="109" t="inlineStr">
        <is>
          <t>Reference mapping</t>
        </is>
      </c>
      <c r="K53" s="146" t="inlineStr">
        <is>
          <t>D</t>
        </is>
      </c>
      <c r="L53" s="146" t="inlineStr">
        <is>
          <t>SRC-OT-01</t>
        </is>
      </c>
    </row>
    <row r="54" ht="15" customHeight="1" s="110">
      <c r="A54" s="109" t="inlineStr">
        <is>
          <t>T0846.002</t>
        </is>
      </c>
      <c r="B54" s="109" t="inlineStr">
        <is>
          <t>Broadcast Discovery</t>
        </is>
      </c>
      <c r="C54" s="109" t="inlineStr">
        <is>
          <t>S4</t>
        </is>
      </c>
      <c r="D54" s="109" t="inlineStr">
        <is>
          <t>All registered asset types; actual architecture/platform evidence overrides</t>
        </is>
      </c>
      <c r="E54" s="109" t="inlineStr">
        <is>
          <t>https://attack.mitre.org/techniques/T0846/002</t>
        </is>
      </c>
      <c r="F54" s="146" t="inlineStr">
        <is>
          <t>Yes</t>
        </is>
      </c>
      <c r="G54" s="109" t="inlineStr">
        <is>
          <t>No explicit facility gate — defaults feasible</t>
        </is>
      </c>
      <c r="H54" s="109" t="inlineStr">
        <is>
          <t>Broadcast Discovery can support discovery or interaction with process state, control assets and operational data in Power Generation environments.</t>
        </is>
      </c>
      <c r="I54" s="109" t="inlineStr">
        <is>
          <t>https://csrc.nist.gov/pubs/sp/800/82/r3/final</t>
        </is>
      </c>
      <c r="J54" s="109" t="inlineStr">
        <is>
          <t>Reference mapping</t>
        </is>
      </c>
      <c r="K54" s="146" t="inlineStr">
        <is>
          <t>D</t>
        </is>
      </c>
      <c r="L54" s="146" t="inlineStr">
        <is>
          <t>SRC-OT-01</t>
        </is>
      </c>
    </row>
    <row r="55" ht="15" customHeight="1" s="110">
      <c r="A55" s="109" t="inlineStr">
        <is>
          <t>T0846.003</t>
        </is>
      </c>
      <c r="B55" s="109" t="inlineStr">
        <is>
          <t>Multicast Discovery</t>
        </is>
      </c>
      <c r="C55" s="109" t="inlineStr">
        <is>
          <t>S4</t>
        </is>
      </c>
      <c r="D55" s="109" t="inlineStr">
        <is>
          <t>All registered asset types; actual architecture/platform evidence overrides</t>
        </is>
      </c>
      <c r="E55" s="109" t="inlineStr">
        <is>
          <t>https://attack.mitre.org/techniques/T0846/003</t>
        </is>
      </c>
      <c r="F55" s="146" t="inlineStr">
        <is>
          <t>Yes</t>
        </is>
      </c>
      <c r="G55" s="109" t="inlineStr">
        <is>
          <t>No explicit facility gate — defaults feasible</t>
        </is>
      </c>
      <c r="H55" s="109" t="inlineStr">
        <is>
          <t>Multicast Discovery can support discovery or interaction with process state, control assets and operational data in Power Generation environments.</t>
        </is>
      </c>
      <c r="I55" s="109" t="inlineStr">
        <is>
          <t>https://csrc.nist.gov/pubs/sp/800/82/r3/final</t>
        </is>
      </c>
      <c r="J55" s="109" t="inlineStr">
        <is>
          <t>Reference mapping</t>
        </is>
      </c>
      <c r="K55" s="146" t="inlineStr">
        <is>
          <t>D</t>
        </is>
      </c>
      <c r="L55" s="146" t="inlineStr">
        <is>
          <t>SRC-OT-01</t>
        </is>
      </c>
    </row>
    <row r="56" ht="15" customHeight="1" s="110">
      <c r="A56" s="109" t="inlineStr">
        <is>
          <t>T0847</t>
        </is>
      </c>
      <c r="B56" s="109" t="inlineStr">
        <is>
          <t>Replication Through Removable Media</t>
        </is>
      </c>
      <c r="C56" s="109" t="inlineStr">
        <is>
          <t>S1</t>
        </is>
      </c>
      <c r="D56" s="109" t="inlineStr">
        <is>
          <t>All registered asset types; actual architecture/platform evidence overrides</t>
        </is>
      </c>
      <c r="E56" s="109" t="inlineStr">
        <is>
          <t>https://attack.mitre.org/techniques/T0847</t>
        </is>
      </c>
      <c r="F56" s="146" t="inlineStr">
        <is>
          <t>Yes</t>
        </is>
      </c>
      <c r="G56" s="109" t="inlineStr">
        <is>
          <t>TRANSIENT_REQUIRED — Not None</t>
        </is>
      </c>
      <c r="H56" s="109" t="inlineStr">
        <is>
          <t>The Replication Through Removable Media route is credible for Power Generation OT when the enabling access condition exists; existing facility gates determine remote, internet, transient, supply-chain or wireless feasibility.</t>
        </is>
      </c>
      <c r="I56" s="109" t="inlineStr">
        <is>
          <t>https://csrc.nist.gov/pubs/sp/800/82/r3/final</t>
        </is>
      </c>
      <c r="J56" s="109" t="inlineStr">
        <is>
          <t>Reference mapping</t>
        </is>
      </c>
      <c r="K56" s="146" t="inlineStr">
        <is>
          <t>D</t>
        </is>
      </c>
      <c r="L56" s="146" t="inlineStr">
        <is>
          <t>SRC-OT-01</t>
        </is>
      </c>
    </row>
    <row r="57" ht="15" customHeight="1" s="110">
      <c r="A57" s="109" t="inlineStr">
        <is>
          <t>T0848</t>
        </is>
      </c>
      <c r="B57" s="109" t="inlineStr">
        <is>
          <t>Rogue Master</t>
        </is>
      </c>
      <c r="C57" s="109" t="inlineStr">
        <is>
          <t>S1</t>
        </is>
      </c>
      <c r="D57" s="109" t="inlineStr">
        <is>
          <t>All registered asset types; actual architecture/platform evidence overrides</t>
        </is>
      </c>
      <c r="E57" s="109" t="inlineStr">
        <is>
          <t>https://attack.mitre.org/techniques/T0848</t>
        </is>
      </c>
      <c r="F57" s="146" t="inlineStr">
        <is>
          <t>Yes</t>
        </is>
      </c>
      <c r="G57" s="109" t="inlineStr">
        <is>
          <t>No explicit facility gate — defaults feasible</t>
        </is>
      </c>
      <c r="H57" s="109" t="inlineStr">
        <is>
          <t>The Rogue Master route is credible for Power Generation OT when the enabling access condition exists; existing facility gates determine remote, internet, transient, supply-chain or wireless feasibility.</t>
        </is>
      </c>
      <c r="I57" s="109" t="inlineStr">
        <is>
          <t>https://csrc.nist.gov/pubs/sp/800/82/r3/final</t>
        </is>
      </c>
      <c r="J57" s="109" t="inlineStr">
        <is>
          <t>Reference mapping</t>
        </is>
      </c>
      <c r="K57" s="146" t="inlineStr">
        <is>
          <t>D</t>
        </is>
      </c>
      <c r="L57" s="146" t="inlineStr">
        <is>
          <t>SRC-OT-01</t>
        </is>
      </c>
    </row>
    <row r="58" ht="15" customHeight="1" s="110">
      <c r="A58" s="109" t="inlineStr">
        <is>
          <t>T0849</t>
        </is>
      </c>
      <c r="B58" s="109" t="inlineStr">
        <is>
          <t>Masquerading</t>
        </is>
      </c>
      <c r="C58" s="109" t="inlineStr">
        <is>
          <t>S2</t>
        </is>
      </c>
      <c r="D58" s="109" t="inlineStr">
        <is>
          <t>All registered asset types; actual architecture/platform evidence overrides</t>
        </is>
      </c>
      <c r="E58" s="109" t="inlineStr">
        <is>
          <t>https://attack.mitre.org/techniques/T0849</t>
        </is>
      </c>
      <c r="F58" s="146" t="inlineStr">
        <is>
          <t>Yes</t>
        </is>
      </c>
      <c r="G58" s="109" t="inlineStr">
        <is>
          <t>No explicit facility gate — defaults feasible</t>
        </is>
      </c>
      <c r="H58" s="109" t="inlineStr">
        <is>
          <t>Masquerading is applicable to execution or persistence on engineering workstations, HMIs, servers or controllers used in Power Generation facilities.</t>
        </is>
      </c>
      <c r="I58" s="109" t="inlineStr">
        <is>
          <t>https://csrc.nist.gov/pubs/sp/800/82/r3/final</t>
        </is>
      </c>
      <c r="J58" s="109" t="inlineStr">
        <is>
          <t>Reference mapping</t>
        </is>
      </c>
      <c r="K58" s="146" t="inlineStr">
        <is>
          <t>D</t>
        </is>
      </c>
      <c r="L58" s="146" t="inlineStr">
        <is>
          <t>SRC-OT-01</t>
        </is>
      </c>
    </row>
    <row r="59" ht="15" customHeight="1" s="110">
      <c r="A59" s="109" t="inlineStr">
        <is>
          <t>T0851</t>
        </is>
      </c>
      <c r="B59" s="109" t="inlineStr">
        <is>
          <t>Rootkit</t>
        </is>
      </c>
      <c r="C59" s="109" t="inlineStr">
        <is>
          <t>S5</t>
        </is>
      </c>
      <c r="D59" s="109" t="inlineStr">
        <is>
          <t>All registered asset types; actual architecture/platform evidence overrides</t>
        </is>
      </c>
      <c r="E59" s="109" t="inlineStr">
        <is>
          <t>https://attack.mitre.org/techniques/T0851</t>
        </is>
      </c>
      <c r="F59" s="146" t="inlineStr">
        <is>
          <t>Yes</t>
        </is>
      </c>
      <c r="G59" s="109" t="inlineStr">
        <is>
          <t>No explicit facility gate — defaults feasible</t>
        </is>
      </c>
      <c r="H59" s="109" t="inlineStr">
        <is>
          <t>Rootkit is an ATT&amp;CK for ICS impact or response-inhibition technique that can support one or more governed adverse scenarios; scenario role remains controlled on 09.</t>
        </is>
      </c>
      <c r="I59" s="109" t="inlineStr">
        <is>
          <t>https://csrc.nist.gov/pubs/sp/800/82/r3/final</t>
        </is>
      </c>
      <c r="J59" s="109" t="inlineStr">
        <is>
          <t>Reference mapping</t>
        </is>
      </c>
      <c r="K59" s="146" t="inlineStr">
        <is>
          <t>D</t>
        </is>
      </c>
      <c r="L59" s="146" t="inlineStr">
        <is>
          <t>SRC-OT-01</t>
        </is>
      </c>
    </row>
    <row r="60" ht="15" customHeight="1" s="110">
      <c r="A60" s="109" t="inlineStr">
        <is>
          <t>T0852</t>
        </is>
      </c>
      <c r="B60" s="109" t="inlineStr">
        <is>
          <t>Screen Capture</t>
        </is>
      </c>
      <c r="C60" s="109" t="inlineStr">
        <is>
          <t>S4</t>
        </is>
      </c>
      <c r="D60" s="109" t="inlineStr">
        <is>
          <t>All registered asset types; actual architecture/platform evidence overrides</t>
        </is>
      </c>
      <c r="E60" s="109" t="inlineStr">
        <is>
          <t>https://attack.mitre.org/techniques/T0852</t>
        </is>
      </c>
      <c r="F60" s="146" t="inlineStr">
        <is>
          <t>Yes</t>
        </is>
      </c>
      <c r="G60" s="109" t="inlineStr">
        <is>
          <t>No explicit facility gate — defaults feasible</t>
        </is>
      </c>
      <c r="H60" s="109" t="inlineStr">
        <is>
          <t>Screen Capture can support discovery or interaction with process state, control assets and operational data in Power Generation environments.</t>
        </is>
      </c>
      <c r="I60" s="109" t="inlineStr">
        <is>
          <t>https://csrc.nist.gov/pubs/sp/800/82/r3/final</t>
        </is>
      </c>
      <c r="J60" s="109" t="inlineStr">
        <is>
          <t>Reference mapping</t>
        </is>
      </c>
      <c r="K60" s="146" t="inlineStr">
        <is>
          <t>D</t>
        </is>
      </c>
      <c r="L60" s="146" t="inlineStr">
        <is>
          <t>SRC-OT-01</t>
        </is>
      </c>
    </row>
    <row r="61" ht="15" customHeight="1" s="110">
      <c r="A61" s="109" t="inlineStr">
        <is>
          <t>T0853</t>
        </is>
      </c>
      <c r="B61" s="109" t="inlineStr">
        <is>
          <t>Scripting</t>
        </is>
      </c>
      <c r="C61" s="109" t="inlineStr">
        <is>
          <t>S2</t>
        </is>
      </c>
      <c r="D61" s="109" t="inlineStr">
        <is>
          <t>All registered asset types; actual architecture/platform evidence overrides</t>
        </is>
      </c>
      <c r="E61" s="109" t="inlineStr">
        <is>
          <t>https://attack.mitre.org/techniques/T0853</t>
        </is>
      </c>
      <c r="F61" s="146" t="inlineStr">
        <is>
          <t>Yes</t>
        </is>
      </c>
      <c r="G61" s="109" t="inlineStr">
        <is>
          <t>No explicit facility gate — defaults feasible</t>
        </is>
      </c>
      <c r="H61" s="109" t="inlineStr">
        <is>
          <t>Scripting is applicable to execution or persistence on engineering workstations, HMIs, servers or controllers used in Power Generation facilities.</t>
        </is>
      </c>
      <c r="I61" s="109" t="inlineStr">
        <is>
          <t>https://csrc.nist.gov/pubs/sp/800/82/r3/final</t>
        </is>
      </c>
      <c r="J61" s="109" t="inlineStr">
        <is>
          <t>Reference mapping</t>
        </is>
      </c>
      <c r="K61" s="146" t="inlineStr">
        <is>
          <t>D</t>
        </is>
      </c>
      <c r="L61" s="146" t="inlineStr">
        <is>
          <t>SRC-OT-01</t>
        </is>
      </c>
    </row>
    <row r="62" ht="15" customHeight="1" s="110">
      <c r="A62" s="109" t="inlineStr">
        <is>
          <t>T0858</t>
        </is>
      </c>
      <c r="B62" s="109" t="inlineStr">
        <is>
          <t>Change Operating Mode</t>
        </is>
      </c>
      <c r="C62" s="109" t="inlineStr">
        <is>
          <t>S2</t>
        </is>
      </c>
      <c r="D62" s="109" t="inlineStr">
        <is>
          <t>All registered asset types; actual architecture/platform evidence overrides</t>
        </is>
      </c>
      <c r="E62" s="109" t="inlineStr">
        <is>
          <t>https://attack.mitre.org/techniques/T0858</t>
        </is>
      </c>
      <c r="F62" s="146" t="inlineStr">
        <is>
          <t>Yes</t>
        </is>
      </c>
      <c r="G62" s="109" t="inlineStr">
        <is>
          <t>No explicit facility gate — defaults feasible</t>
        </is>
      </c>
      <c r="H62" s="109" t="inlineStr">
        <is>
          <t>Change Operating Mode is applicable to execution or persistence on engineering workstations, HMIs, servers or controllers used in Power Generation facilities.</t>
        </is>
      </c>
      <c r="I62" s="109" t="inlineStr">
        <is>
          <t>https://csrc.nist.gov/pubs/sp/800/82/r3/final</t>
        </is>
      </c>
      <c r="J62" s="109" t="inlineStr">
        <is>
          <t>Reference mapping</t>
        </is>
      </c>
      <c r="K62" s="146" t="inlineStr">
        <is>
          <t>D</t>
        </is>
      </c>
      <c r="L62" s="146" t="inlineStr">
        <is>
          <t>SRC-OT-01</t>
        </is>
      </c>
    </row>
    <row r="63" ht="15" customHeight="1" s="110">
      <c r="A63" s="109" t="inlineStr">
        <is>
          <t>T0859</t>
        </is>
      </c>
      <c r="B63" s="109" t="inlineStr">
        <is>
          <t>Valid Accounts</t>
        </is>
      </c>
      <c r="C63" s="109" t="inlineStr">
        <is>
          <t>S3</t>
        </is>
      </c>
      <c r="D63" s="109" t="inlineStr">
        <is>
          <t>All registered asset types; actual architecture/platform evidence overrides</t>
        </is>
      </c>
      <c r="E63" s="109" t="inlineStr">
        <is>
          <t>https://attack.mitre.org/techniques/T0859</t>
        </is>
      </c>
      <c r="F63" s="146" t="inlineStr">
        <is>
          <t>Yes</t>
        </is>
      </c>
      <c r="G63" s="109" t="inlineStr">
        <is>
          <t>No explicit facility gate — defaults feasible</t>
        </is>
      </c>
      <c r="H63" s="109" t="inlineStr">
        <is>
          <t>Valid Accounts can support movement toward or within plant/control zones; actual reachability is governed by the assessed facility architecture.</t>
        </is>
      </c>
      <c r="I63" s="109" t="inlineStr">
        <is>
          <t>https://csrc.nist.gov/pubs/sp/800/82/r3/final</t>
        </is>
      </c>
      <c r="J63" s="109" t="inlineStr">
        <is>
          <t>Reference mapping</t>
        </is>
      </c>
      <c r="K63" s="146" t="inlineStr">
        <is>
          <t>D</t>
        </is>
      </c>
      <c r="L63" s="146" t="inlineStr">
        <is>
          <t>SRC-OT-01</t>
        </is>
      </c>
    </row>
    <row r="64" ht="15" customHeight="1" s="110">
      <c r="A64" s="109" t="inlineStr">
        <is>
          <t>T0860</t>
        </is>
      </c>
      <c r="B64" s="109" t="inlineStr">
        <is>
          <t>Wireless Compromise</t>
        </is>
      </c>
      <c r="C64" s="109" t="inlineStr">
        <is>
          <t>S1</t>
        </is>
      </c>
      <c r="D64" s="109" t="inlineStr">
        <is>
          <t>All registered asset types; actual architecture/platform evidence overrides</t>
        </is>
      </c>
      <c r="E64" s="109" t="inlineStr">
        <is>
          <t>https://attack.mitre.org/techniques/T0860</t>
        </is>
      </c>
      <c r="F64" s="146" t="inlineStr">
        <is>
          <t>Yes</t>
        </is>
      </c>
      <c r="G64" s="109" t="inlineStr">
        <is>
          <t>WIRELESS — Yes</t>
        </is>
      </c>
      <c r="H64" s="109" t="inlineStr">
        <is>
          <t>The Wireless Compromise route is credible for Power Generation OT when the enabling access condition exists; existing facility gates determine remote, internet, transient, supply-chain or wireless feasibility.</t>
        </is>
      </c>
      <c r="I64" s="109" t="inlineStr">
        <is>
          <t>https://csrc.nist.gov/pubs/sp/800/82/r3/final</t>
        </is>
      </c>
      <c r="J64" s="109" t="inlineStr">
        <is>
          <t>Reference mapping</t>
        </is>
      </c>
      <c r="K64" s="146" t="inlineStr">
        <is>
          <t>D</t>
        </is>
      </c>
      <c r="L64" s="146" t="inlineStr">
        <is>
          <t>SRC-OT-01</t>
        </is>
      </c>
    </row>
    <row r="65" ht="15" customHeight="1" s="110">
      <c r="A65" s="109" t="inlineStr">
        <is>
          <t>T0861</t>
        </is>
      </c>
      <c r="B65" s="109" t="inlineStr">
        <is>
          <t>Point &amp; Tag Identification</t>
        </is>
      </c>
      <c r="C65" s="109" t="inlineStr">
        <is>
          <t>S4</t>
        </is>
      </c>
      <c r="D65" s="109" t="inlineStr">
        <is>
          <t>All registered asset types; actual architecture/platform evidence overrides</t>
        </is>
      </c>
      <c r="E65" s="109" t="inlineStr">
        <is>
          <t>https://attack.mitre.org/techniques/T0861</t>
        </is>
      </c>
      <c r="F65" s="146" t="inlineStr">
        <is>
          <t>Yes</t>
        </is>
      </c>
      <c r="G65" s="109" t="inlineStr">
        <is>
          <t>No explicit facility gate — defaults feasible</t>
        </is>
      </c>
      <c r="H65" s="109" t="inlineStr">
        <is>
          <t>Point &amp; Tag Identification can support discovery or interaction with process state, control assets and operational data in Power Generation environments.</t>
        </is>
      </c>
      <c r="I65" s="109" t="inlineStr">
        <is>
          <t>https://csrc.nist.gov/pubs/sp/800/82/r3/final</t>
        </is>
      </c>
      <c r="J65" s="109" t="inlineStr">
        <is>
          <t>Reference mapping</t>
        </is>
      </c>
      <c r="K65" s="146" t="inlineStr">
        <is>
          <t>D</t>
        </is>
      </c>
      <c r="L65" s="146" t="inlineStr">
        <is>
          <t>SRC-OT-01</t>
        </is>
      </c>
    </row>
    <row r="66" ht="15" customHeight="1" s="110">
      <c r="A66" s="109" t="inlineStr">
        <is>
          <t>T0862</t>
        </is>
      </c>
      <c r="B66" s="109" t="inlineStr">
        <is>
          <t>Supply Chain Compromise</t>
        </is>
      </c>
      <c r="C66" s="109" t="inlineStr">
        <is>
          <t>S1</t>
        </is>
      </c>
      <c r="D66" s="109" t="inlineStr">
        <is>
          <t>All registered asset types; actual architecture/platform evidence overrides</t>
        </is>
      </c>
      <c r="E66" s="109" t="inlineStr">
        <is>
          <t>https://attack.mitre.org/techniques/T0862</t>
        </is>
      </c>
      <c r="F66" s="146" t="inlineStr">
        <is>
          <t>Yes</t>
        </is>
      </c>
      <c r="G66" s="109" t="inlineStr">
        <is>
          <t>SUPPLY_CHAIN — Yes</t>
        </is>
      </c>
      <c r="H66" s="109" t="inlineStr">
        <is>
          <t>The Supply Chain Compromise route is credible for Power Generation OT when the enabling access condition exists; existing facility gates determine remote, internet, transient, supply-chain or wireless feasibility.</t>
        </is>
      </c>
      <c r="I66" s="109" t="inlineStr">
        <is>
          <t>https://csrc.nist.gov/pubs/sp/800/82/r3/final</t>
        </is>
      </c>
      <c r="J66" s="109" t="inlineStr">
        <is>
          <t>Reference mapping</t>
        </is>
      </c>
      <c r="K66" s="146" t="inlineStr">
        <is>
          <t>D</t>
        </is>
      </c>
      <c r="L66" s="146" t="inlineStr">
        <is>
          <t>SRC-OT-01</t>
        </is>
      </c>
    </row>
    <row r="67" ht="15" customHeight="1" s="110">
      <c r="A67" s="109" t="inlineStr">
        <is>
          <t>T0863</t>
        </is>
      </c>
      <c r="B67" s="109" t="inlineStr">
        <is>
          <t>User Execution</t>
        </is>
      </c>
      <c r="C67" s="109" t="inlineStr">
        <is>
          <t>S2</t>
        </is>
      </c>
      <c r="D67" s="109" t="inlineStr">
        <is>
          <t>All registered asset types; actual architecture/platform evidence overrides</t>
        </is>
      </c>
      <c r="E67" s="109" t="inlineStr">
        <is>
          <t>https://attack.mitre.org/techniques/T0863</t>
        </is>
      </c>
      <c r="F67" s="146" t="inlineStr">
        <is>
          <t>Yes</t>
        </is>
      </c>
      <c r="G67" s="109" t="inlineStr">
        <is>
          <t>No explicit facility gate — defaults feasible</t>
        </is>
      </c>
      <c r="H67" s="109" t="inlineStr">
        <is>
          <t>User Execution is applicable to execution or persistence on engineering workstations, HMIs, servers or controllers used in Power Generation facilities.</t>
        </is>
      </c>
      <c r="I67" s="109" t="inlineStr">
        <is>
          <t>https://csrc.nist.gov/pubs/sp/800/82/r3/final</t>
        </is>
      </c>
      <c r="J67" s="109" t="inlineStr">
        <is>
          <t>Reference mapping</t>
        </is>
      </c>
      <c r="K67" s="146" t="inlineStr">
        <is>
          <t>D</t>
        </is>
      </c>
      <c r="L67" s="146" t="inlineStr">
        <is>
          <t>SRC-OT-01</t>
        </is>
      </c>
    </row>
    <row r="68" ht="15" customHeight="1" s="110">
      <c r="A68" s="109" t="inlineStr">
        <is>
          <t>T0864</t>
        </is>
      </c>
      <c r="B68" s="109" t="inlineStr">
        <is>
          <t>Transient Cyber Asset</t>
        </is>
      </c>
      <c r="C68" s="109" t="inlineStr">
        <is>
          <t>S1</t>
        </is>
      </c>
      <c r="D68" s="109" t="inlineStr">
        <is>
          <t>All registered asset types; actual architecture/platform evidence overrides</t>
        </is>
      </c>
      <c r="E68" s="109" t="inlineStr">
        <is>
          <t>https://attack.mitre.org/techniques/T0864</t>
        </is>
      </c>
      <c r="F68" s="146" t="inlineStr">
        <is>
          <t>Yes</t>
        </is>
      </c>
      <c r="G68" s="109" t="inlineStr">
        <is>
          <t>TRANSIENT_REQUIRED — Not None</t>
        </is>
      </c>
      <c r="H68" s="109" t="inlineStr">
        <is>
          <t>The Transient Cyber Asset route is credible for Power Generation OT when the enabling access condition exists; existing facility gates determine remote, internet, transient, supply-chain or wireless feasibility.</t>
        </is>
      </c>
      <c r="I68" s="109" t="inlineStr">
        <is>
          <t>https://csrc.nist.gov/pubs/sp/800/82/r3/final</t>
        </is>
      </c>
      <c r="J68" s="109" t="inlineStr">
        <is>
          <t>Reference mapping</t>
        </is>
      </c>
      <c r="K68" s="146" t="inlineStr">
        <is>
          <t>D</t>
        </is>
      </c>
      <c r="L68" s="146" t="inlineStr">
        <is>
          <t>SRC-OT-01</t>
        </is>
      </c>
    </row>
    <row r="69" ht="15" customHeight="1" s="110">
      <c r="A69" s="109" t="inlineStr">
        <is>
          <t>T0865</t>
        </is>
      </c>
      <c r="B69" s="109" t="inlineStr">
        <is>
          <t>Spearphishing Attachment</t>
        </is>
      </c>
      <c r="C69" s="109" t="inlineStr">
        <is>
          <t>S1</t>
        </is>
      </c>
      <c r="D69" s="109" t="inlineStr">
        <is>
          <t>All registered asset types; actual architecture/platform evidence overrides</t>
        </is>
      </c>
      <c r="E69" s="109" t="inlineStr">
        <is>
          <t>https://attack.mitre.org/techniques/T0865</t>
        </is>
      </c>
      <c r="F69" s="146" t="inlineStr">
        <is>
          <t>Yes</t>
        </is>
      </c>
      <c r="G69" s="109" t="inlineStr">
        <is>
          <t>No explicit facility gate — defaults feasible</t>
        </is>
      </c>
      <c r="H69" s="109" t="inlineStr">
        <is>
          <t>The Spearphishing Attachment route is credible for Power Generation OT when the enabling access condition exists; existing facility gates determine remote, internet, transient, supply-chain or wireless feasibility.</t>
        </is>
      </c>
      <c r="I69" s="109" t="inlineStr">
        <is>
          <t>https://csrc.nist.gov/pubs/sp/800/82/r3/final</t>
        </is>
      </c>
      <c r="J69" s="109" t="inlineStr">
        <is>
          <t>Reference mapping</t>
        </is>
      </c>
      <c r="K69" s="146" t="inlineStr">
        <is>
          <t>D</t>
        </is>
      </c>
      <c r="L69" s="146" t="inlineStr">
        <is>
          <t>SRC-OT-01</t>
        </is>
      </c>
    </row>
    <row r="70" ht="15" customHeight="1" s="110">
      <c r="A70" s="109" t="inlineStr">
        <is>
          <t>T0866</t>
        </is>
      </c>
      <c r="B70" s="109" t="inlineStr">
        <is>
          <t>Exploitation of Remote Services</t>
        </is>
      </c>
      <c r="C70" s="109" t="inlineStr">
        <is>
          <t>S1</t>
        </is>
      </c>
      <c r="D70" s="109" t="inlineStr">
        <is>
          <t>All registered asset types; actual architecture/platform evidence overrides</t>
        </is>
      </c>
      <c r="E70" s="109" t="inlineStr">
        <is>
          <t>https://attack.mitre.org/techniques/T0866</t>
        </is>
      </c>
      <c r="F70" s="146" t="inlineStr">
        <is>
          <t>Yes</t>
        </is>
      </c>
      <c r="G70" s="109" t="inlineStr">
        <is>
          <t>REMOTE_OR_ITOT — Remote path or IT-OT connection</t>
        </is>
      </c>
      <c r="H70" s="109" t="inlineStr">
        <is>
          <t>The Exploitation of Remote Services route is credible for Power Generation OT when the enabling access condition exists; existing facility gates determine remote, internet, transient, supply-chain or wireless feasibility.</t>
        </is>
      </c>
      <c r="I70" s="109" t="inlineStr">
        <is>
          <t>https://csrc.nist.gov/pubs/sp/800/82/r3/final</t>
        </is>
      </c>
      <c r="J70" s="109" t="inlineStr">
        <is>
          <t>Reference mapping</t>
        </is>
      </c>
      <c r="K70" s="146" t="inlineStr">
        <is>
          <t>D</t>
        </is>
      </c>
      <c r="L70" s="146" t="inlineStr">
        <is>
          <t>SRC-OT-01</t>
        </is>
      </c>
    </row>
    <row r="71" ht="15" customHeight="1" s="110">
      <c r="A71" s="109" t="inlineStr">
        <is>
          <t>T0867</t>
        </is>
      </c>
      <c r="B71" s="109" t="inlineStr">
        <is>
          <t>Lateral Tool Transfer</t>
        </is>
      </c>
      <c r="C71" s="109" t="inlineStr">
        <is>
          <t>S3</t>
        </is>
      </c>
      <c r="D71" s="109" t="inlineStr">
        <is>
          <t>All registered asset types; actual architecture/platform evidence overrides</t>
        </is>
      </c>
      <c r="E71" s="109" t="inlineStr">
        <is>
          <t>https://attack.mitre.org/techniques/T0867</t>
        </is>
      </c>
      <c r="F71" s="146" t="inlineStr">
        <is>
          <t>Yes</t>
        </is>
      </c>
      <c r="G71" s="109" t="inlineStr">
        <is>
          <t>No explicit facility gate — defaults feasible</t>
        </is>
      </c>
      <c r="H71" s="109" t="inlineStr">
        <is>
          <t>Lateral Tool Transfer can support movement toward or within plant/control zones; actual reachability is governed by the assessed facility architecture.</t>
        </is>
      </c>
      <c r="I71" s="109" t="inlineStr">
        <is>
          <t>https://csrc.nist.gov/pubs/sp/800/82/r3/final</t>
        </is>
      </c>
      <c r="J71" s="109" t="inlineStr">
        <is>
          <t>Reference mapping</t>
        </is>
      </c>
      <c r="K71" s="146" t="inlineStr">
        <is>
          <t>D</t>
        </is>
      </c>
      <c r="L71" s="146" t="inlineStr">
        <is>
          <t>SRC-OT-01</t>
        </is>
      </c>
    </row>
    <row r="72" ht="15" customHeight="1" s="110">
      <c r="A72" s="109" t="inlineStr">
        <is>
          <t>T0868</t>
        </is>
      </c>
      <c r="B72" s="109" t="inlineStr">
        <is>
          <t>Detect Operating Mode</t>
        </is>
      </c>
      <c r="C72" s="109" t="inlineStr">
        <is>
          <t>S4</t>
        </is>
      </c>
      <c r="D72" s="109" t="inlineStr">
        <is>
          <t>All registered asset types; actual architecture/platform evidence overrides</t>
        </is>
      </c>
      <c r="E72" s="109" t="inlineStr">
        <is>
          <t>https://attack.mitre.org/techniques/T0868</t>
        </is>
      </c>
      <c r="F72" s="146" t="inlineStr">
        <is>
          <t>Yes</t>
        </is>
      </c>
      <c r="G72" s="109" t="inlineStr">
        <is>
          <t>No explicit facility gate — defaults feasible</t>
        </is>
      </c>
      <c r="H72" s="109" t="inlineStr">
        <is>
          <t>Detect Operating Mode can support discovery or interaction with process state, control assets and operational data in Power Generation environments.</t>
        </is>
      </c>
      <c r="I72" s="109" t="inlineStr">
        <is>
          <t>https://csrc.nist.gov/pubs/sp/800/82/r3/final</t>
        </is>
      </c>
      <c r="J72" s="109" t="inlineStr">
        <is>
          <t>Reference mapping</t>
        </is>
      </c>
      <c r="K72" s="146" t="inlineStr">
        <is>
          <t>D</t>
        </is>
      </c>
      <c r="L72" s="146" t="inlineStr">
        <is>
          <t>SRC-OT-01</t>
        </is>
      </c>
    </row>
    <row r="73" ht="15" customHeight="1" s="110">
      <c r="A73" s="109" t="inlineStr">
        <is>
          <t>T0869</t>
        </is>
      </c>
      <c r="B73" s="109" t="inlineStr">
        <is>
          <t>Standard Application Layer Protocol</t>
        </is>
      </c>
      <c r="C73" s="109" t="inlineStr">
        <is>
          <t>S3</t>
        </is>
      </c>
      <c r="D73" s="109" t="inlineStr">
        <is>
          <t>All registered asset types; actual architecture/platform evidence overrides</t>
        </is>
      </c>
      <c r="E73" s="109" t="inlineStr">
        <is>
          <t>https://attack.mitre.org/techniques/T0869</t>
        </is>
      </c>
      <c r="F73" s="146" t="inlineStr">
        <is>
          <t>Yes</t>
        </is>
      </c>
      <c r="G73" s="109" t="inlineStr">
        <is>
          <t>No explicit facility gate — defaults feasible</t>
        </is>
      </c>
      <c r="H73" s="109" t="inlineStr">
        <is>
          <t>Standard Application Layer Protocol can support movement toward or within plant/control zones; actual reachability is governed by the assessed facility architecture.</t>
        </is>
      </c>
      <c r="I73" s="109" t="inlineStr">
        <is>
          <t>https://csrc.nist.gov/pubs/sp/800/82/r3/final</t>
        </is>
      </c>
      <c r="J73" s="109" t="inlineStr">
        <is>
          <t>Reference mapping</t>
        </is>
      </c>
      <c r="K73" s="146" t="inlineStr">
        <is>
          <t>D</t>
        </is>
      </c>
      <c r="L73" s="146" t="inlineStr">
        <is>
          <t>SRC-OT-01</t>
        </is>
      </c>
    </row>
    <row r="74" ht="15" customHeight="1" s="110">
      <c r="A74" s="109" t="inlineStr">
        <is>
          <t>T0871</t>
        </is>
      </c>
      <c r="B74" s="109" t="inlineStr">
        <is>
          <t>Execution through API</t>
        </is>
      </c>
      <c r="C74" s="109" t="inlineStr">
        <is>
          <t>S2</t>
        </is>
      </c>
      <c r="D74" s="109" t="inlineStr">
        <is>
          <t>All registered asset types; actual architecture/platform evidence overrides</t>
        </is>
      </c>
      <c r="E74" s="109" t="inlineStr">
        <is>
          <t>https://attack.mitre.org/techniques/T0871</t>
        </is>
      </c>
      <c r="F74" s="146" t="inlineStr">
        <is>
          <t>Yes</t>
        </is>
      </c>
      <c r="G74" s="109" t="inlineStr">
        <is>
          <t>No explicit facility gate — defaults feasible</t>
        </is>
      </c>
      <c r="H74" s="109" t="inlineStr">
        <is>
          <t>Execution through API is applicable to execution or persistence on engineering workstations, HMIs, servers or controllers used in Power Generation facilities.</t>
        </is>
      </c>
      <c r="I74" s="109" t="inlineStr">
        <is>
          <t>https://csrc.nist.gov/pubs/sp/800/82/r3/final</t>
        </is>
      </c>
      <c r="J74" s="109" t="inlineStr">
        <is>
          <t>Reference mapping</t>
        </is>
      </c>
      <c r="K74" s="146" t="inlineStr">
        <is>
          <t>D</t>
        </is>
      </c>
      <c r="L74" s="146" t="inlineStr">
        <is>
          <t>SRC-OT-01</t>
        </is>
      </c>
    </row>
    <row r="75" ht="15" customHeight="1" s="110">
      <c r="A75" s="109" t="inlineStr">
        <is>
          <t>T0872</t>
        </is>
      </c>
      <c r="B75" s="109" t="inlineStr">
        <is>
          <t>Indicator Removal on Host</t>
        </is>
      </c>
      <c r="C75" s="109" t="inlineStr">
        <is>
          <t>S2</t>
        </is>
      </c>
      <c r="D75" s="109" t="inlineStr">
        <is>
          <t>All registered asset types; actual architecture/platform evidence overrides</t>
        </is>
      </c>
      <c r="E75" s="109" t="inlineStr">
        <is>
          <t>https://attack.mitre.org/techniques/T0872</t>
        </is>
      </c>
      <c r="F75" s="146" t="inlineStr">
        <is>
          <t>Yes</t>
        </is>
      </c>
      <c r="G75" s="109" t="inlineStr">
        <is>
          <t>No explicit facility gate — defaults feasible</t>
        </is>
      </c>
      <c r="H75" s="109" t="inlineStr">
        <is>
          <t>Indicator Removal on Host is applicable to execution or persistence on engineering workstations, HMIs, servers or controllers used in Power Generation facilities.</t>
        </is>
      </c>
      <c r="I75" s="109" t="inlineStr">
        <is>
          <t>https://csrc.nist.gov/pubs/sp/800/82/r3/final</t>
        </is>
      </c>
      <c r="J75" s="109" t="inlineStr">
        <is>
          <t>Reference mapping</t>
        </is>
      </c>
      <c r="K75" s="146" t="inlineStr">
        <is>
          <t>D</t>
        </is>
      </c>
      <c r="L75" s="146" t="inlineStr">
        <is>
          <t>SRC-OT-01</t>
        </is>
      </c>
    </row>
    <row r="76" ht="15" customHeight="1" s="110">
      <c r="A76" s="109" t="inlineStr">
        <is>
          <t>T0873</t>
        </is>
      </c>
      <c r="B76" s="109" t="inlineStr">
        <is>
          <t>Project File Infection</t>
        </is>
      </c>
      <c r="C76" s="109" t="inlineStr">
        <is>
          <t>S2</t>
        </is>
      </c>
      <c r="D76" s="109" t="inlineStr">
        <is>
          <t>All registered asset types; actual architecture/platform evidence overrides</t>
        </is>
      </c>
      <c r="E76" s="109" t="inlineStr">
        <is>
          <t>https://attack.mitre.org/techniques/T0873</t>
        </is>
      </c>
      <c r="F76" s="146" t="inlineStr">
        <is>
          <t>Yes</t>
        </is>
      </c>
      <c r="G76" s="109" t="inlineStr">
        <is>
          <t>No explicit facility gate — defaults feasible</t>
        </is>
      </c>
      <c r="H76" s="109" t="inlineStr">
        <is>
          <t>Project File Infection is applicable to execution or persistence on engineering workstations, HMIs, servers or controllers used in Power Generation facilities.</t>
        </is>
      </c>
      <c r="I76" s="109" t="inlineStr">
        <is>
          <t>https://csrc.nist.gov/pubs/sp/800/82/r3/final</t>
        </is>
      </c>
      <c r="J76" s="109" t="inlineStr">
        <is>
          <t>Reference mapping</t>
        </is>
      </c>
      <c r="K76" s="146" t="inlineStr">
        <is>
          <t>D</t>
        </is>
      </c>
      <c r="L76" s="146" t="inlineStr">
        <is>
          <t>SRC-OT-01</t>
        </is>
      </c>
    </row>
    <row r="77" ht="15" customHeight="1" s="110">
      <c r="A77" s="109" t="inlineStr">
        <is>
          <t>T0873.001</t>
        </is>
      </c>
      <c r="B77" s="109" t="inlineStr">
        <is>
          <t>Siemens Project File Format</t>
        </is>
      </c>
      <c r="C77" s="109" t="inlineStr">
        <is>
          <t>S2</t>
        </is>
      </c>
      <c r="D77" s="109" t="inlineStr">
        <is>
          <t>All registered asset types; actual architecture/platform evidence overrides</t>
        </is>
      </c>
      <c r="E77" s="109" t="inlineStr">
        <is>
          <t>https://attack.mitre.org/techniques/T0873/001</t>
        </is>
      </c>
      <c r="F77" s="146" t="inlineStr">
        <is>
          <t>Yes</t>
        </is>
      </c>
      <c r="G77" s="109" t="inlineStr">
        <is>
          <t>No explicit facility gate — defaults feasible</t>
        </is>
      </c>
      <c r="H77" s="109" t="inlineStr">
        <is>
          <t>Siemens Project File Format is applicable to execution or persistence on engineering workstations, HMIs, servers or controllers used in Power Generation facilities.</t>
        </is>
      </c>
      <c r="I77" s="109" t="inlineStr">
        <is>
          <t>https://csrc.nist.gov/pubs/sp/800/82/r3/final</t>
        </is>
      </c>
      <c r="J77" s="109" t="inlineStr">
        <is>
          <t>Reference mapping</t>
        </is>
      </c>
      <c r="K77" s="146" t="inlineStr">
        <is>
          <t>D</t>
        </is>
      </c>
      <c r="L77" s="146" t="inlineStr">
        <is>
          <t>SRC-OT-01</t>
        </is>
      </c>
    </row>
    <row r="78" ht="15" customHeight="1" s="110">
      <c r="A78" s="109" t="inlineStr">
        <is>
          <t>T0874</t>
        </is>
      </c>
      <c r="B78" s="109" t="inlineStr">
        <is>
          <t>Hooking</t>
        </is>
      </c>
      <c r="C78" s="109" t="inlineStr">
        <is>
          <t>S2</t>
        </is>
      </c>
      <c r="D78" s="109" t="inlineStr">
        <is>
          <t>All registered asset types; actual architecture/platform evidence overrides</t>
        </is>
      </c>
      <c r="E78" s="109" t="inlineStr">
        <is>
          <t>https://attack.mitre.org/techniques/T0874</t>
        </is>
      </c>
      <c r="F78" s="146" t="inlineStr">
        <is>
          <t>Yes</t>
        </is>
      </c>
      <c r="G78" s="109" t="inlineStr">
        <is>
          <t>No explicit facility gate — defaults feasible</t>
        </is>
      </c>
      <c r="H78" s="109" t="inlineStr">
        <is>
          <t>Hooking is applicable to execution or persistence on engineering workstations, HMIs, servers or controllers used in Power Generation facilities.</t>
        </is>
      </c>
      <c r="I78" s="109" t="inlineStr">
        <is>
          <t>https://csrc.nist.gov/pubs/sp/800/82/r3/final</t>
        </is>
      </c>
      <c r="J78" s="109" t="inlineStr">
        <is>
          <t>Reference mapping</t>
        </is>
      </c>
      <c r="K78" s="146" t="inlineStr">
        <is>
          <t>D</t>
        </is>
      </c>
      <c r="L78" s="146" t="inlineStr">
        <is>
          <t>SRC-OT-01</t>
        </is>
      </c>
    </row>
    <row r="79" ht="15" customHeight="1" s="110">
      <c r="A79" s="109" t="inlineStr">
        <is>
          <t>T0877</t>
        </is>
      </c>
      <c r="B79" s="109" t="inlineStr">
        <is>
          <t>I/O Image</t>
        </is>
      </c>
      <c r="C79" s="109" t="inlineStr">
        <is>
          <t>S4</t>
        </is>
      </c>
      <c r="D79" s="109" t="inlineStr">
        <is>
          <t>All registered asset types; actual architecture/platform evidence overrides</t>
        </is>
      </c>
      <c r="E79" s="109" t="inlineStr">
        <is>
          <t>https://attack.mitre.org/techniques/T0877</t>
        </is>
      </c>
      <c r="F79" s="146" t="inlineStr">
        <is>
          <t>Yes</t>
        </is>
      </c>
      <c r="G79" s="109" t="inlineStr">
        <is>
          <t>No explicit facility gate — defaults feasible</t>
        </is>
      </c>
      <c r="H79" s="109" t="inlineStr">
        <is>
          <t>I/O Image can support discovery or interaction with process state, control assets and operational data in Power Generation environments.</t>
        </is>
      </c>
      <c r="I79" s="109" t="inlineStr">
        <is>
          <t>https://csrc.nist.gov/pubs/sp/800/82/r3/final</t>
        </is>
      </c>
      <c r="J79" s="109" t="inlineStr">
        <is>
          <t>Reference mapping</t>
        </is>
      </c>
      <c r="K79" s="146" t="inlineStr">
        <is>
          <t>D</t>
        </is>
      </c>
      <c r="L79" s="146" t="inlineStr">
        <is>
          <t>SRC-OT-01</t>
        </is>
      </c>
    </row>
    <row r="80" ht="15" customHeight="1" s="110">
      <c r="A80" s="109" t="inlineStr">
        <is>
          <t>T0878</t>
        </is>
      </c>
      <c r="B80" s="109" t="inlineStr">
        <is>
          <t>Alarm Suppression</t>
        </is>
      </c>
      <c r="C80" s="109" t="inlineStr">
        <is>
          <t>S5</t>
        </is>
      </c>
      <c r="D80" s="109" t="inlineStr">
        <is>
          <t>All registered asset types; actual architecture/platform evidence overrides</t>
        </is>
      </c>
      <c r="E80" s="109" t="inlineStr">
        <is>
          <t>https://attack.mitre.org/techniques/T0878</t>
        </is>
      </c>
      <c r="F80" s="146" t="inlineStr">
        <is>
          <t>Yes</t>
        </is>
      </c>
      <c r="G80" s="109" t="inlineStr">
        <is>
          <t>No explicit facility gate — defaults feasible</t>
        </is>
      </c>
      <c r="H80" s="109" t="inlineStr">
        <is>
          <t>Alarm Suppression is an ATT&amp;CK for ICS impact or response-inhibition technique that can support one or more governed adverse scenarios; scenario role remains controlled on 09.</t>
        </is>
      </c>
      <c r="I80" s="109" t="inlineStr">
        <is>
          <t>https://csrc.nist.gov/pubs/sp/800/82/r3/final</t>
        </is>
      </c>
      <c r="J80" s="109" t="inlineStr">
        <is>
          <t>Reference mapping</t>
        </is>
      </c>
      <c r="K80" s="146" t="inlineStr">
        <is>
          <t>D</t>
        </is>
      </c>
      <c r="L80" s="146" t="inlineStr">
        <is>
          <t>SRC-OT-01</t>
        </is>
      </c>
    </row>
    <row r="81" ht="15" customHeight="1" s="110">
      <c r="A81" s="109" t="inlineStr">
        <is>
          <t>T0879</t>
        </is>
      </c>
      <c r="B81" s="109" t="inlineStr">
        <is>
          <t>Damage to Property</t>
        </is>
      </c>
      <c r="C81" s="109" t="inlineStr">
        <is>
          <t>S5</t>
        </is>
      </c>
      <c r="D81" s="109" t="inlineStr">
        <is>
          <t>All registered asset types; actual architecture/platform evidence overrides</t>
        </is>
      </c>
      <c r="E81" s="109" t="inlineStr">
        <is>
          <t>https://attack.mitre.org/techniques/T0879</t>
        </is>
      </c>
      <c r="F81" s="146" t="inlineStr">
        <is>
          <t>Yes</t>
        </is>
      </c>
      <c r="G81" s="109" t="inlineStr">
        <is>
          <t>No explicit facility gate — defaults feasible</t>
        </is>
      </c>
      <c r="H81" s="109" t="inlineStr">
        <is>
          <t>Damage to Property is an ATT&amp;CK for ICS impact or response-inhibition technique that can support one or more governed adverse scenarios; scenario role remains controlled on 09.</t>
        </is>
      </c>
      <c r="I81" s="109" t="inlineStr">
        <is>
          <t>https://csrc.nist.gov/pubs/sp/800/82/r3/final</t>
        </is>
      </c>
      <c r="J81" s="109" t="inlineStr">
        <is>
          <t>Reference mapping</t>
        </is>
      </c>
      <c r="K81" s="146" t="inlineStr">
        <is>
          <t>D</t>
        </is>
      </c>
      <c r="L81" s="146" t="inlineStr">
        <is>
          <t>SRC-OT-01</t>
        </is>
      </c>
    </row>
    <row r="82" ht="15" customHeight="1" s="110">
      <c r="A82" s="109" t="inlineStr">
        <is>
          <t>T0880</t>
        </is>
      </c>
      <c r="B82" s="109" t="inlineStr">
        <is>
          <t>Loss of Safety</t>
        </is>
      </c>
      <c r="C82" s="109" t="inlineStr">
        <is>
          <t>S5</t>
        </is>
      </c>
      <c r="D82" s="109" t="inlineStr">
        <is>
          <t>All registered asset types; actual architecture/platform evidence overrides</t>
        </is>
      </c>
      <c r="E82" s="109" t="inlineStr">
        <is>
          <t>https://attack.mitre.org/techniques/T0880</t>
        </is>
      </c>
      <c r="F82" s="146" t="inlineStr">
        <is>
          <t>Yes</t>
        </is>
      </c>
      <c r="G82" s="109" t="inlineStr">
        <is>
          <t>No explicit facility gate — defaults feasible</t>
        </is>
      </c>
      <c r="H82" s="109" t="inlineStr">
        <is>
          <t>Loss of Safety is an ATT&amp;CK for ICS impact or response-inhibition technique that can support one or more governed adverse scenarios; scenario role remains controlled on 09.</t>
        </is>
      </c>
      <c r="I82" s="109" t="inlineStr">
        <is>
          <t>https://csrc.nist.gov/pubs/sp/800/82/r3/final</t>
        </is>
      </c>
      <c r="J82" s="109" t="inlineStr">
        <is>
          <t>Reference mapping</t>
        </is>
      </c>
      <c r="K82" s="146" t="inlineStr">
        <is>
          <t>D</t>
        </is>
      </c>
      <c r="L82" s="146" t="inlineStr">
        <is>
          <t>SRC-OT-01</t>
        </is>
      </c>
    </row>
    <row r="83" ht="15" customHeight="1" s="110">
      <c r="A83" s="109" t="inlineStr">
        <is>
          <t>T0881</t>
        </is>
      </c>
      <c r="B83" s="109" t="inlineStr">
        <is>
          <t>Service Stop</t>
        </is>
      </c>
      <c r="C83" s="109" t="inlineStr">
        <is>
          <t>S5</t>
        </is>
      </c>
      <c r="D83" s="109" t="inlineStr">
        <is>
          <t>All registered asset types; actual architecture/platform evidence overrides</t>
        </is>
      </c>
      <c r="E83" s="109" t="inlineStr">
        <is>
          <t>https://attack.mitre.org/techniques/T0881</t>
        </is>
      </c>
      <c r="F83" s="146" t="inlineStr">
        <is>
          <t>Yes</t>
        </is>
      </c>
      <c r="G83" s="109" t="inlineStr">
        <is>
          <t>No explicit facility gate — defaults feasible</t>
        </is>
      </c>
      <c r="H83" s="109" t="inlineStr">
        <is>
          <t>Service Stop is an ATT&amp;CK for ICS impact or response-inhibition technique that can support one or more governed adverse scenarios; scenario role remains controlled on 09.</t>
        </is>
      </c>
      <c r="I83" s="109" t="inlineStr">
        <is>
          <t>https://csrc.nist.gov/pubs/sp/800/82/r3/final</t>
        </is>
      </c>
      <c r="J83" s="109" t="inlineStr">
        <is>
          <t>Reference mapping</t>
        </is>
      </c>
      <c r="K83" s="146" t="inlineStr">
        <is>
          <t>D</t>
        </is>
      </c>
      <c r="L83" s="146" t="inlineStr">
        <is>
          <t>SRC-OT-01</t>
        </is>
      </c>
    </row>
    <row r="84" ht="15" customHeight="1" s="110">
      <c r="A84" s="109" t="inlineStr">
        <is>
          <t>T0882</t>
        </is>
      </c>
      <c r="B84" s="109" t="inlineStr">
        <is>
          <t>Theft of Operational Information</t>
        </is>
      </c>
      <c r="C84" s="109" t="inlineStr">
        <is>
          <t>S5</t>
        </is>
      </c>
      <c r="D84" s="109" t="inlineStr">
        <is>
          <t>All registered asset types; actual architecture/platform evidence overrides</t>
        </is>
      </c>
      <c r="E84" s="109" t="inlineStr">
        <is>
          <t>https://attack.mitre.org/techniques/T0882</t>
        </is>
      </c>
      <c r="F84" s="146" t="inlineStr">
        <is>
          <t>Yes</t>
        </is>
      </c>
      <c r="G84" s="109" t="inlineStr">
        <is>
          <t>No explicit facility gate — defaults feasible</t>
        </is>
      </c>
      <c r="H84" s="109" t="inlineStr">
        <is>
          <t>Theft of Operational Information is an ATT&amp;CK for ICS impact or response-inhibition technique that can support one or more governed adverse scenarios; scenario role remains controlled on 09.</t>
        </is>
      </c>
      <c r="I84" s="109" t="inlineStr">
        <is>
          <t>https://csrc.nist.gov/pubs/sp/800/82/r3/final</t>
        </is>
      </c>
      <c r="J84" s="109" t="inlineStr">
        <is>
          <t>Reference mapping</t>
        </is>
      </c>
      <c r="K84" s="146" t="inlineStr">
        <is>
          <t>D</t>
        </is>
      </c>
      <c r="L84" s="146" t="inlineStr">
        <is>
          <t>SRC-OT-01</t>
        </is>
      </c>
    </row>
    <row r="85" ht="15" customHeight="1" s="110">
      <c r="A85" s="109" t="inlineStr">
        <is>
          <t>T0883</t>
        </is>
      </c>
      <c r="B85" s="109" t="inlineStr">
        <is>
          <t>Internet Accessible Device</t>
        </is>
      </c>
      <c r="C85" s="109" t="inlineStr">
        <is>
          <t>S1</t>
        </is>
      </c>
      <c r="D85" s="109" t="inlineStr">
        <is>
          <t>All registered asset types; actual architecture/platform evidence overrides</t>
        </is>
      </c>
      <c r="E85" s="109" t="inlineStr">
        <is>
          <t>https://attack.mitre.org/techniques/T0883</t>
        </is>
      </c>
      <c r="F85" s="146" t="inlineStr">
        <is>
          <t>Yes</t>
        </is>
      </c>
      <c r="G85" s="109" t="inlineStr">
        <is>
          <t>INTERNET_OT — Yes</t>
        </is>
      </c>
      <c r="H85" s="109" t="inlineStr">
        <is>
          <t>The Internet Accessible Device route is credible for Power Generation OT when the enabling access condition exists; existing facility gates determine remote, internet, transient, supply-chain or wireless feasibility.</t>
        </is>
      </c>
      <c r="I85" s="109" t="inlineStr">
        <is>
          <t>https://csrc.nist.gov/pubs/sp/800/82/r3/final</t>
        </is>
      </c>
      <c r="J85" s="109" t="inlineStr">
        <is>
          <t>Reference mapping</t>
        </is>
      </c>
      <c r="K85" s="146" t="inlineStr">
        <is>
          <t>D</t>
        </is>
      </c>
      <c r="L85" s="146" t="inlineStr">
        <is>
          <t>SRC-OT-01</t>
        </is>
      </c>
    </row>
    <row r="86" ht="15" customHeight="1" s="110">
      <c r="A86" s="109" t="inlineStr">
        <is>
          <t>T0884</t>
        </is>
      </c>
      <c r="B86" s="109" t="inlineStr">
        <is>
          <t>Connection Proxy</t>
        </is>
      </c>
      <c r="C86" s="109" t="inlineStr">
        <is>
          <t>S3</t>
        </is>
      </c>
      <c r="D86" s="109" t="inlineStr">
        <is>
          <t>All registered asset types; actual architecture/platform evidence overrides</t>
        </is>
      </c>
      <c r="E86" s="109" t="inlineStr">
        <is>
          <t>https://attack.mitre.org/techniques/T0884</t>
        </is>
      </c>
      <c r="F86" s="146" t="inlineStr">
        <is>
          <t>Yes</t>
        </is>
      </c>
      <c r="G86" s="109" t="inlineStr">
        <is>
          <t>No explicit facility gate — defaults feasible</t>
        </is>
      </c>
      <c r="H86" s="109" t="inlineStr">
        <is>
          <t>Connection Proxy can support movement toward or within plant/control zones; actual reachability is governed by the assessed facility architecture.</t>
        </is>
      </c>
      <c r="I86" s="109" t="inlineStr">
        <is>
          <t>https://csrc.nist.gov/pubs/sp/800/82/r3/final</t>
        </is>
      </c>
      <c r="J86" s="109" t="inlineStr">
        <is>
          <t>Reference mapping</t>
        </is>
      </c>
      <c r="K86" s="146" t="inlineStr">
        <is>
          <t>D</t>
        </is>
      </c>
      <c r="L86" s="146" t="inlineStr">
        <is>
          <t>SRC-OT-01</t>
        </is>
      </c>
    </row>
    <row r="87" ht="15" customHeight="1" s="110">
      <c r="A87" s="109" t="inlineStr">
        <is>
          <t>T0885</t>
        </is>
      </c>
      <c r="B87" s="109" t="inlineStr">
        <is>
          <t>Commonly Used Port</t>
        </is>
      </c>
      <c r="C87" s="109" t="inlineStr">
        <is>
          <t>S3</t>
        </is>
      </c>
      <c r="D87" s="109" t="inlineStr">
        <is>
          <t>All registered asset types; actual architecture/platform evidence overrides</t>
        </is>
      </c>
      <c r="E87" s="109" t="inlineStr">
        <is>
          <t>https://attack.mitre.org/techniques/T0885</t>
        </is>
      </c>
      <c r="F87" s="146" t="inlineStr">
        <is>
          <t>Yes</t>
        </is>
      </c>
      <c r="G87" s="109" t="inlineStr">
        <is>
          <t>No explicit facility gate — defaults feasible</t>
        </is>
      </c>
      <c r="H87" s="109" t="inlineStr">
        <is>
          <t>Commonly Used Port can support movement toward or within plant/control zones; actual reachability is governed by the assessed facility architecture.</t>
        </is>
      </c>
      <c r="I87" s="109" t="inlineStr">
        <is>
          <t>https://csrc.nist.gov/pubs/sp/800/82/r3/final</t>
        </is>
      </c>
      <c r="J87" s="109" t="inlineStr">
        <is>
          <t>Reference mapping</t>
        </is>
      </c>
      <c r="K87" s="146" t="inlineStr">
        <is>
          <t>D</t>
        </is>
      </c>
      <c r="L87" s="146" t="inlineStr">
        <is>
          <t>SRC-OT-01</t>
        </is>
      </c>
    </row>
    <row r="88" ht="15" customHeight="1" s="110">
      <c r="A88" s="109" t="inlineStr">
        <is>
          <t>T0886</t>
        </is>
      </c>
      <c r="B88" s="109" t="inlineStr">
        <is>
          <t>Remote Services</t>
        </is>
      </c>
      <c r="C88" s="109" t="inlineStr">
        <is>
          <t>S1</t>
        </is>
      </c>
      <c r="D88" s="109" t="inlineStr">
        <is>
          <t>All registered asset types; actual architecture/platform evidence overrides</t>
        </is>
      </c>
      <c r="E88" s="109" t="inlineStr">
        <is>
          <t>https://attack.mitre.org/techniques/T0886</t>
        </is>
      </c>
      <c r="F88" s="146" t="inlineStr">
        <is>
          <t>Yes</t>
        </is>
      </c>
      <c r="G88" s="109" t="inlineStr">
        <is>
          <t>REMOTE_OR_ITOT — Remote path or IT-OT connection</t>
        </is>
      </c>
      <c r="H88" s="109" t="inlineStr">
        <is>
          <t>The Remote Services route is credible for Power Generation OT when the enabling access condition exists; existing facility gates determine remote, internet, transient, supply-chain or wireless feasibility.</t>
        </is>
      </c>
      <c r="I88" s="109" t="inlineStr">
        <is>
          <t>https://csrc.nist.gov/pubs/sp/800/82/r3/final</t>
        </is>
      </c>
      <c r="J88" s="109" t="inlineStr">
        <is>
          <t>Reference mapping</t>
        </is>
      </c>
      <c r="K88" s="146" t="inlineStr">
        <is>
          <t>D</t>
        </is>
      </c>
      <c r="L88" s="146" t="inlineStr">
        <is>
          <t>SRC-OT-01</t>
        </is>
      </c>
    </row>
    <row r="89" ht="15" customHeight="1" s="110">
      <c r="A89" s="109" t="inlineStr">
        <is>
          <t>T0887</t>
        </is>
      </c>
      <c r="B89" s="109" t="inlineStr">
        <is>
          <t>Wireless Sniffing</t>
        </is>
      </c>
      <c r="C89" s="109" t="inlineStr">
        <is>
          <t>S4</t>
        </is>
      </c>
      <c r="D89" s="109" t="inlineStr">
        <is>
          <t>All registered asset types; actual architecture/platform evidence overrides</t>
        </is>
      </c>
      <c r="E89" s="109" t="inlineStr">
        <is>
          <t>https://attack.mitre.org/techniques/T0887</t>
        </is>
      </c>
      <c r="F89" s="146" t="inlineStr">
        <is>
          <t>Yes</t>
        </is>
      </c>
      <c r="G89" s="109" t="inlineStr">
        <is>
          <t>WIRELESS — Yes</t>
        </is>
      </c>
      <c r="H89" s="109" t="inlineStr">
        <is>
          <t>Wireless Sniffing can support discovery or interaction with process state, control assets and operational data in Power Generation environments.</t>
        </is>
      </c>
      <c r="I89" s="109" t="inlineStr">
        <is>
          <t>https://csrc.nist.gov/pubs/sp/800/82/r3/final</t>
        </is>
      </c>
      <c r="J89" s="109" t="inlineStr">
        <is>
          <t>Reference mapping</t>
        </is>
      </c>
      <c r="K89" s="146" t="inlineStr">
        <is>
          <t>D</t>
        </is>
      </c>
      <c r="L89" s="146" t="inlineStr">
        <is>
          <t>SRC-OT-01</t>
        </is>
      </c>
    </row>
    <row r="90" ht="15" customHeight="1" s="110">
      <c r="A90" s="109" t="inlineStr">
        <is>
          <t>T0888</t>
        </is>
      </c>
      <c r="B90" s="109" t="inlineStr">
        <is>
          <t>Remote System Information Discovery</t>
        </is>
      </c>
      <c r="C90" s="109" t="inlineStr">
        <is>
          <t>S4</t>
        </is>
      </c>
      <c r="D90" s="109" t="inlineStr">
        <is>
          <t>All registered asset types; actual architecture/platform evidence overrides</t>
        </is>
      </c>
      <c r="E90" s="109" t="inlineStr">
        <is>
          <t>https://attack.mitre.org/techniques/T0888</t>
        </is>
      </c>
      <c r="F90" s="146" t="inlineStr">
        <is>
          <t>Yes</t>
        </is>
      </c>
      <c r="G90" s="109" t="inlineStr">
        <is>
          <t>No explicit facility gate — defaults feasible</t>
        </is>
      </c>
      <c r="H90" s="109" t="inlineStr">
        <is>
          <t>Remote System Information Discovery can support discovery or interaction with process state, control assets and operational data in Power Generation environments.</t>
        </is>
      </c>
      <c r="I90" s="109" t="inlineStr">
        <is>
          <t>https://csrc.nist.gov/pubs/sp/800/82/r3/final</t>
        </is>
      </c>
      <c r="J90" s="109" t="inlineStr">
        <is>
          <t>Reference mapping</t>
        </is>
      </c>
      <c r="K90" s="146" t="inlineStr">
        <is>
          <t>D</t>
        </is>
      </c>
      <c r="L90" s="146" t="inlineStr">
        <is>
          <t>SRC-OT-01</t>
        </is>
      </c>
    </row>
    <row r="91" ht="15" customHeight="1" s="110">
      <c r="A91" s="109" t="inlineStr">
        <is>
          <t>T0889</t>
        </is>
      </c>
      <c r="B91" s="109" t="inlineStr">
        <is>
          <t>Modify Program</t>
        </is>
      </c>
      <c r="C91" s="109" t="inlineStr">
        <is>
          <t>S2</t>
        </is>
      </c>
      <c r="D91" s="109" t="inlineStr">
        <is>
          <t>All registered asset types; actual architecture/platform evidence overrides</t>
        </is>
      </c>
      <c r="E91" s="109" t="inlineStr">
        <is>
          <t>https://attack.mitre.org/techniques/T0889</t>
        </is>
      </c>
      <c r="F91" s="146" t="inlineStr">
        <is>
          <t>Yes</t>
        </is>
      </c>
      <c r="G91" s="109" t="inlineStr">
        <is>
          <t>No explicit facility gate — defaults feasible</t>
        </is>
      </c>
      <c r="H91" s="109" t="inlineStr">
        <is>
          <t>Modify Program is applicable to execution or persistence on engineering workstations, HMIs, servers or controllers used in Power Generation facilities.</t>
        </is>
      </c>
      <c r="I91" s="109" t="inlineStr">
        <is>
          <t>https://csrc.nist.gov/pubs/sp/800/82/r3/final</t>
        </is>
      </c>
      <c r="J91" s="109" t="inlineStr">
        <is>
          <t>Reference mapping</t>
        </is>
      </c>
      <c r="K91" s="146" t="inlineStr">
        <is>
          <t>D</t>
        </is>
      </c>
      <c r="L91" s="146" t="inlineStr">
        <is>
          <t>SRC-OT-01</t>
        </is>
      </c>
    </row>
    <row r="92" ht="15" customHeight="1" s="110">
      <c r="A92" s="109" t="inlineStr">
        <is>
          <t>T0890</t>
        </is>
      </c>
      <c r="B92" s="109" t="inlineStr">
        <is>
          <t>Exploitation for Privilege Escalation</t>
        </is>
      </c>
      <c r="C92" s="109" t="inlineStr">
        <is>
          <t>S2</t>
        </is>
      </c>
      <c r="D92" s="109" t="inlineStr">
        <is>
          <t>All registered asset types; actual architecture/platform evidence overrides</t>
        </is>
      </c>
      <c r="E92" s="109" t="inlineStr">
        <is>
          <t>https://attack.mitre.org/techniques/T0890</t>
        </is>
      </c>
      <c r="F92" s="146" t="inlineStr">
        <is>
          <t>Yes</t>
        </is>
      </c>
      <c r="G92" s="109" t="inlineStr">
        <is>
          <t>No explicit facility gate — defaults feasible</t>
        </is>
      </c>
      <c r="H92" s="109" t="inlineStr">
        <is>
          <t>Exploitation for Privilege Escalation is applicable to execution or persistence on engineering workstations, HMIs, servers or controllers used in Power Generation facilities.</t>
        </is>
      </c>
      <c r="I92" s="109" t="inlineStr">
        <is>
          <t>https://csrc.nist.gov/pubs/sp/800/82/r3/final</t>
        </is>
      </c>
      <c r="J92" s="109" t="inlineStr">
        <is>
          <t>Reference mapping</t>
        </is>
      </c>
      <c r="K92" s="146" t="inlineStr">
        <is>
          <t>D</t>
        </is>
      </c>
      <c r="L92" s="146" t="inlineStr">
        <is>
          <t>SRC-OT-01</t>
        </is>
      </c>
    </row>
    <row r="93" ht="15" customHeight="1" s="110">
      <c r="A93" s="109" t="inlineStr">
        <is>
          <t>T0892</t>
        </is>
      </c>
      <c r="B93" s="109" t="inlineStr">
        <is>
          <t>Change Credential</t>
        </is>
      </c>
      <c r="C93" s="109" t="inlineStr">
        <is>
          <t>S5</t>
        </is>
      </c>
      <c r="D93" s="109" t="inlineStr">
        <is>
          <t>All registered asset types; actual architecture/platform evidence overrides</t>
        </is>
      </c>
      <c r="E93" s="109" t="inlineStr">
        <is>
          <t>https://attack.mitre.org/techniques/T0892</t>
        </is>
      </c>
      <c r="F93" s="146" t="inlineStr">
        <is>
          <t>Yes</t>
        </is>
      </c>
      <c r="G93" s="109" t="inlineStr">
        <is>
          <t>No explicit facility gate — defaults feasible</t>
        </is>
      </c>
      <c r="H93" s="109" t="inlineStr">
        <is>
          <t>Change Credential is an ATT&amp;CK for ICS impact or response-inhibition technique that can support one or more governed adverse scenarios; scenario role remains controlled on 09.</t>
        </is>
      </c>
      <c r="I93" s="109" t="inlineStr">
        <is>
          <t>https://csrc.nist.gov/pubs/sp/800/82/r3/final</t>
        </is>
      </c>
      <c r="J93" s="109" t="inlineStr">
        <is>
          <t>Reference mapping</t>
        </is>
      </c>
      <c r="K93" s="146" t="inlineStr">
        <is>
          <t>D</t>
        </is>
      </c>
      <c r="L93" s="146" t="inlineStr">
        <is>
          <t>SRC-OT-01</t>
        </is>
      </c>
    </row>
    <row r="94" ht="15" customHeight="1" s="110">
      <c r="A94" s="109" t="inlineStr">
        <is>
          <t>T0893</t>
        </is>
      </c>
      <c r="B94" s="109" t="inlineStr">
        <is>
          <t>Data from Local System</t>
        </is>
      </c>
      <c r="C94" s="109" t="inlineStr">
        <is>
          <t>S4</t>
        </is>
      </c>
      <c r="D94" s="109" t="inlineStr">
        <is>
          <t>All registered asset types; actual architecture/platform evidence overrides</t>
        </is>
      </c>
      <c r="E94" s="109" t="inlineStr">
        <is>
          <t>https://attack.mitre.org/techniques/T0893</t>
        </is>
      </c>
      <c r="F94" s="146" t="inlineStr">
        <is>
          <t>Yes</t>
        </is>
      </c>
      <c r="G94" s="109" t="inlineStr">
        <is>
          <t>No explicit facility gate — defaults feasible</t>
        </is>
      </c>
      <c r="H94" s="109" t="inlineStr">
        <is>
          <t>Data from Local System can support discovery or interaction with process state, control assets and operational data in Power Generation environments.</t>
        </is>
      </c>
      <c r="I94" s="109" t="inlineStr">
        <is>
          <t>https://csrc.nist.gov/pubs/sp/800/82/r3/final</t>
        </is>
      </c>
      <c r="J94" s="109" t="inlineStr">
        <is>
          <t>Reference mapping</t>
        </is>
      </c>
      <c r="K94" s="146" t="inlineStr">
        <is>
          <t>D</t>
        </is>
      </c>
      <c r="L94" s="146" t="inlineStr">
        <is>
          <t>SRC-OT-01</t>
        </is>
      </c>
    </row>
    <row r="95" ht="15" customHeight="1" s="110">
      <c r="A95" s="109" t="inlineStr">
        <is>
          <t>T0894</t>
        </is>
      </c>
      <c r="B95" s="109" t="inlineStr">
        <is>
          <t>System Binary Proxy Execution</t>
        </is>
      </c>
      <c r="C95" s="109" t="inlineStr">
        <is>
          <t>S2</t>
        </is>
      </c>
      <c r="D95" s="109" t="inlineStr">
        <is>
          <t>All registered asset types; actual architecture/platform evidence overrides</t>
        </is>
      </c>
      <c r="E95" s="109" t="inlineStr">
        <is>
          <t>https://attack.mitre.org/techniques/T0894</t>
        </is>
      </c>
      <c r="F95" s="146" t="inlineStr">
        <is>
          <t>Yes</t>
        </is>
      </c>
      <c r="G95" s="109" t="inlineStr">
        <is>
          <t>No explicit facility gate — defaults feasible</t>
        </is>
      </c>
      <c r="H95" s="109" t="inlineStr">
        <is>
          <t>System Binary Proxy Execution is applicable to execution or persistence on engineering workstations, HMIs, servers or controllers used in Power Generation facilities.</t>
        </is>
      </c>
      <c r="I95" s="109" t="inlineStr">
        <is>
          <t>https://csrc.nist.gov/pubs/sp/800/82/r3/final</t>
        </is>
      </c>
      <c r="J95" s="109" t="inlineStr">
        <is>
          <t>Reference mapping</t>
        </is>
      </c>
      <c r="K95" s="146" t="inlineStr">
        <is>
          <t>D</t>
        </is>
      </c>
      <c r="L95" s="146" t="inlineStr">
        <is>
          <t>SRC-OT-01</t>
        </is>
      </c>
    </row>
    <row r="96" ht="15" customHeight="1" s="110">
      <c r="A96" s="109" t="inlineStr">
        <is>
          <t>T0895</t>
        </is>
      </c>
      <c r="B96" s="109" t="inlineStr">
        <is>
          <t>Autorun Image</t>
        </is>
      </c>
      <c r="C96" s="109" t="inlineStr">
        <is>
          <t>S2</t>
        </is>
      </c>
      <c r="D96" s="109" t="inlineStr">
        <is>
          <t>All registered asset types; actual architecture/platform evidence overrides</t>
        </is>
      </c>
      <c r="E96" s="109" t="inlineStr">
        <is>
          <t>https://attack.mitre.org/techniques/T0895</t>
        </is>
      </c>
      <c r="F96" s="146" t="inlineStr">
        <is>
          <t>Yes</t>
        </is>
      </c>
      <c r="G96" s="109" t="inlineStr">
        <is>
          <t>No explicit facility gate — defaults feasible</t>
        </is>
      </c>
      <c r="H96" s="109" t="inlineStr">
        <is>
          <t>Autorun Image is applicable to execution or persistence on engineering workstations, HMIs, servers or controllers used in Power Generation facilities.</t>
        </is>
      </c>
      <c r="I96" s="109" t="inlineStr">
        <is>
          <t>https://csrc.nist.gov/pubs/sp/800/82/r3/final</t>
        </is>
      </c>
      <c r="J96" s="109" t="inlineStr">
        <is>
          <t>Reference mapping</t>
        </is>
      </c>
      <c r="K96" s="146" t="inlineStr">
        <is>
          <t>D</t>
        </is>
      </c>
      <c r="L96" s="146" t="inlineStr">
        <is>
          <t>SRC-OT-01</t>
        </is>
      </c>
    </row>
    <row r="97" ht="15" customHeight="1" s="110">
      <c r="A97" s="109" t="inlineStr">
        <is>
          <t>T1691</t>
        </is>
      </c>
      <c r="B97" s="109" t="inlineStr">
        <is>
          <t>Block Operational Technology Message</t>
        </is>
      </c>
      <c r="C97" s="109" t="inlineStr">
        <is>
          <t>S5</t>
        </is>
      </c>
      <c r="D97" s="109" t="inlineStr">
        <is>
          <t>All registered asset types; actual architecture/platform evidence overrides</t>
        </is>
      </c>
      <c r="E97" s="109" t="inlineStr">
        <is>
          <t>https://attack.mitre.org/techniques/T1691</t>
        </is>
      </c>
      <c r="F97" s="146" t="inlineStr">
        <is>
          <t>Yes</t>
        </is>
      </c>
      <c r="G97" s="109" t="inlineStr">
        <is>
          <t>No explicit facility gate — defaults feasible</t>
        </is>
      </c>
      <c r="H97" s="109" t="inlineStr">
        <is>
          <t>Block Operational Technology Message is an ATT&amp;CK for ICS impact or response-inhibition technique that can support one or more governed adverse scenarios; scenario role remains controlled on 09.</t>
        </is>
      </c>
      <c r="I97" s="109" t="inlineStr">
        <is>
          <t>https://csrc.nist.gov/pubs/sp/800/82/r3/final</t>
        </is>
      </c>
      <c r="J97" s="109" t="inlineStr">
        <is>
          <t>Reference mapping</t>
        </is>
      </c>
      <c r="K97" s="146" t="inlineStr">
        <is>
          <t>D</t>
        </is>
      </c>
      <c r="L97" s="146" t="inlineStr">
        <is>
          <t>SRC-OT-01</t>
        </is>
      </c>
    </row>
    <row r="98" ht="15" customHeight="1" s="110">
      <c r="A98" s="109" t="inlineStr">
        <is>
          <t>T1691.001</t>
        </is>
      </c>
      <c r="B98" s="109" t="inlineStr">
        <is>
          <t>Command Message</t>
        </is>
      </c>
      <c r="C98" s="109" t="inlineStr">
        <is>
          <t>S5</t>
        </is>
      </c>
      <c r="D98" s="109" t="inlineStr">
        <is>
          <t>All registered asset types; actual architecture/platform evidence overrides</t>
        </is>
      </c>
      <c r="E98" s="109" t="inlineStr">
        <is>
          <t>https://attack.mitre.org/techniques/T1691/001</t>
        </is>
      </c>
      <c r="F98" s="146" t="inlineStr">
        <is>
          <t>Yes</t>
        </is>
      </c>
      <c r="G98" s="109" t="inlineStr">
        <is>
          <t>No explicit facility gate — defaults feasible</t>
        </is>
      </c>
      <c r="H98" s="109" t="inlineStr">
        <is>
          <t>Command Message is an ATT&amp;CK for ICS impact or response-inhibition technique that can support one or more governed adverse scenarios; scenario role remains controlled on 09.</t>
        </is>
      </c>
      <c r="I98" s="109" t="inlineStr">
        <is>
          <t>https://csrc.nist.gov/pubs/sp/800/82/r3/final</t>
        </is>
      </c>
      <c r="J98" s="109" t="inlineStr">
        <is>
          <t>Reference mapping</t>
        </is>
      </c>
      <c r="K98" s="146" t="inlineStr">
        <is>
          <t>D</t>
        </is>
      </c>
      <c r="L98" s="146" t="inlineStr">
        <is>
          <t>SRC-OT-01</t>
        </is>
      </c>
    </row>
    <row r="99" ht="15" customHeight="1" s="110">
      <c r="A99" s="109" t="inlineStr">
        <is>
          <t>T1691.002</t>
        </is>
      </c>
      <c r="B99" s="109" t="inlineStr">
        <is>
          <t>Reporting Message</t>
        </is>
      </c>
      <c r="C99" s="109" t="inlineStr">
        <is>
          <t>S5</t>
        </is>
      </c>
      <c r="D99" s="109" t="inlineStr">
        <is>
          <t>All registered asset types; actual architecture/platform evidence overrides</t>
        </is>
      </c>
      <c r="E99" s="109" t="inlineStr">
        <is>
          <t>https://attack.mitre.org/techniques/T1691/002</t>
        </is>
      </c>
      <c r="F99" s="146" t="inlineStr">
        <is>
          <t>Yes</t>
        </is>
      </c>
      <c r="G99" s="109" t="inlineStr">
        <is>
          <t>No explicit facility gate — defaults feasible</t>
        </is>
      </c>
      <c r="H99" s="109" t="inlineStr">
        <is>
          <t>Reporting Message is an ATT&amp;CK for ICS impact or response-inhibition technique that can support one or more governed adverse scenarios; scenario role remains controlled on 09.</t>
        </is>
      </c>
      <c r="I99" s="109" t="inlineStr">
        <is>
          <t>https://csrc.nist.gov/pubs/sp/800/82/r3/final</t>
        </is>
      </c>
      <c r="J99" s="109" t="inlineStr">
        <is>
          <t>Reference mapping</t>
        </is>
      </c>
      <c r="K99" s="146" t="inlineStr">
        <is>
          <t>D</t>
        </is>
      </c>
      <c r="L99" s="146" t="inlineStr">
        <is>
          <t>SRC-OT-01</t>
        </is>
      </c>
    </row>
    <row r="100" ht="15" customHeight="1" s="110">
      <c r="A100" s="109" t="inlineStr">
        <is>
          <t>T1692</t>
        </is>
      </c>
      <c r="B100" s="109" t="inlineStr">
        <is>
          <t>Unauthorized Message</t>
        </is>
      </c>
      <c r="C100" s="109" t="inlineStr">
        <is>
          <t>S5</t>
        </is>
      </c>
      <c r="D100" s="109" t="inlineStr">
        <is>
          <t>All registered asset types; actual architecture/platform evidence overrides</t>
        </is>
      </c>
      <c r="E100" s="109" t="inlineStr">
        <is>
          <t>https://attack.mitre.org/techniques/T1692</t>
        </is>
      </c>
      <c r="F100" s="146" t="inlineStr">
        <is>
          <t>Yes</t>
        </is>
      </c>
      <c r="G100" s="109" t="inlineStr">
        <is>
          <t>No explicit facility gate — defaults feasible</t>
        </is>
      </c>
      <c r="H100" s="109" t="inlineStr">
        <is>
          <t>Unauthorized Message is an ATT&amp;CK for ICS impact or response-inhibition technique that can support one or more governed adverse scenarios; scenario role remains controlled on 09.</t>
        </is>
      </c>
      <c r="I100" s="109" t="inlineStr">
        <is>
          <t>https://csrc.nist.gov/pubs/sp/800/82/r3/final</t>
        </is>
      </c>
      <c r="J100" s="109" t="inlineStr">
        <is>
          <t>Reference mapping</t>
        </is>
      </c>
      <c r="K100" s="146" t="inlineStr">
        <is>
          <t>D</t>
        </is>
      </c>
      <c r="L100" s="146" t="inlineStr">
        <is>
          <t>SRC-OT-01</t>
        </is>
      </c>
    </row>
    <row r="101" ht="15" customHeight="1" s="110">
      <c r="A101" s="109" t="inlineStr">
        <is>
          <t>T1692.001</t>
        </is>
      </c>
      <c r="B101" s="109" t="inlineStr">
        <is>
          <t>Command Message</t>
        </is>
      </c>
      <c r="C101" s="109" t="inlineStr">
        <is>
          <t>S5</t>
        </is>
      </c>
      <c r="D101" s="109" t="inlineStr">
        <is>
          <t>All registered asset types; actual architecture/platform evidence overrides</t>
        </is>
      </c>
      <c r="E101" s="109" t="inlineStr">
        <is>
          <t>https://attack.mitre.org/techniques/T1692/001</t>
        </is>
      </c>
      <c r="F101" s="146" t="inlineStr">
        <is>
          <t>Yes</t>
        </is>
      </c>
      <c r="G101" s="109" t="inlineStr">
        <is>
          <t>No explicit facility gate — defaults feasible</t>
        </is>
      </c>
      <c r="H101" s="109" t="inlineStr">
        <is>
          <t>Command Message is an ATT&amp;CK for ICS impact or response-inhibition technique that can support one or more governed adverse scenarios; scenario role remains controlled on 09.</t>
        </is>
      </c>
      <c r="I101" s="109" t="inlineStr">
        <is>
          <t>https://csrc.nist.gov/pubs/sp/800/82/r3/final</t>
        </is>
      </c>
      <c r="J101" s="109" t="inlineStr">
        <is>
          <t>Reference mapping</t>
        </is>
      </c>
      <c r="K101" s="146" t="inlineStr">
        <is>
          <t>D</t>
        </is>
      </c>
      <c r="L101" s="146" t="inlineStr">
        <is>
          <t>SRC-OT-01</t>
        </is>
      </c>
    </row>
    <row r="102" ht="15" customHeight="1" s="110">
      <c r="A102" s="109" t="inlineStr">
        <is>
          <t>T1692.002</t>
        </is>
      </c>
      <c r="B102" s="109" t="inlineStr">
        <is>
          <t>Reporting Message</t>
        </is>
      </c>
      <c r="C102" s="109" t="inlineStr">
        <is>
          <t>S5</t>
        </is>
      </c>
      <c r="D102" s="109" t="inlineStr">
        <is>
          <t>All registered asset types; actual architecture/platform evidence overrides</t>
        </is>
      </c>
      <c r="E102" s="109" t="inlineStr">
        <is>
          <t>https://attack.mitre.org/techniques/T1692/002</t>
        </is>
      </c>
      <c r="F102" s="146" t="inlineStr">
        <is>
          <t>Yes</t>
        </is>
      </c>
      <c r="G102" s="109" t="inlineStr">
        <is>
          <t>No explicit facility gate — defaults feasible</t>
        </is>
      </c>
      <c r="H102" s="109" t="inlineStr">
        <is>
          <t>Reporting Message is an ATT&amp;CK for ICS impact or response-inhibition technique that can support one or more governed adverse scenarios; scenario role remains controlled on 09.</t>
        </is>
      </c>
      <c r="I102" s="109" t="inlineStr">
        <is>
          <t>https://csrc.nist.gov/pubs/sp/800/82/r3/final</t>
        </is>
      </c>
      <c r="J102" s="109" t="inlineStr">
        <is>
          <t>Reference mapping</t>
        </is>
      </c>
      <c r="K102" s="146" t="inlineStr">
        <is>
          <t>D</t>
        </is>
      </c>
      <c r="L102" s="146" t="inlineStr">
        <is>
          <t>SRC-OT-01</t>
        </is>
      </c>
    </row>
    <row r="103" ht="15" customHeight="1" s="110">
      <c r="A103" s="109" t="inlineStr">
        <is>
          <t>T1693</t>
        </is>
      </c>
      <c r="B103" s="109" t="inlineStr">
        <is>
          <t>Modify Firmware</t>
        </is>
      </c>
      <c r="C103" s="109" t="inlineStr">
        <is>
          <t>S5</t>
        </is>
      </c>
      <c r="D103" s="109" t="inlineStr">
        <is>
          <t>All registered asset types; actual architecture/platform evidence overrides</t>
        </is>
      </c>
      <c r="E103" s="109" t="inlineStr">
        <is>
          <t>https://attack.mitre.org/techniques/T1693</t>
        </is>
      </c>
      <c r="F103" s="146" t="inlineStr">
        <is>
          <t>Yes</t>
        </is>
      </c>
      <c r="G103" s="109" t="inlineStr">
        <is>
          <t>No explicit facility gate — defaults feasible</t>
        </is>
      </c>
      <c r="H103" s="109" t="inlineStr">
        <is>
          <t>Modify Firmware is an ATT&amp;CK for ICS impact or response-inhibition technique that can support one or more governed adverse scenarios; scenario role remains controlled on 09.</t>
        </is>
      </c>
      <c r="I103" s="109" t="inlineStr">
        <is>
          <t>https://csrc.nist.gov/pubs/sp/800/82/r3/final</t>
        </is>
      </c>
      <c r="J103" s="109" t="inlineStr">
        <is>
          <t>Reference mapping</t>
        </is>
      </c>
      <c r="K103" s="146" t="inlineStr">
        <is>
          <t>D</t>
        </is>
      </c>
      <c r="L103" s="146" t="inlineStr">
        <is>
          <t>SRC-OT-01</t>
        </is>
      </c>
    </row>
    <row r="104" ht="15" customHeight="1" s="110">
      <c r="A104" s="109" t="inlineStr">
        <is>
          <t>T1693.001</t>
        </is>
      </c>
      <c r="B104" s="109" t="inlineStr">
        <is>
          <t>System Firmware</t>
        </is>
      </c>
      <c r="C104" s="109" t="inlineStr">
        <is>
          <t>S5</t>
        </is>
      </c>
      <c r="D104" s="109" t="inlineStr">
        <is>
          <t>All registered asset types; actual architecture/platform evidence overrides</t>
        </is>
      </c>
      <c r="E104" s="109" t="inlineStr">
        <is>
          <t>https://attack.mitre.org/techniques/T1693/001</t>
        </is>
      </c>
      <c r="F104" s="146" t="inlineStr">
        <is>
          <t>Yes</t>
        </is>
      </c>
      <c r="G104" s="109" t="inlineStr">
        <is>
          <t>No explicit facility gate — defaults feasible</t>
        </is>
      </c>
      <c r="H104" s="109" t="inlineStr">
        <is>
          <t>System Firmware is an ATT&amp;CK for ICS impact or response-inhibition technique that can support one or more governed adverse scenarios; scenario role remains controlled on 09.</t>
        </is>
      </c>
      <c r="I104" s="109" t="inlineStr">
        <is>
          <t>https://csrc.nist.gov/pubs/sp/800/82/r3/final</t>
        </is>
      </c>
      <c r="J104" s="109" t="inlineStr">
        <is>
          <t>Reference mapping</t>
        </is>
      </c>
      <c r="K104" s="146" t="inlineStr">
        <is>
          <t>D</t>
        </is>
      </c>
      <c r="L104" s="146" t="inlineStr">
        <is>
          <t>SRC-OT-01</t>
        </is>
      </c>
    </row>
    <row r="105" ht="15" customHeight="1" s="110">
      <c r="A105" s="109" t="inlineStr">
        <is>
          <t>T1693.002</t>
        </is>
      </c>
      <c r="B105" s="109" t="inlineStr">
        <is>
          <t>Module Firmware</t>
        </is>
      </c>
      <c r="C105" s="109" t="inlineStr">
        <is>
          <t>S5</t>
        </is>
      </c>
      <c r="D105" s="109" t="inlineStr">
        <is>
          <t>All registered asset types; actual architecture/platform evidence overrides</t>
        </is>
      </c>
      <c r="E105" s="109" t="inlineStr">
        <is>
          <t>https://attack.mitre.org/techniques/T1693/002</t>
        </is>
      </c>
      <c r="F105" s="146" t="inlineStr">
        <is>
          <t>Yes</t>
        </is>
      </c>
      <c r="G105" s="109" t="inlineStr">
        <is>
          <t>No explicit facility gate — defaults feasible</t>
        </is>
      </c>
      <c r="H105" s="109" t="inlineStr">
        <is>
          <t>Module Firmware is an ATT&amp;CK for ICS impact or response-inhibition technique that can support one or more governed adverse scenarios; scenario role remains controlled on 09.</t>
        </is>
      </c>
      <c r="I105" s="109" t="inlineStr">
        <is>
          <t>https://csrc.nist.gov/pubs/sp/800/82/r3/final</t>
        </is>
      </c>
      <c r="J105" s="109" t="inlineStr">
        <is>
          <t>Reference mapping</t>
        </is>
      </c>
      <c r="K105" s="146" t="inlineStr">
        <is>
          <t>D</t>
        </is>
      </c>
      <c r="L105" s="146" t="inlineStr">
        <is>
          <t>SRC-OT-01</t>
        </is>
      </c>
    </row>
    <row r="106" ht="15" customHeight="1" s="110">
      <c r="A106" s="109" t="inlineStr">
        <is>
          <t>T1694</t>
        </is>
      </c>
      <c r="B106" s="109" t="inlineStr">
        <is>
          <t>Insecure Credentials</t>
        </is>
      </c>
      <c r="C106" s="109" t="inlineStr">
        <is>
          <t>S3</t>
        </is>
      </c>
      <c r="D106" s="109" t="inlineStr">
        <is>
          <t>All registered asset types; actual architecture/platform evidence overrides</t>
        </is>
      </c>
      <c r="E106" s="109" t="inlineStr">
        <is>
          <t>https://attack.mitre.org/techniques/T1694</t>
        </is>
      </c>
      <c r="F106" s="146" t="inlineStr">
        <is>
          <t>Yes</t>
        </is>
      </c>
      <c r="G106" s="109" t="inlineStr">
        <is>
          <t>No explicit facility gate — defaults feasible</t>
        </is>
      </c>
      <c r="H106" s="109" t="inlineStr">
        <is>
          <t>Insecure Credentials can support movement toward or within plant/control zones; actual reachability is governed by the assessed facility architecture.</t>
        </is>
      </c>
      <c r="I106" s="109" t="inlineStr">
        <is>
          <t>https://csrc.nist.gov/pubs/sp/800/82/r3/final</t>
        </is>
      </c>
      <c r="J106" s="109" t="inlineStr">
        <is>
          <t>Reference mapping</t>
        </is>
      </c>
      <c r="K106" s="146" t="inlineStr">
        <is>
          <t>D</t>
        </is>
      </c>
      <c r="L106" s="146" t="inlineStr">
        <is>
          <t>SRC-OT-01</t>
        </is>
      </c>
    </row>
    <row r="107" ht="15" customHeight="1" s="110">
      <c r="A107" s="109" t="inlineStr">
        <is>
          <t>T1694.001</t>
        </is>
      </c>
      <c r="B107" s="109" t="inlineStr">
        <is>
          <t>Default Credentials</t>
        </is>
      </c>
      <c r="C107" s="109" t="inlineStr">
        <is>
          <t>S3</t>
        </is>
      </c>
      <c r="D107" s="109" t="inlineStr">
        <is>
          <t>All registered asset types; actual architecture/platform evidence overrides</t>
        </is>
      </c>
      <c r="E107" s="109" t="inlineStr">
        <is>
          <t>https://attack.mitre.org/techniques/T1694/001</t>
        </is>
      </c>
      <c r="F107" s="146" t="inlineStr">
        <is>
          <t>Yes</t>
        </is>
      </c>
      <c r="G107" s="109" t="inlineStr">
        <is>
          <t>No explicit facility gate — defaults feasible</t>
        </is>
      </c>
      <c r="H107" s="109" t="inlineStr">
        <is>
          <t>Default Credentials can support movement toward or within plant/control zones; actual reachability is governed by the assessed facility architecture.</t>
        </is>
      </c>
      <c r="I107" s="109" t="inlineStr">
        <is>
          <t>https://csrc.nist.gov/pubs/sp/800/82/r3/final</t>
        </is>
      </c>
      <c r="J107" s="109" t="inlineStr">
        <is>
          <t>Reference mapping</t>
        </is>
      </c>
      <c r="K107" s="146" t="inlineStr">
        <is>
          <t>D</t>
        </is>
      </c>
      <c r="L107" s="146" t="inlineStr">
        <is>
          <t>SRC-OT-01</t>
        </is>
      </c>
    </row>
    <row r="108" ht="15" customHeight="1" s="110">
      <c r="A108" s="109" t="inlineStr">
        <is>
          <t>T1694.002</t>
        </is>
      </c>
      <c r="B108" s="109" t="inlineStr">
        <is>
          <t>Hardcoded Credentials</t>
        </is>
      </c>
      <c r="C108" s="109" t="inlineStr">
        <is>
          <t>S3</t>
        </is>
      </c>
      <c r="D108" s="109" t="inlineStr">
        <is>
          <t>All registered asset types; actual architecture/platform evidence overrides</t>
        </is>
      </c>
      <c r="E108" s="109" t="inlineStr">
        <is>
          <t>https://attack.mitre.org/techniques/T1694/002</t>
        </is>
      </c>
      <c r="F108" s="146" t="inlineStr">
        <is>
          <t>Yes</t>
        </is>
      </c>
      <c r="G108" s="109" t="inlineStr">
        <is>
          <t>No explicit facility gate — defaults feasible</t>
        </is>
      </c>
      <c r="H108" s="109" t="inlineStr">
        <is>
          <t>Hardcoded Credentials can support movement toward or within plant/control zones; actual reachability is governed by the assessed facility architecture.</t>
        </is>
      </c>
      <c r="I108" s="109" t="inlineStr">
        <is>
          <t>https://csrc.nist.gov/pubs/sp/800/82/r3/final</t>
        </is>
      </c>
      <c r="J108" s="109" t="inlineStr">
        <is>
          <t>Reference mapping</t>
        </is>
      </c>
      <c r="K108" s="146" t="inlineStr">
        <is>
          <t>D</t>
        </is>
      </c>
      <c r="L108" s="146" t="inlineStr">
        <is>
          <t>SRC-OT-01</t>
        </is>
      </c>
    </row>
    <row r="109" ht="15" customHeight="1" s="110">
      <c r="A109" s="109" t="inlineStr">
        <is>
          <t>T1695</t>
        </is>
      </c>
      <c r="B109" s="109" t="inlineStr">
        <is>
          <t>Block Communications</t>
        </is>
      </c>
      <c r="C109" s="109" t="inlineStr">
        <is>
          <t>S5</t>
        </is>
      </c>
      <c r="D109" s="109" t="inlineStr">
        <is>
          <t>All registered asset types; actual architecture/platform evidence overrides</t>
        </is>
      </c>
      <c r="E109" s="109" t="inlineStr">
        <is>
          <t>https://attack.mitre.org/techniques/T1695</t>
        </is>
      </c>
      <c r="F109" s="146" t="inlineStr">
        <is>
          <t>Yes</t>
        </is>
      </c>
      <c r="G109" s="109" t="inlineStr">
        <is>
          <t>No explicit facility gate — defaults feasible</t>
        </is>
      </c>
      <c r="H109" s="109" t="inlineStr">
        <is>
          <t>Block Communications is an ATT&amp;CK for ICS impact or response-inhibition technique that can support one or more governed adverse scenarios; scenario role remains controlled on 09.</t>
        </is>
      </c>
      <c r="I109" s="109" t="inlineStr">
        <is>
          <t>https://csrc.nist.gov/pubs/sp/800/82/r3/final</t>
        </is>
      </c>
      <c r="J109" s="109" t="inlineStr">
        <is>
          <t>Reference mapping</t>
        </is>
      </c>
      <c r="K109" s="146" t="inlineStr">
        <is>
          <t>D</t>
        </is>
      </c>
      <c r="L109" s="146" t="inlineStr">
        <is>
          <t>SRC-OT-01</t>
        </is>
      </c>
    </row>
    <row r="110" ht="15" customHeight="1" s="110">
      <c r="A110" s="109" t="inlineStr">
        <is>
          <t>T1695.001</t>
        </is>
      </c>
      <c r="B110" s="109" t="inlineStr">
        <is>
          <t>Serial COM</t>
        </is>
      </c>
      <c r="C110" s="109" t="inlineStr">
        <is>
          <t>S5</t>
        </is>
      </c>
      <c r="D110" s="109" t="inlineStr">
        <is>
          <t>All registered asset types; actual architecture/platform evidence overrides</t>
        </is>
      </c>
      <c r="E110" s="109" t="inlineStr">
        <is>
          <t>https://attack.mitre.org/techniques/T1695/001</t>
        </is>
      </c>
      <c r="F110" s="146" t="inlineStr">
        <is>
          <t>Yes</t>
        </is>
      </c>
      <c r="G110" s="109" t="inlineStr">
        <is>
          <t>No explicit facility gate — defaults feasible</t>
        </is>
      </c>
      <c r="H110" s="109" t="inlineStr">
        <is>
          <t>Serial COM is an ATT&amp;CK for ICS impact or response-inhibition technique that can support one or more governed adverse scenarios; scenario role remains controlled on 09.</t>
        </is>
      </c>
      <c r="I110" s="109" t="inlineStr">
        <is>
          <t>https://csrc.nist.gov/pubs/sp/800/82/r3/final</t>
        </is>
      </c>
      <c r="J110" s="109" t="inlineStr">
        <is>
          <t>Reference mapping</t>
        </is>
      </c>
      <c r="K110" s="146" t="inlineStr">
        <is>
          <t>D</t>
        </is>
      </c>
      <c r="L110" s="146" t="inlineStr">
        <is>
          <t>SRC-OT-01</t>
        </is>
      </c>
    </row>
    <row r="111" ht="15" customHeight="1" s="110">
      <c r="A111" s="109" t="inlineStr">
        <is>
          <t>T1695.002</t>
        </is>
      </c>
      <c r="B111" s="109" t="inlineStr">
        <is>
          <t>Ethernet</t>
        </is>
      </c>
      <c r="C111" s="109" t="inlineStr">
        <is>
          <t>S5</t>
        </is>
      </c>
      <c r="D111" s="109" t="inlineStr">
        <is>
          <t>All registered asset types; actual architecture/platform evidence overrides</t>
        </is>
      </c>
      <c r="E111" s="109" t="inlineStr">
        <is>
          <t>https://attack.mitre.org/techniques/T1695/002</t>
        </is>
      </c>
      <c r="F111" s="146" t="inlineStr">
        <is>
          <t>Yes</t>
        </is>
      </c>
      <c r="G111" s="109" t="inlineStr">
        <is>
          <t>No explicit facility gate — defaults feasible</t>
        </is>
      </c>
      <c r="H111" s="109" t="inlineStr">
        <is>
          <t>Ethernet is an ATT&amp;CK for ICS impact or response-inhibition technique that can support one or more governed adverse scenarios; scenario role remains controlled on 09.</t>
        </is>
      </c>
      <c r="I111" s="109" t="inlineStr">
        <is>
          <t>https://csrc.nist.gov/pubs/sp/800/82/r3/final</t>
        </is>
      </c>
      <c r="J111" s="109" t="inlineStr">
        <is>
          <t>Reference mapping</t>
        </is>
      </c>
      <c r="K111" s="146" t="inlineStr">
        <is>
          <t>D</t>
        </is>
      </c>
      <c r="L111" s="146" t="inlineStr">
        <is>
          <t>SRC-OT-01</t>
        </is>
      </c>
    </row>
    <row r="112" ht="15" customHeight="1" s="110">
      <c r="A112" s="109" t="inlineStr">
        <is>
          <t>T1695.003</t>
        </is>
      </c>
      <c r="B112" s="109" t="inlineStr">
        <is>
          <t>Wi-Fi</t>
        </is>
      </c>
      <c r="C112" s="109" t="inlineStr">
        <is>
          <t>S5</t>
        </is>
      </c>
      <c r="D112" s="109" t="inlineStr">
        <is>
          <t>All registered asset types; actual architecture/platform evidence overrides</t>
        </is>
      </c>
      <c r="E112" s="109" t="inlineStr">
        <is>
          <t>https://attack.mitre.org/techniques/T1695/003</t>
        </is>
      </c>
      <c r="F112" s="146" t="inlineStr">
        <is>
          <t>Yes</t>
        </is>
      </c>
      <c r="G112" s="109" t="inlineStr">
        <is>
          <t>WIRELESS — Yes</t>
        </is>
      </c>
      <c r="H112" s="109" t="inlineStr">
        <is>
          <t>Wi-Fi is an ATT&amp;CK for ICS impact or response-inhibition technique that can support one or more governed adverse scenarios; scenario role remains controlled on 09.</t>
        </is>
      </c>
      <c r="I112" s="109" t="inlineStr">
        <is>
          <t>https://csrc.nist.gov/pubs/sp/800/82/r3/final</t>
        </is>
      </c>
      <c r="J112" s="109" t="inlineStr">
        <is>
          <t>Reference mapping</t>
        </is>
      </c>
      <c r="K112" s="146" t="inlineStr">
        <is>
          <t>D</t>
        </is>
      </c>
      <c r="L112" s="146" t="inlineStr">
        <is>
          <t>SRC-OT-01</t>
        </is>
      </c>
    </row>
  </sheetData>
  <autoFilter ref="A15:M112"/>
  <mergeCells count="3">
    <mergeCell ref="A2:L2"/>
    <mergeCell ref="A1:L1"/>
    <mergeCell ref="A3:E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L6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8984375" defaultRowHeight="15" customHeight="0" zeroHeight="0" outlineLevelRow="0"/>
  <cols>
    <col width="28" customWidth="1" style="109" min="1" max="2"/>
    <col width="13.34" customWidth="1" style="109" min="3" max="3"/>
    <col width="51.11" customWidth="1" style="109" min="4" max="4"/>
  </cols>
  <sheetData>
    <row r="1" ht="27" customHeight="1" s="110">
      <c r="A1" s="111" t="inlineStr">
        <is>
          <t>13 — Route-to-TTP Mapping</t>
        </is>
      </c>
    </row>
    <row r="2" ht="36" customHeight="1" s="110">
      <c r="A2" s="112" t="inlineStr">
        <is>
          <t>Placeholder for IT route-to-TTP weights.</t>
        </is>
      </c>
    </row>
    <row r="3" ht="48" customHeight="1" s="110">
      <c r="A3" s="126" t="inlineStr">
        <is>
          <t>How used in the model: Not used. OT technique-to-scenario mapping is OT CORE - Scenario-TTP Map; sector Yes/No is sheet 12.</t>
        </is>
      </c>
    </row>
    <row r="4" ht="15" customHeight="1" s="110">
      <c r="A4" s="113" t="inlineStr">
        <is>
          <t>SHEET TYPE: SECTOR PACK CALIBRATION - PACK OWNER ONLY</t>
        </is>
      </c>
    </row>
    <row r="15" ht="23.25" customHeight="1" s="110">
      <c r="A15" s="127" t="inlineStr">
        <is>
          <t>Item</t>
        </is>
      </c>
      <c r="B15" s="128" t="inlineStr">
        <is>
          <t>Value</t>
        </is>
      </c>
      <c r="C15" s="128" t="inlineStr">
        <is>
          <t>Description</t>
        </is>
      </c>
      <c r="D15" s="129" t="inlineStr">
        <is>
          <t>Evidence grade</t>
        </is>
      </c>
      <c r="E15" s="113" t="inlineStr">
        <is>
          <t>Source ID</t>
        </is>
      </c>
    </row>
    <row r="16" ht="23.25" customHeight="1" s="110">
      <c r="A16" s="117" t="inlineStr">
        <is>
          <t>OT_CORE</t>
        </is>
      </c>
      <c r="B16" s="131" t="inlineStr">
        <is>
          <t>Held in core OT methodology</t>
        </is>
      </c>
      <c r="C16" s="208" t="inlineStr">
        <is>
          <t>OT maps techniques through the core Scenario-TTP and TTP-Control sheets. Sector applicability is sheet 12.</t>
        </is>
      </c>
      <c r="D16" s="132" t="inlineStr">
        <is>
          <t>D</t>
        </is>
      </c>
      <c r="E16" s="146" t="inlineStr">
        <is>
          <t>SRC-OT-01</t>
        </is>
      </c>
    </row>
    <row r="17" ht="23.25" customHeight="1" s="110">
      <c r="A17" s="120" t="n"/>
      <c r="B17" s="121" t="n"/>
      <c r="C17" s="209" t="n"/>
      <c r="D17" s="122" t="n"/>
    </row>
    <row r="18" ht="23.25" customHeight="1" s="110">
      <c r="A18" s="120" t="n"/>
      <c r="B18" s="121" t="n"/>
      <c r="C18" s="209" t="n"/>
      <c r="D18" s="122" t="n"/>
    </row>
    <row r="19" ht="23.25" customHeight="1" s="110">
      <c r="A19" s="120" t="n"/>
      <c r="B19" s="121" t="n"/>
      <c r="C19" s="209" t="n"/>
      <c r="D19" s="122" t="n"/>
    </row>
    <row r="20" ht="23.25" customHeight="1" s="110">
      <c r="A20" s="120" t="n"/>
      <c r="B20" s="121" t="n"/>
      <c r="C20" s="209" t="n"/>
      <c r="D20" s="122" t="n"/>
    </row>
    <row r="21" ht="23.25" customHeight="1" s="110">
      <c r="A21" s="120" t="n"/>
      <c r="B21" s="121" t="n"/>
      <c r="C21" s="209" t="n"/>
      <c r="D21" s="122" t="n"/>
    </row>
    <row r="22" ht="23.25" customHeight="1" s="110">
      <c r="A22" s="120" t="n"/>
      <c r="B22" s="121" t="n"/>
      <c r="C22" s="209" t="n"/>
      <c r="D22" s="122" t="n"/>
    </row>
    <row r="23" ht="23.25" customHeight="1" s="110">
      <c r="A23" s="120" t="n"/>
      <c r="B23" s="121" t="n"/>
      <c r="C23" s="209" t="n"/>
      <c r="D23" s="122" t="n"/>
    </row>
    <row r="24" ht="23.25" customHeight="1" s="110">
      <c r="A24" s="120" t="n"/>
      <c r="B24" s="121" t="n"/>
      <c r="C24" s="209" t="n"/>
      <c r="D24" s="122" t="n"/>
    </row>
    <row r="25" ht="23.25" customHeight="1" s="110">
      <c r="A25" s="120" t="n"/>
      <c r="B25" s="121" t="n"/>
      <c r="C25" s="209" t="n"/>
      <c r="D25" s="122" t="n"/>
    </row>
    <row r="26" ht="23.25" customHeight="1" s="110">
      <c r="A26" s="120" t="n"/>
      <c r="B26" s="121" t="n"/>
      <c r="C26" s="209" t="n"/>
      <c r="D26" s="122" t="n"/>
    </row>
    <row r="27" ht="23.25" customHeight="1" s="110">
      <c r="A27" s="120" t="n"/>
      <c r="B27" s="121" t="n"/>
      <c r="C27" s="209" t="n"/>
      <c r="D27" s="122" t="n"/>
    </row>
    <row r="28" ht="23.25" customHeight="1" s="110">
      <c r="A28" s="120" t="n"/>
      <c r="B28" s="121" t="n"/>
      <c r="C28" s="209" t="n"/>
      <c r="D28" s="122" t="n"/>
    </row>
    <row r="29" ht="23.25" customHeight="1" s="110">
      <c r="A29" s="120" t="n"/>
      <c r="B29" s="121" t="n"/>
      <c r="C29" s="209" t="n"/>
      <c r="D29" s="122" t="n"/>
    </row>
    <row r="30" ht="23.25" customHeight="1" s="110">
      <c r="A30" s="120" t="n"/>
      <c r="B30" s="121" t="n"/>
      <c r="C30" s="209" t="n"/>
      <c r="D30" s="122" t="n"/>
    </row>
    <row r="31" ht="23.25" customHeight="1" s="110">
      <c r="A31" s="120" t="n"/>
      <c r="B31" s="121" t="n"/>
      <c r="C31" s="209" t="n"/>
      <c r="D31" s="122" t="n"/>
    </row>
    <row r="32" ht="23.25" customHeight="1" s="110">
      <c r="A32" s="120" t="n"/>
      <c r="B32" s="121" t="n"/>
      <c r="C32" s="209" t="n"/>
      <c r="D32" s="122" t="n"/>
    </row>
    <row r="33" ht="23.25" customHeight="1" s="110">
      <c r="A33" s="120" t="n"/>
      <c r="B33" s="121" t="n"/>
      <c r="C33" s="209" t="n"/>
      <c r="D33" s="122" t="n"/>
    </row>
    <row r="34" ht="23.25" customHeight="1" s="110">
      <c r="A34" s="120" t="n"/>
      <c r="B34" s="121" t="n"/>
      <c r="C34" s="209" t="n"/>
      <c r="D34" s="122" t="n"/>
    </row>
    <row r="35" ht="23.25" customHeight="1" s="110">
      <c r="A35" s="120" t="n"/>
      <c r="B35" s="121" t="n"/>
      <c r="C35" s="209" t="n"/>
      <c r="D35" s="122" t="n"/>
    </row>
    <row r="36" ht="23.25" customHeight="1" s="110">
      <c r="A36" s="120" t="n"/>
      <c r="B36" s="121" t="n"/>
      <c r="C36" s="209" t="n"/>
      <c r="D36" s="122" t="n"/>
    </row>
    <row r="37" ht="23.25" customHeight="1" s="110">
      <c r="A37" s="120" t="n"/>
      <c r="B37" s="121" t="n"/>
      <c r="C37" s="209" t="n"/>
      <c r="D37" s="122" t="n"/>
    </row>
    <row r="38" ht="23.25" customHeight="1" s="110">
      <c r="A38" s="120" t="n"/>
      <c r="B38" s="121" t="n"/>
      <c r="C38" s="209" t="n"/>
      <c r="D38" s="122" t="n"/>
    </row>
    <row r="39" ht="23.25" customHeight="1" s="110">
      <c r="A39" s="120" t="n"/>
      <c r="B39" s="121" t="n"/>
      <c r="C39" s="209" t="n"/>
      <c r="D39" s="122" t="n"/>
    </row>
    <row r="40" ht="23.25" customHeight="1" s="110">
      <c r="A40" s="120" t="n"/>
      <c r="B40" s="121" t="n"/>
      <c r="C40" s="209" t="n"/>
      <c r="D40" s="122" t="n"/>
    </row>
    <row r="41" ht="23.25" customHeight="1" s="110">
      <c r="A41" s="120" t="n"/>
      <c r="B41" s="121" t="n"/>
      <c r="C41" s="209" t="n"/>
      <c r="D41" s="122" t="n"/>
    </row>
    <row r="42" ht="23.25" customHeight="1" s="110">
      <c r="A42" s="120" t="n"/>
      <c r="B42" s="121" t="n"/>
      <c r="C42" s="209" t="n"/>
      <c r="D42" s="122" t="n"/>
    </row>
    <row r="43" ht="23.25" customHeight="1" s="110">
      <c r="A43" s="120" t="n"/>
      <c r="B43" s="121" t="n"/>
      <c r="C43" s="209" t="n"/>
      <c r="D43" s="122" t="n"/>
    </row>
    <row r="44" ht="23.25" customHeight="1" s="110">
      <c r="A44" s="120" t="n"/>
      <c r="B44" s="121" t="n"/>
      <c r="C44" s="209" t="n"/>
      <c r="D44" s="122" t="n"/>
    </row>
    <row r="45" ht="23.25" customHeight="1" s="110">
      <c r="A45" s="120" t="n"/>
      <c r="B45" s="121" t="n"/>
      <c r="C45" s="209" t="n"/>
      <c r="D45" s="122" t="n"/>
    </row>
    <row r="46" ht="23.25" customHeight="1" s="110">
      <c r="A46" s="120" t="n"/>
      <c r="B46" s="121" t="n"/>
      <c r="C46" s="209" t="n"/>
      <c r="D46" s="122" t="n"/>
    </row>
    <row r="47" ht="23.25" customHeight="1" s="110">
      <c r="A47" s="120" t="n"/>
      <c r="B47" s="121" t="n"/>
      <c r="C47" s="209" t="n"/>
      <c r="D47" s="122" t="n"/>
    </row>
    <row r="48" ht="23.25" customHeight="1" s="110">
      <c r="A48" s="120" t="n"/>
      <c r="B48" s="121" t="n"/>
      <c r="C48" s="209" t="n"/>
      <c r="D48" s="122" t="n"/>
    </row>
    <row r="49" ht="23.25" customHeight="1" s="110">
      <c r="A49" s="120" t="n"/>
      <c r="B49" s="121" t="n"/>
      <c r="C49" s="209" t="n"/>
      <c r="D49" s="122" t="n"/>
    </row>
    <row r="50" ht="23.25" customHeight="1" s="110">
      <c r="A50" s="120" t="n"/>
      <c r="B50" s="121" t="n"/>
      <c r="C50" s="209" t="n"/>
      <c r="D50" s="122" t="n"/>
    </row>
    <row r="51" ht="23.25" customHeight="1" s="110">
      <c r="A51" s="120" t="n"/>
      <c r="B51" s="121" t="n"/>
      <c r="C51" s="209" t="n"/>
      <c r="D51" s="122" t="n"/>
    </row>
    <row r="52" ht="23.25" customHeight="1" s="110">
      <c r="A52" s="120" t="n"/>
      <c r="B52" s="121" t="n"/>
      <c r="C52" s="209" t="n"/>
      <c r="D52" s="122" t="n"/>
    </row>
    <row r="53" ht="23.25" customHeight="1" s="110">
      <c r="A53" s="120" t="n"/>
      <c r="B53" s="121" t="n"/>
      <c r="C53" s="209" t="n"/>
      <c r="D53" s="122" t="n"/>
    </row>
    <row r="54" ht="23.25" customHeight="1" s="110">
      <c r="A54" s="120" t="n"/>
      <c r="B54" s="121" t="n"/>
      <c r="C54" s="209" t="n"/>
      <c r="D54" s="122" t="n"/>
    </row>
    <row r="55" ht="23.25" customHeight="1" s="110">
      <c r="A55" s="120" t="n"/>
      <c r="B55" s="121" t="n"/>
      <c r="C55" s="209" t="n"/>
      <c r="D55" s="122" t="n"/>
    </row>
    <row r="56" ht="23.25" customHeight="1" s="110">
      <c r="A56" s="120" t="n"/>
      <c r="B56" s="121" t="n"/>
      <c r="C56" s="209" t="n"/>
      <c r="D56" s="122" t="n"/>
    </row>
    <row r="57" ht="23.25" customHeight="1" s="110">
      <c r="A57" s="120" t="n"/>
      <c r="B57" s="121" t="n"/>
      <c r="C57" s="209" t="n"/>
      <c r="D57" s="122" t="n"/>
    </row>
    <row r="58" ht="23.25" customHeight="1" s="110">
      <c r="A58" s="120" t="n"/>
      <c r="B58" s="121" t="n"/>
      <c r="C58" s="209" t="n"/>
      <c r="D58" s="122" t="n"/>
    </row>
    <row r="59" ht="23.25" customHeight="1" s="110">
      <c r="A59" s="120" t="n"/>
      <c r="B59" s="121" t="n"/>
      <c r="C59" s="209" t="n"/>
      <c r="D59" s="122" t="n"/>
    </row>
    <row r="60" ht="23.25" customHeight="1" s="110">
      <c r="A60" s="120" t="n"/>
      <c r="B60" s="121" t="n"/>
      <c r="C60" s="209" t="n"/>
      <c r="D60" s="122" t="n"/>
    </row>
    <row r="61" ht="23.25" customHeight="1" s="110">
      <c r="A61" s="120" t="n"/>
      <c r="B61" s="121" t="n"/>
      <c r="C61" s="209" t="n"/>
      <c r="D61" s="122" t="n"/>
    </row>
    <row r="62" ht="23.25" customHeight="1" s="110">
      <c r="A62" s="120" t="n"/>
      <c r="B62" s="121" t="n"/>
      <c r="C62" s="209" t="n"/>
      <c r="D62" s="122" t="n"/>
    </row>
    <row r="63" ht="23.25" customHeight="1" s="110">
      <c r="A63" s="120" t="n"/>
      <c r="B63" s="121" t="n"/>
      <c r="C63" s="209" t="n"/>
      <c r="D63" s="122" t="n"/>
    </row>
    <row r="64" ht="23.25" customHeight="1" s="110">
      <c r="A64" s="120" t="n"/>
      <c r="B64" s="121" t="n"/>
      <c r="C64" s="209" t="n"/>
      <c r="D64" s="122" t="n"/>
    </row>
    <row r="65" ht="23.25" customHeight="1" s="110">
      <c r="A65" s="120" t="n"/>
      <c r="B65" s="121" t="n"/>
      <c r="C65" s="209" t="n"/>
      <c r="D65" s="122" t="n"/>
    </row>
    <row r="66" ht="23.25" customHeight="1" s="110">
      <c r="A66" s="120" t="n"/>
      <c r="B66" s="121" t="n"/>
      <c r="C66" s="209" t="n"/>
      <c r="D66" s="122" t="n"/>
    </row>
    <row r="67" ht="23.25" customHeight="1" s="110">
      <c r="A67" s="123" t="n"/>
      <c r="B67" s="124" t="n"/>
      <c r="C67" s="210" t="n"/>
      <c r="D67" s="125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L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28" customWidth="1" style="109" min="1" max="1"/>
    <col width="28.89" customWidth="1" style="109" min="2" max="2"/>
    <col width="16.11" customWidth="1" style="109" min="3" max="3"/>
    <col width="17.78" customWidth="1" style="109" min="4" max="4"/>
    <col width="14.44" customWidth="1" style="109" min="5" max="5"/>
    <col width="13.34" customWidth="1" style="109" min="6" max="6"/>
    <col width="47.79" customWidth="1" style="109" min="7" max="7"/>
    <col width="13.34" customWidth="1" style="109" min="8" max="8"/>
    <col width="12.22" customWidth="1" style="109" min="9" max="10"/>
  </cols>
  <sheetData>
    <row r="1" ht="27" customHeight="1" s="110">
      <c r="A1" s="111" t="inlineStr">
        <is>
          <t>14 — Reference Control Profile</t>
        </is>
      </c>
    </row>
    <row r="2" ht="36" customHeight="1" s="110">
      <c r="A2" s="112" t="inlineStr">
        <is>
          <t>Placeholder for an IT-style reference control profile.</t>
        </is>
      </c>
    </row>
    <row r="3" ht="48" customHeight="1" s="110">
      <c r="A3" s="126" t="inlineStr">
        <is>
          <t>How used in the model: Not used. OT control maturity and reference-relative adjustment are core OT (OT 04 / OT CORE).</t>
        </is>
      </c>
    </row>
    <row r="4" ht="15" customHeight="1" s="110">
      <c r="A4" s="113" t="inlineStr">
        <is>
          <t>SHEET TYPE: SECTOR PACK CALIBRATION - PACK OWNER ONLY</t>
        </is>
      </c>
    </row>
    <row r="15" ht="23.25" customHeight="1" s="110">
      <c r="A15" s="127" t="inlineStr">
        <is>
          <t>Item</t>
        </is>
      </c>
      <c r="B15" s="128" t="inlineStr">
        <is>
          <t>Value</t>
        </is>
      </c>
      <c r="C15" s="128" t="inlineStr">
        <is>
          <t>Description</t>
        </is>
      </c>
      <c r="D15" s="128" t="inlineStr">
        <is>
          <t>Evidence grade</t>
        </is>
      </c>
      <c r="E15" s="128" t="inlineStr">
        <is>
          <t>Source ID</t>
        </is>
      </c>
      <c r="F15" s="170" t="inlineStr">
        <is>
          <t>Reference coverage</t>
        </is>
      </c>
      <c r="G15" s="170" t="inlineStr">
        <is>
          <t>Description</t>
        </is>
      </c>
      <c r="H15" s="170" t="inlineStr">
        <is>
          <t>Status</t>
        </is>
      </c>
      <c r="I15" s="170" t="inlineStr">
        <is>
          <t>Evidence grade</t>
        </is>
      </c>
      <c r="J15" s="171" t="inlineStr">
        <is>
          <t>Source ID</t>
        </is>
      </c>
    </row>
    <row r="16" ht="23.25" customHeight="1" s="110">
      <c r="A16" s="117" t="inlineStr">
        <is>
          <t>OT_CORE</t>
        </is>
      </c>
      <c r="B16" s="131" t="inlineStr">
        <is>
          <t>Held in core OT methodology</t>
        </is>
      </c>
      <c r="C16" s="118" t="inlineStr">
        <is>
          <t>OT control maturity scale and reference-relative adjustment are core OT methodology.</t>
        </is>
      </c>
      <c r="D16" s="131" t="inlineStr">
        <is>
          <t>D</t>
        </is>
      </c>
      <c r="E16" s="131" t="inlineStr">
        <is>
          <t>SRC-OT-01</t>
        </is>
      </c>
      <c r="F16" s="162" t="n"/>
      <c r="G16" s="118" t="n"/>
      <c r="H16" s="118" t="n"/>
      <c r="I16" s="118" t="n"/>
      <c r="J16" s="119" t="n"/>
    </row>
    <row r="17" ht="23.25" customHeight="1" s="110">
      <c r="A17" s="120" t="n"/>
      <c r="B17" s="121" t="n"/>
      <c r="C17" s="121" t="n"/>
      <c r="D17" s="121" t="n"/>
      <c r="E17" s="176" t="n"/>
      <c r="F17" s="165" t="n"/>
      <c r="G17" s="121" t="n"/>
      <c r="H17" s="121" t="n"/>
      <c r="I17" s="121" t="n"/>
      <c r="J17" s="122" t="n"/>
    </row>
    <row r="18" ht="23.25" customHeight="1" s="110">
      <c r="A18" s="120" t="n"/>
      <c r="B18" s="121" t="n"/>
      <c r="C18" s="121" t="n"/>
      <c r="D18" s="121" t="n"/>
      <c r="E18" s="176" t="n"/>
      <c r="F18" s="165" t="n"/>
      <c r="G18" s="121" t="n"/>
      <c r="H18" s="121" t="n"/>
      <c r="I18" s="121" t="n"/>
      <c r="J18" s="122" t="n"/>
    </row>
    <row r="19" ht="23.25" customHeight="1" s="110">
      <c r="A19" s="120" t="n"/>
      <c r="B19" s="121" t="n"/>
      <c r="C19" s="121" t="n"/>
      <c r="D19" s="121" t="n"/>
      <c r="E19" s="176" t="n"/>
      <c r="F19" s="165" t="n"/>
      <c r="G19" s="121" t="n"/>
      <c r="H19" s="121" t="n"/>
      <c r="I19" s="121" t="n"/>
      <c r="J19" s="122" t="n"/>
    </row>
    <row r="20" ht="23.25" customHeight="1" s="110">
      <c r="A20" s="120" t="n"/>
      <c r="B20" s="121" t="n"/>
      <c r="C20" s="121" t="n"/>
      <c r="D20" s="121" t="n"/>
      <c r="E20" s="176" t="n"/>
      <c r="F20" s="165" t="n"/>
      <c r="G20" s="121" t="n"/>
      <c r="H20" s="121" t="n"/>
      <c r="I20" s="121" t="n"/>
      <c r="J20" s="122" t="n"/>
    </row>
    <row r="21" ht="23.25" customHeight="1" s="110">
      <c r="A21" s="120" t="n"/>
      <c r="B21" s="121" t="n"/>
      <c r="C21" s="121" t="n"/>
      <c r="D21" s="121" t="n"/>
      <c r="E21" s="176" t="n"/>
      <c r="F21" s="165" t="n"/>
      <c r="G21" s="121" t="n"/>
      <c r="H21" s="121" t="n"/>
      <c r="I21" s="121" t="n"/>
      <c r="J21" s="122" t="n"/>
    </row>
    <row r="22" ht="23.25" customHeight="1" s="110">
      <c r="A22" s="120" t="n"/>
      <c r="B22" s="121" t="n"/>
      <c r="C22" s="121" t="n"/>
      <c r="D22" s="121" t="n"/>
      <c r="E22" s="176" t="n"/>
      <c r="F22" s="165" t="n"/>
      <c r="G22" s="121" t="n"/>
      <c r="H22" s="121" t="n"/>
      <c r="I22" s="121" t="n"/>
      <c r="J22" s="122" t="n"/>
    </row>
    <row r="23" ht="23.25" customHeight="1" s="110">
      <c r="A23" s="120" t="n"/>
      <c r="B23" s="121" t="n"/>
      <c r="C23" s="121" t="n"/>
      <c r="D23" s="121" t="n"/>
      <c r="E23" s="176" t="n"/>
      <c r="F23" s="165" t="n"/>
      <c r="G23" s="121" t="n"/>
      <c r="H23" s="121" t="n"/>
      <c r="I23" s="121" t="n"/>
      <c r="J23" s="122" t="n"/>
    </row>
    <row r="24" ht="23.25" customHeight="1" s="110">
      <c r="A24" s="120" t="n"/>
      <c r="B24" s="121" t="n"/>
      <c r="C24" s="121" t="n"/>
      <c r="D24" s="121" t="n"/>
      <c r="E24" s="176" t="n"/>
      <c r="F24" s="165" t="n"/>
      <c r="G24" s="121" t="n"/>
      <c r="H24" s="121" t="n"/>
      <c r="I24" s="121" t="n"/>
      <c r="J24" s="122" t="n"/>
    </row>
    <row r="25" ht="23.25" customHeight="1" s="110">
      <c r="A25" s="120" t="n"/>
      <c r="B25" s="121" t="n"/>
      <c r="C25" s="121" t="n"/>
      <c r="D25" s="121" t="n"/>
      <c r="E25" s="176" t="n"/>
      <c r="F25" s="165" t="n"/>
      <c r="G25" s="121" t="n"/>
      <c r="H25" s="121" t="n"/>
      <c r="I25" s="121" t="n"/>
      <c r="J25" s="122" t="n"/>
    </row>
    <row r="26" ht="23.25" customHeight="1" s="110">
      <c r="A26" s="120" t="n"/>
      <c r="B26" s="121" t="n"/>
      <c r="C26" s="121" t="n"/>
      <c r="D26" s="121" t="n"/>
      <c r="E26" s="176" t="n"/>
      <c r="F26" s="165" t="n"/>
      <c r="G26" s="121" t="n"/>
      <c r="H26" s="121" t="n"/>
      <c r="I26" s="121" t="n"/>
      <c r="J26" s="122" t="n"/>
    </row>
    <row r="27" ht="23.25" customHeight="1" s="110">
      <c r="A27" s="120" t="n"/>
      <c r="B27" s="121" t="n"/>
      <c r="C27" s="121" t="n"/>
      <c r="D27" s="121" t="n"/>
      <c r="E27" s="176" t="n"/>
      <c r="F27" s="165" t="n"/>
      <c r="G27" s="121" t="n"/>
      <c r="H27" s="121" t="n"/>
      <c r="I27" s="121" t="n"/>
      <c r="J27" s="122" t="n"/>
    </row>
    <row r="28" ht="23.25" customHeight="1" s="110">
      <c r="A28" s="120" t="n"/>
      <c r="B28" s="121" t="n"/>
      <c r="C28" s="121" t="n"/>
      <c r="D28" s="121" t="n"/>
      <c r="E28" s="176" t="n"/>
      <c r="F28" s="165" t="n"/>
      <c r="G28" s="121" t="n"/>
      <c r="H28" s="121" t="n"/>
      <c r="I28" s="121" t="n"/>
      <c r="J28" s="122" t="n"/>
    </row>
    <row r="29" ht="23.25" customHeight="1" s="110">
      <c r="A29" s="120" t="n"/>
      <c r="B29" s="121" t="n"/>
      <c r="C29" s="121" t="n"/>
      <c r="D29" s="121" t="n"/>
      <c r="E29" s="176" t="n"/>
      <c r="F29" s="165" t="n"/>
      <c r="G29" s="121" t="n"/>
      <c r="H29" s="121" t="n"/>
      <c r="I29" s="121" t="n"/>
      <c r="J29" s="122" t="n"/>
    </row>
    <row r="30" ht="23.25" customHeight="1" s="110">
      <c r="A30" s="123" t="n"/>
      <c r="B30" s="124" t="n"/>
      <c r="C30" s="124" t="n"/>
      <c r="D30" s="124" t="n"/>
      <c r="E30" s="177" t="n"/>
      <c r="F30" s="142" t="n"/>
      <c r="G30" s="124" t="n"/>
      <c r="H30" s="124" t="n"/>
      <c r="I30" s="124" t="n"/>
      <c r="J30" s="125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L6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8984375" defaultRowHeight="15" customHeight="0" zeroHeight="0" outlineLevelRow="0"/>
  <cols>
    <col width="28" customWidth="1" style="109" min="1" max="1"/>
    <col width="10" customWidth="1" style="109" min="2" max="2"/>
    <col width="12.78" customWidth="1" style="109" min="3" max="3"/>
    <col width="18.34" customWidth="1" style="109" min="4" max="4"/>
    <col width="55.56" customWidth="1" style="109" min="5" max="5"/>
    <col width="11.11" customWidth="1" style="109" min="6" max="6"/>
    <col width="12.22" customWidth="1" style="109" min="7" max="7"/>
  </cols>
  <sheetData>
    <row r="1" ht="27" customHeight="1" s="110">
      <c r="A1" s="111" t="inlineStr">
        <is>
          <t>15 — Control-to-TTP Efficacy Map</t>
        </is>
      </c>
    </row>
    <row r="2" ht="36" customHeight="1" s="110">
      <c r="A2" s="112" t="inlineStr">
        <is>
          <t>Placeholder for IT control-to-TTP efficacy.</t>
        </is>
      </c>
    </row>
    <row r="3" ht="48" customHeight="1" s="110">
      <c r="A3" s="126" t="inlineStr">
        <is>
          <t>How used in the model: Not used. OT TTP-control efficacy is OT CORE - TTP-Control Map.</t>
        </is>
      </c>
    </row>
    <row r="4" ht="15" customHeight="1" s="110">
      <c r="A4" s="113" t="inlineStr">
        <is>
          <t>SHEET TYPE: SECTOR PACK CALIBRATION - PACK OWNER ONLY</t>
        </is>
      </c>
    </row>
    <row r="15" ht="23.25" customHeight="1" s="110">
      <c r="A15" s="127" t="inlineStr">
        <is>
          <t>Item</t>
        </is>
      </c>
      <c r="B15" s="128" t="inlineStr">
        <is>
          <t>Value</t>
        </is>
      </c>
      <c r="C15" s="128" t="inlineStr">
        <is>
          <t>Description</t>
        </is>
      </c>
      <c r="D15" s="128" t="inlineStr">
        <is>
          <t>Evidence grade</t>
        </is>
      </c>
      <c r="E15" s="128" t="inlineStr">
        <is>
          <t>Source ID</t>
        </is>
      </c>
      <c r="F15" s="170" t="inlineStr">
        <is>
          <t>Evidence grade</t>
        </is>
      </c>
      <c r="G15" s="171" t="inlineStr">
        <is>
          <t>Source ID</t>
        </is>
      </c>
    </row>
    <row r="16" ht="15" customHeight="1" s="110">
      <c r="A16" s="117" t="inlineStr">
        <is>
          <t>OT_CORE</t>
        </is>
      </c>
      <c r="B16" s="131" t="inlineStr">
        <is>
          <t>Held in core OT methodology</t>
        </is>
      </c>
      <c r="C16" s="162" t="inlineStr">
        <is>
          <t>TTP-control efficacy is core OT (OT CORE - TTP-Control Map). This pack does not duplicate it.</t>
        </is>
      </c>
      <c r="D16" s="131" t="inlineStr">
        <is>
          <t>D</t>
        </is>
      </c>
      <c r="E16" s="131" t="inlineStr">
        <is>
          <t>SRC-OT-01</t>
        </is>
      </c>
      <c r="F16" s="118" t="n"/>
      <c r="G16" s="119" t="n"/>
    </row>
    <row r="17" ht="15" customHeight="1" s="110">
      <c r="A17" s="120" t="n"/>
      <c r="B17" s="121" t="n"/>
      <c r="C17" s="165" t="n"/>
      <c r="D17" s="176" t="n"/>
      <c r="E17" s="121" t="n"/>
      <c r="F17" s="121" t="n"/>
      <c r="G17" s="122" t="n"/>
    </row>
    <row r="18" ht="15" customHeight="1" s="110">
      <c r="A18" s="120" t="n"/>
      <c r="B18" s="121" t="n"/>
      <c r="C18" s="165" t="n"/>
      <c r="D18" s="176" t="n"/>
      <c r="E18" s="121" t="n"/>
      <c r="F18" s="121" t="n"/>
      <c r="G18" s="122" t="n"/>
    </row>
    <row r="19" ht="15" customHeight="1" s="110">
      <c r="A19" s="120" t="n"/>
      <c r="B19" s="121" t="n"/>
      <c r="C19" s="165" t="n"/>
      <c r="D19" s="176" t="n"/>
      <c r="E19" s="121" t="n"/>
      <c r="F19" s="121" t="n"/>
      <c r="G19" s="122" t="n"/>
    </row>
    <row r="20" ht="15" customHeight="1" s="110">
      <c r="A20" s="120" t="n"/>
      <c r="B20" s="121" t="n"/>
      <c r="C20" s="165" t="n"/>
      <c r="D20" s="176" t="n"/>
      <c r="E20" s="121" t="n"/>
      <c r="F20" s="121" t="n"/>
      <c r="G20" s="122" t="n"/>
    </row>
    <row r="21" ht="15" customHeight="1" s="110">
      <c r="A21" s="120" t="n"/>
      <c r="B21" s="121" t="n"/>
      <c r="C21" s="165" t="n"/>
      <c r="D21" s="176" t="n"/>
      <c r="E21" s="121" t="n"/>
      <c r="F21" s="121" t="n"/>
      <c r="G21" s="122" t="n"/>
    </row>
    <row r="22" ht="15" customHeight="1" s="110">
      <c r="A22" s="120" t="n"/>
      <c r="B22" s="121" t="n"/>
      <c r="C22" s="165" t="n"/>
      <c r="D22" s="176" t="n"/>
      <c r="E22" s="121" t="n"/>
      <c r="F22" s="121" t="n"/>
      <c r="G22" s="122" t="n"/>
    </row>
    <row r="23" ht="15" customHeight="1" s="110">
      <c r="A23" s="120" t="n"/>
      <c r="B23" s="121" t="n"/>
      <c r="C23" s="165" t="n"/>
      <c r="D23" s="176" t="n"/>
      <c r="E23" s="121" t="n"/>
      <c r="F23" s="121" t="n"/>
      <c r="G23" s="122" t="n"/>
    </row>
    <row r="24" ht="15" customHeight="1" s="110">
      <c r="A24" s="120" t="n"/>
      <c r="B24" s="121" t="n"/>
      <c r="C24" s="165" t="n"/>
      <c r="D24" s="176" t="n"/>
      <c r="E24" s="121" t="n"/>
      <c r="F24" s="121" t="n"/>
      <c r="G24" s="122" t="n"/>
    </row>
    <row r="25" ht="15" customHeight="1" s="110">
      <c r="A25" s="120" t="n"/>
      <c r="B25" s="121" t="n"/>
      <c r="C25" s="165" t="n"/>
      <c r="D25" s="176" t="n"/>
      <c r="E25" s="121" t="n"/>
      <c r="F25" s="121" t="n"/>
      <c r="G25" s="122" t="n"/>
    </row>
    <row r="26" ht="15" customHeight="1" s="110">
      <c r="A26" s="120" t="n"/>
      <c r="B26" s="121" t="n"/>
      <c r="C26" s="165" t="n"/>
      <c r="D26" s="176" t="n"/>
      <c r="E26" s="121" t="n"/>
      <c r="F26" s="121" t="n"/>
      <c r="G26" s="122" t="n"/>
    </row>
    <row r="27" ht="15" customHeight="1" s="110">
      <c r="A27" s="120" t="n"/>
      <c r="B27" s="121" t="n"/>
      <c r="C27" s="165" t="n"/>
      <c r="D27" s="176" t="n"/>
      <c r="E27" s="121" t="n"/>
      <c r="F27" s="121" t="n"/>
      <c r="G27" s="122" t="n"/>
    </row>
    <row r="28" ht="15" customHeight="1" s="110">
      <c r="A28" s="120" t="n"/>
      <c r="B28" s="121" t="n"/>
      <c r="C28" s="165" t="n"/>
      <c r="D28" s="176" t="n"/>
      <c r="E28" s="121" t="n"/>
      <c r="F28" s="121" t="n"/>
      <c r="G28" s="122" t="n"/>
    </row>
    <row r="29" ht="15" customHeight="1" s="110">
      <c r="A29" s="120" t="n"/>
      <c r="B29" s="121" t="n"/>
      <c r="C29" s="165" t="n"/>
      <c r="D29" s="176" t="n"/>
      <c r="E29" s="121" t="n"/>
      <c r="F29" s="121" t="n"/>
      <c r="G29" s="122" t="n"/>
    </row>
    <row r="30" ht="15" customHeight="1" s="110">
      <c r="A30" s="120" t="n"/>
      <c r="B30" s="121" t="n"/>
      <c r="C30" s="165" t="n"/>
      <c r="D30" s="176" t="n"/>
      <c r="E30" s="121" t="n"/>
      <c r="F30" s="121" t="n"/>
      <c r="G30" s="122" t="n"/>
    </row>
    <row r="31" ht="15" customHeight="1" s="110">
      <c r="A31" s="120" t="n"/>
      <c r="B31" s="121" t="n"/>
      <c r="C31" s="165" t="n"/>
      <c r="D31" s="176" t="n"/>
      <c r="E31" s="121" t="n"/>
      <c r="F31" s="121" t="n"/>
      <c r="G31" s="122" t="n"/>
    </row>
    <row r="32" ht="15" customHeight="1" s="110">
      <c r="A32" s="120" t="n"/>
      <c r="B32" s="121" t="n"/>
      <c r="C32" s="165" t="n"/>
      <c r="D32" s="176" t="n"/>
      <c r="E32" s="121" t="n"/>
      <c r="F32" s="121" t="n"/>
      <c r="G32" s="122" t="n"/>
    </row>
    <row r="33" ht="15" customHeight="1" s="110">
      <c r="A33" s="120" t="n"/>
      <c r="B33" s="121" t="n"/>
      <c r="C33" s="165" t="n"/>
      <c r="D33" s="176" t="n"/>
      <c r="E33" s="121" t="n"/>
      <c r="F33" s="121" t="n"/>
      <c r="G33" s="122" t="n"/>
    </row>
    <row r="34" ht="15" customHeight="1" s="110">
      <c r="A34" s="120" t="n"/>
      <c r="B34" s="121" t="n"/>
      <c r="C34" s="165" t="n"/>
      <c r="D34" s="176" t="n"/>
      <c r="E34" s="121" t="n"/>
      <c r="F34" s="121" t="n"/>
      <c r="G34" s="122" t="n"/>
    </row>
    <row r="35" ht="15" customHeight="1" s="110">
      <c r="A35" s="120" t="n"/>
      <c r="B35" s="121" t="n"/>
      <c r="C35" s="165" t="n"/>
      <c r="D35" s="176" t="n"/>
      <c r="E35" s="121" t="n"/>
      <c r="F35" s="121" t="n"/>
      <c r="G35" s="122" t="n"/>
    </row>
    <row r="36" ht="15" customHeight="1" s="110">
      <c r="A36" s="120" t="n"/>
      <c r="B36" s="121" t="n"/>
      <c r="C36" s="165" t="n"/>
      <c r="D36" s="176" t="n"/>
      <c r="E36" s="121" t="n"/>
      <c r="F36" s="121" t="n"/>
      <c r="G36" s="122" t="n"/>
    </row>
    <row r="37" ht="15" customHeight="1" s="110">
      <c r="A37" s="120" t="n"/>
      <c r="B37" s="121" t="n"/>
      <c r="C37" s="165" t="n"/>
      <c r="D37" s="176" t="n"/>
      <c r="E37" s="121" t="n"/>
      <c r="F37" s="121" t="n"/>
      <c r="G37" s="122" t="n"/>
    </row>
    <row r="38" ht="15" customHeight="1" s="110">
      <c r="A38" s="120" t="n"/>
      <c r="B38" s="121" t="n"/>
      <c r="C38" s="165" t="n"/>
      <c r="D38" s="176" t="n"/>
      <c r="E38" s="121" t="n"/>
      <c r="F38" s="121" t="n"/>
      <c r="G38" s="122" t="n"/>
    </row>
    <row r="39" ht="15" customHeight="1" s="110">
      <c r="A39" s="120" t="n"/>
      <c r="B39" s="121" t="n"/>
      <c r="C39" s="165" t="n"/>
      <c r="D39" s="176" t="n"/>
      <c r="E39" s="121" t="n"/>
      <c r="F39" s="121" t="n"/>
      <c r="G39" s="122" t="n"/>
    </row>
    <row r="40" ht="15" customHeight="1" s="110">
      <c r="A40" s="120" t="n"/>
      <c r="B40" s="121" t="n"/>
      <c r="C40" s="165" t="n"/>
      <c r="D40" s="176" t="n"/>
      <c r="E40" s="121" t="n"/>
      <c r="F40" s="121" t="n"/>
      <c r="G40" s="122" t="n"/>
    </row>
    <row r="41" ht="15" customHeight="1" s="110">
      <c r="A41" s="120" t="n"/>
      <c r="B41" s="121" t="n"/>
      <c r="C41" s="165" t="n"/>
      <c r="D41" s="176" t="n"/>
      <c r="E41" s="121" t="n"/>
      <c r="F41" s="121" t="n"/>
      <c r="G41" s="122" t="n"/>
    </row>
    <row r="42" ht="15" customHeight="1" s="110">
      <c r="A42" s="120" t="n"/>
      <c r="B42" s="121" t="n"/>
      <c r="C42" s="165" t="n"/>
      <c r="D42" s="176" t="n"/>
      <c r="E42" s="121" t="n"/>
      <c r="F42" s="121" t="n"/>
      <c r="G42" s="122" t="n"/>
    </row>
    <row r="43" ht="15" customHeight="1" s="110">
      <c r="A43" s="120" t="n"/>
      <c r="B43" s="121" t="n"/>
      <c r="C43" s="165" t="n"/>
      <c r="D43" s="176" t="n"/>
      <c r="E43" s="121" t="n"/>
      <c r="F43" s="121" t="n"/>
      <c r="G43" s="122" t="n"/>
    </row>
    <row r="44" ht="15" customHeight="1" s="110">
      <c r="A44" s="120" t="n"/>
      <c r="B44" s="121" t="n"/>
      <c r="C44" s="165" t="n"/>
      <c r="D44" s="176" t="n"/>
      <c r="E44" s="121" t="n"/>
      <c r="F44" s="121" t="n"/>
      <c r="G44" s="122" t="n"/>
    </row>
    <row r="45" ht="23.25" customHeight="1" s="110">
      <c r="A45" s="120" t="n"/>
      <c r="B45" s="121" t="n"/>
      <c r="C45" s="165" t="n"/>
      <c r="D45" s="176" t="n"/>
      <c r="E45" s="121" t="n"/>
      <c r="F45" s="121" t="n"/>
      <c r="G45" s="122" t="n"/>
    </row>
    <row r="46" ht="23.25" customHeight="1" s="110">
      <c r="A46" s="120" t="n"/>
      <c r="B46" s="121" t="n"/>
      <c r="C46" s="165" t="n"/>
      <c r="D46" s="176" t="n"/>
      <c r="E46" s="121" t="n"/>
      <c r="F46" s="121" t="n"/>
      <c r="G46" s="122" t="n"/>
    </row>
    <row r="47" ht="23.25" customHeight="1" s="110">
      <c r="A47" s="120" t="n"/>
      <c r="B47" s="121" t="n"/>
      <c r="C47" s="165" t="n"/>
      <c r="D47" s="176" t="n"/>
      <c r="E47" s="121" t="n"/>
      <c r="F47" s="121" t="n"/>
      <c r="G47" s="122" t="n"/>
    </row>
    <row r="48" ht="15" customHeight="1" s="110">
      <c r="A48" s="120" t="n"/>
      <c r="B48" s="121" t="n"/>
      <c r="C48" s="165" t="n"/>
      <c r="D48" s="176" t="n"/>
      <c r="E48" s="121" t="n"/>
      <c r="F48" s="121" t="n"/>
      <c r="G48" s="122" t="n"/>
    </row>
    <row r="49" ht="15" customHeight="1" s="110">
      <c r="A49" s="120" t="n"/>
      <c r="B49" s="121" t="n"/>
      <c r="C49" s="165" t="n"/>
      <c r="D49" s="176" t="n"/>
      <c r="E49" s="121" t="n"/>
      <c r="F49" s="121" t="n"/>
      <c r="G49" s="122" t="n"/>
    </row>
    <row r="50" ht="15" customHeight="1" s="110">
      <c r="A50" s="120" t="n"/>
      <c r="B50" s="121" t="n"/>
      <c r="C50" s="165" t="n"/>
      <c r="D50" s="176" t="n"/>
      <c r="E50" s="121" t="n"/>
      <c r="F50" s="121" t="n"/>
      <c r="G50" s="122" t="n"/>
    </row>
    <row r="51" ht="15" customHeight="1" s="110">
      <c r="A51" s="120" t="n"/>
      <c r="B51" s="121" t="n"/>
      <c r="C51" s="165" t="n"/>
      <c r="D51" s="176" t="n"/>
      <c r="E51" s="121" t="n"/>
      <c r="F51" s="121" t="n"/>
      <c r="G51" s="122" t="n"/>
    </row>
    <row r="52" ht="15" customHeight="1" s="110">
      <c r="A52" s="120" t="n"/>
      <c r="B52" s="121" t="n"/>
      <c r="C52" s="165" t="n"/>
      <c r="D52" s="176" t="n"/>
      <c r="E52" s="121" t="n"/>
      <c r="F52" s="121" t="n"/>
      <c r="G52" s="122" t="n"/>
    </row>
    <row r="53" ht="15" customHeight="1" s="110">
      <c r="A53" s="120" t="n"/>
      <c r="B53" s="121" t="n"/>
      <c r="C53" s="165" t="n"/>
      <c r="D53" s="176" t="n"/>
      <c r="E53" s="121" t="n"/>
      <c r="F53" s="121" t="n"/>
      <c r="G53" s="122" t="n"/>
    </row>
    <row r="54" ht="15" customHeight="1" s="110">
      <c r="A54" s="120" t="n"/>
      <c r="B54" s="121" t="n"/>
      <c r="C54" s="165" t="n"/>
      <c r="D54" s="176" t="n"/>
      <c r="E54" s="121" t="n"/>
      <c r="F54" s="121" t="n"/>
      <c r="G54" s="122" t="n"/>
    </row>
    <row r="55" ht="15" customHeight="1" s="110">
      <c r="A55" s="120" t="n"/>
      <c r="B55" s="121" t="n"/>
      <c r="C55" s="165" t="n"/>
      <c r="D55" s="176" t="n"/>
      <c r="E55" s="121" t="n"/>
      <c r="F55" s="121" t="n"/>
      <c r="G55" s="122" t="n"/>
    </row>
    <row r="56" ht="15" customHeight="1" s="110">
      <c r="A56" s="120" t="n"/>
      <c r="B56" s="121" t="n"/>
      <c r="C56" s="165" t="n"/>
      <c r="D56" s="176" t="n"/>
      <c r="E56" s="121" t="n"/>
      <c r="F56" s="121" t="n"/>
      <c r="G56" s="122" t="n"/>
    </row>
    <row r="57" ht="15" customHeight="1" s="110">
      <c r="A57" s="120" t="n"/>
      <c r="B57" s="121" t="n"/>
      <c r="C57" s="165" t="n"/>
      <c r="D57" s="176" t="n"/>
      <c r="E57" s="121" t="n"/>
      <c r="F57" s="121" t="n"/>
      <c r="G57" s="122" t="n"/>
    </row>
    <row r="58" ht="15" customHeight="1" s="110">
      <c r="A58" s="120" t="n"/>
      <c r="B58" s="121" t="n"/>
      <c r="C58" s="165" t="n"/>
      <c r="D58" s="176" t="n"/>
      <c r="E58" s="121" t="n"/>
      <c r="F58" s="121" t="n"/>
      <c r="G58" s="122" t="n"/>
    </row>
    <row r="59" ht="15" customHeight="1" s="110">
      <c r="A59" s="120" t="n"/>
      <c r="B59" s="121" t="n"/>
      <c r="C59" s="165" t="n"/>
      <c r="D59" s="176" t="n"/>
      <c r="E59" s="121" t="n"/>
      <c r="F59" s="121" t="n"/>
      <c r="G59" s="122" t="n"/>
    </row>
    <row r="60" ht="15" customHeight="1" s="110">
      <c r="A60" s="120" t="n"/>
      <c r="B60" s="121" t="n"/>
      <c r="C60" s="165" t="n"/>
      <c r="D60" s="176" t="n"/>
      <c r="E60" s="121" t="n"/>
      <c r="F60" s="121" t="n"/>
      <c r="G60" s="122" t="n"/>
    </row>
    <row r="61" ht="15" customHeight="1" s="110">
      <c r="A61" s="120" t="n"/>
      <c r="B61" s="121" t="n"/>
      <c r="C61" s="165" t="n"/>
      <c r="D61" s="176" t="n"/>
      <c r="E61" s="121" t="n"/>
      <c r="F61" s="121" t="n"/>
      <c r="G61" s="122" t="n"/>
    </row>
    <row r="62" ht="15" customHeight="1" s="110">
      <c r="A62" s="120" t="n"/>
      <c r="B62" s="121" t="n"/>
      <c r="C62" s="165" t="n"/>
      <c r="D62" s="176" t="n"/>
      <c r="E62" s="121" t="n"/>
      <c r="F62" s="121" t="n"/>
      <c r="G62" s="122" t="n"/>
    </row>
    <row r="63" ht="15" customHeight="1" s="110">
      <c r="A63" s="120" t="n"/>
      <c r="B63" s="121" t="n"/>
      <c r="C63" s="165" t="n"/>
      <c r="D63" s="176" t="n"/>
      <c r="E63" s="121" t="n"/>
      <c r="F63" s="121" t="n"/>
      <c r="G63" s="122" t="n"/>
    </row>
    <row r="64" ht="15" customHeight="1" s="110">
      <c r="A64" s="120" t="n"/>
      <c r="B64" s="121" t="n"/>
      <c r="C64" s="165" t="n"/>
      <c r="D64" s="176" t="n"/>
      <c r="E64" s="121" t="n"/>
      <c r="F64" s="121" t="n"/>
      <c r="G64" s="122" t="n"/>
    </row>
    <row r="65" ht="15" customHeight="1" s="110">
      <c r="A65" s="120" t="n"/>
      <c r="B65" s="121" t="n"/>
      <c r="C65" s="165" t="n"/>
      <c r="D65" s="176" t="n"/>
      <c r="E65" s="121" t="n"/>
      <c r="F65" s="121" t="n"/>
      <c r="G65" s="122" t="n"/>
    </row>
    <row r="66" ht="23.25" customHeight="1" s="110">
      <c r="A66" s="123" t="n"/>
      <c r="B66" s="124" t="n"/>
      <c r="C66" s="142" t="n"/>
      <c r="D66" s="177" t="n"/>
      <c r="E66" s="124" t="n"/>
      <c r="F66" s="124" t="n"/>
      <c r="G66" s="125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L2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28" customWidth="1" style="109" min="1" max="1"/>
    <col width="26.67" customWidth="1" style="109" min="2" max="2"/>
    <col width="53.33" customWidth="1" style="109" min="3" max="3"/>
    <col width="36.67" customWidth="1" style="109" min="4" max="4"/>
    <col width="46.67" customWidth="1" style="109" min="5" max="5"/>
  </cols>
  <sheetData>
    <row r="1" ht="27" customHeight="1" s="110">
      <c r="A1" s="111" t="inlineStr">
        <is>
          <t>16 — Sources and Evidence</t>
        </is>
      </c>
    </row>
    <row r="2" ht="36" customHeight="1" s="110">
      <c r="A2" s="112" t="inlineStr">
        <is>
          <t>Bibliography and limitations for this sector pack.</t>
        </is>
      </c>
    </row>
    <row r="3" ht="48" customHeight="1" s="110">
      <c r="A3" s="126" t="inlineStr">
        <is>
          <t>How used in the model: Traceability only. The engine does not take λ or loss numbers from this sheet.</t>
        </is>
      </c>
    </row>
    <row r="4" ht="15" customHeight="1" s="110">
      <c r="A4" s="113" t="inlineStr">
        <is>
          <t>SHEET TYPE: SECTOR PACK CALIBRATION - PACK OWNER ONLY</t>
        </is>
      </c>
    </row>
    <row r="15" ht="15" customHeight="1" s="110">
      <c r="A15" s="127" t="inlineStr">
        <is>
          <t>Source ID</t>
        </is>
      </c>
      <c r="B15" s="128" t="inlineStr">
        <is>
          <t>Source</t>
        </is>
      </c>
      <c r="C15" s="128" t="inlineStr">
        <is>
          <t>URL / file</t>
        </is>
      </c>
      <c r="D15" s="128" t="inlineStr">
        <is>
          <t>How used</t>
        </is>
      </c>
      <c r="E15" s="129" t="inlineStr">
        <is>
          <t>Limitation</t>
        </is>
      </c>
    </row>
    <row r="16" ht="15" customHeight="1" s="110">
      <c r="A16" s="117" t="inlineStr">
        <is>
          <t>SRC-OT-01</t>
        </is>
      </c>
      <c r="B16" s="118" t="inlineStr">
        <is>
          <t>Embedded OT sector pack (extracted)</t>
        </is>
      </c>
      <c r="C16" s="118" t="inlineStr">
        <is>
          <t>OT CORE / former sheets 28–32</t>
        </is>
      </c>
      <c r="D16" s="118" t="inlineStr">
        <is>
          <t>Identity, archetypes, TTP rationale and frequency overlays</t>
        </is>
      </c>
      <c r="E16" s="119" t="inlineStr">
        <is>
          <t>Working prior unless a later pack revision cites new evidence.</t>
        </is>
      </c>
    </row>
    <row r="17" ht="15" customHeight="1" s="110">
      <c r="A17" s="120" t="inlineStr">
        <is>
          <t>SRC-OT-02</t>
        </is>
      </c>
      <c r="B17" s="121" t="inlineStr">
        <is>
          <t>MITRE ATT&amp;CK for ICS</t>
        </is>
      </c>
      <c r="C17" s="121" t="inlineStr">
        <is>
          <t>https://attack.mitre.org/matrices/ics/</t>
        </is>
      </c>
      <c r="D17" s="121" t="inlineStr">
        <is>
          <t>Technique taxonomy</t>
        </is>
      </c>
      <c r="E17" s="122" t="inlineStr">
        <is>
          <t>ATT&amp;CK is not a frequency dataset.</t>
        </is>
      </c>
    </row>
    <row r="18" ht="15" customHeight="1" s="110">
      <c r="A18" s="120" t="inlineStr">
        <is>
          <t>SRC-OT-03</t>
        </is>
      </c>
      <c r="B18" s="121" t="inlineStr">
        <is>
          <t>Primary registry evidence</t>
        </is>
      </c>
      <c r="C18" s="121" t="inlineStr">
        <is>
          <t>NIST SP 800-82; DOE C2M2; MITRE ATT&amp;CK for ICS</t>
        </is>
      </c>
      <c r="D18" s="121" t="inlineStr">
        <is>
          <t>Sector evidence cited in the governed registry</t>
        </is>
      </c>
      <c r="E18" s="122" t="inlineStr">
        <is>
          <t>See pack STATUS.</t>
        </is>
      </c>
    </row>
    <row r="19" ht="23.25" customHeight="1" s="110">
      <c r="A19" s="120" t="n"/>
      <c r="B19" s="121" t="n"/>
      <c r="C19" s="121" t="n"/>
      <c r="D19" s="121" t="n"/>
      <c r="E19" s="122" t="n"/>
    </row>
    <row r="20" ht="23.25" customHeight="1" s="110">
      <c r="A20" s="120" t="n"/>
      <c r="B20" s="121" t="n"/>
      <c r="C20" s="121" t="n"/>
      <c r="D20" s="121" t="n"/>
      <c r="E20" s="122" t="n"/>
    </row>
    <row r="21" ht="23.25" customHeight="1" s="110">
      <c r="A21" s="120" t="n"/>
      <c r="B21" s="121" t="n"/>
      <c r="C21" s="121" t="n"/>
      <c r="D21" s="121" t="n"/>
      <c r="E21" s="122" t="n"/>
    </row>
    <row r="22" ht="23.25" customHeight="1" s="110">
      <c r="A22" s="120" t="n"/>
      <c r="B22" s="121" t="n"/>
      <c r="C22" s="121" t="n"/>
      <c r="D22" s="121" t="n"/>
      <c r="E22" s="122" t="n"/>
    </row>
    <row r="23" ht="23.25" customHeight="1" s="110">
      <c r="A23" s="120" t="n"/>
      <c r="B23" s="121" t="n"/>
      <c r="C23" s="121" t="n"/>
      <c r="D23" s="121" t="n"/>
      <c r="E23" s="122" t="n"/>
    </row>
    <row r="24" ht="23.25" customHeight="1" s="110">
      <c r="A24" s="120" t="n"/>
      <c r="B24" s="121" t="n"/>
      <c r="C24" s="121" t="n"/>
      <c r="D24" s="121" t="n"/>
      <c r="E24" s="122" t="n"/>
    </row>
    <row r="25" ht="23.25" customHeight="1" s="110">
      <c r="A25" s="123" t="n"/>
      <c r="B25" s="124" t="n"/>
      <c r="C25" s="124" t="n"/>
      <c r="D25" s="124" t="n"/>
      <c r="E25" s="125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L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8.34" customWidth="1" style="109" min="1" max="1"/>
    <col width="28.89" customWidth="1" style="109" min="2" max="2"/>
    <col width="57.79" customWidth="1" style="109" min="3" max="3"/>
    <col width="28.89" customWidth="1" style="109" min="4" max="4"/>
  </cols>
  <sheetData>
    <row r="1" ht="27" customHeight="1" s="110">
      <c r="A1" s="211" t="inlineStr">
        <is>
          <t>17 — Evidence Grade Register</t>
        </is>
      </c>
    </row>
    <row r="2" ht="36" customHeight="1" s="110">
      <c r="A2" s="112" t="inlineStr">
        <is>
          <t>Evidence-grade scale used to label pack assumptions.</t>
        </is>
      </c>
    </row>
    <row r="3" ht="48" customHeight="1" s="110">
      <c r="A3" s="126" t="inlineStr">
        <is>
          <t>How used in the model: Governance labels only. Grades do not rescale OT Monte Carlo results.</t>
        </is>
      </c>
    </row>
    <row r="15" ht="15" customHeight="1" s="110">
      <c r="A15" s="212" t="inlineStr">
        <is>
          <t>Grade</t>
        </is>
      </c>
      <c r="B15" s="170" t="inlineStr">
        <is>
          <t>Definition</t>
        </is>
      </c>
      <c r="C15" s="170" t="inlineStr">
        <is>
          <t>Minimum record</t>
        </is>
      </c>
      <c r="D15" s="171" t="inlineStr">
        <is>
          <t>Use</t>
        </is>
      </c>
    </row>
    <row r="16" ht="23.25" customHeight="1" s="110">
      <c r="A16" s="117" t="inlineStr">
        <is>
          <t>A</t>
        </is>
      </c>
      <c r="B16" s="118" t="inlineStr">
        <is>
          <t>Direct empirical evidence</t>
        </is>
      </c>
      <c r="C16" s="118" t="inlineStr">
        <is>
          <t>Internal incidents, claims, organisation-years, control tests or BIA evidence</t>
        </is>
      </c>
      <c r="D16" s="119" t="inlineStr">
        <is>
          <t>Preferred calibration</t>
        </is>
      </c>
    </row>
    <row r="17" ht="23.25" customHeight="1" s="110">
      <c r="A17" s="120" t="inlineStr">
        <is>
          <t>B</t>
        </is>
      </c>
      <c r="B17" s="121" t="inlineStr">
        <is>
          <t>Relevant portfolio evidence</t>
        </is>
      </c>
      <c r="C17" s="121" t="inlineStr">
        <is>
          <t>Comparable anonymised FS incidents, claims or control-testing evidence</t>
        </is>
      </c>
      <c r="D17" s="122" t="inlineStr">
        <is>
          <t>Portfolio calibration</t>
        </is>
      </c>
    </row>
    <row r="18" ht="15" customHeight="1" s="110">
      <c r="A18" s="120" t="inlineStr">
        <is>
          <t>C</t>
        </is>
      </c>
      <c r="B18" s="121" t="inlineStr">
        <is>
          <t>External evidence</t>
        </is>
      </c>
      <c r="C18" s="121" t="inlineStr">
        <is>
          <t>Regulators, ENISA, DBIR, published incidents and case studies</t>
        </is>
      </c>
      <c r="D18" s="122" t="inlineStr">
        <is>
          <t>Context and bounded calibration</t>
        </is>
      </c>
    </row>
    <row r="19" ht="23.25" customHeight="1" s="110">
      <c r="A19" s="123" t="inlineStr">
        <is>
          <t>D</t>
        </is>
      </c>
      <c r="B19" s="124" t="inlineStr">
        <is>
          <t>Structured expert judgement</t>
        </is>
      </c>
      <c r="C19" s="124" t="inlineStr">
        <is>
          <t>Named experts, documented rationale, range/distribution and independent challenge</t>
        </is>
      </c>
      <c r="D19" s="125" t="inlineStr">
        <is>
          <t>Only where A–C are unavailable</t>
        </is>
      </c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L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8984375" defaultRowHeight="15" customHeight="0" zeroHeight="0" outlineLevelRow="0"/>
  <cols>
    <col width="32.22" customWidth="1" style="109" min="1" max="1"/>
    <col width="13.34" customWidth="1" style="109" min="2" max="4"/>
    <col width="11.11" customWidth="1" style="109" min="5" max="5"/>
  </cols>
  <sheetData>
    <row r="1" ht="27" customHeight="1" s="110">
      <c r="A1" s="111" t="inlineStr">
        <is>
          <t>18 — Pack Validation</t>
        </is>
      </c>
    </row>
    <row r="2" ht="36" customHeight="1" s="110">
      <c r="A2" s="112" t="inlineStr">
        <is>
          <t>Spreadsheet checks (PACK_ID, DOMAIN=OT, TTP and asset row counts).</t>
        </is>
      </c>
    </row>
    <row r="3" ht="48" customHeight="1" s="110">
      <c r="A3" s="126" t="inlineStr">
        <is>
          <t>How used in the model: Advisory in Excel. Python repeats pack identity, TTP coverage and multiplier presence and fails closed independently.</t>
        </is>
      </c>
    </row>
    <row r="4" ht="15" customHeight="1" s="110">
      <c r="A4" s="113" t="inlineStr">
        <is>
          <t>SHEET TYPE: SECTOR PACK CALIBRATION - PACK OWNER ONLY</t>
        </is>
      </c>
    </row>
    <row r="15" ht="15" customHeight="1" s="110">
      <c r="A15" s="127" t="inlineStr">
        <is>
          <t>Check</t>
        </is>
      </c>
      <c r="B15" s="128" t="inlineStr">
        <is>
          <t>Actual</t>
        </is>
      </c>
      <c r="C15" s="128" t="inlineStr">
        <is>
          <t>Expected</t>
        </is>
      </c>
      <c r="D15" s="128" t="inlineStr">
        <is>
          <t>Tolerance</t>
        </is>
      </c>
      <c r="E15" s="129" t="inlineStr">
        <is>
          <t>Status</t>
        </is>
      </c>
    </row>
    <row r="16" ht="15" customHeight="1" s="110">
      <c r="A16" s="117" t="inlineStr">
        <is>
          <t>PACK_ID populated</t>
        </is>
      </c>
      <c r="B16" s="213">
        <f>'01 Pack Metadata'!B16</f>
        <v/>
      </c>
      <c r="C16" s="118" t="inlineStr">
        <is>
          <t>PG-v1.6</t>
        </is>
      </c>
      <c r="D16" s="118" t="n">
        <v>0</v>
      </c>
      <c r="E16" s="119">
        <f>IF(B16=C16,"PASS","FAIL")</f>
        <v/>
      </c>
    </row>
    <row r="17" ht="15" customHeight="1" s="110">
      <c r="A17" s="120" t="inlineStr">
        <is>
          <t>DOMAIN is OT</t>
        </is>
      </c>
      <c r="B17" s="214">
        <f>'01 Pack Metadata'!B18</f>
        <v/>
      </c>
      <c r="C17" s="121" t="inlineStr">
        <is>
          <t>OT</t>
        </is>
      </c>
      <c r="D17" s="121" t="n"/>
      <c r="E17" s="122">
        <f>IF(B17=C17,"PASS","FAIL")</f>
        <v/>
      </c>
    </row>
    <row r="18" ht="15" customHeight="1" s="110">
      <c r="A18" s="120" t="inlineStr">
        <is>
          <t>TTP catalogue has rows</t>
        </is>
      </c>
      <c r="B18" s="214">
        <f>COUNTA('12 TTP Catalogue'!A16:A500)</f>
        <v/>
      </c>
      <c r="C18" s="121" t="inlineStr">
        <is>
          <t>&gt;0</t>
        </is>
      </c>
      <c r="D18" s="121" t="n"/>
      <c r="E18" s="122">
        <f>IF(B18&gt;0,"PASS","FAIL")</f>
        <v/>
      </c>
    </row>
    <row r="19" ht="15" customHeight="1" s="110">
      <c r="A19" s="120" t="inlineStr">
        <is>
          <t>Asset archetypes have rows</t>
        </is>
      </c>
      <c r="B19" s="214">
        <f>COUNTA('05 Actor Route'!A16:A40)</f>
        <v/>
      </c>
      <c r="C19" s="121" t="inlineStr">
        <is>
          <t>&gt;0</t>
        </is>
      </c>
      <c r="D19" s="121" t="n"/>
      <c r="E19" s="122">
        <f>IF(B19&gt;0,"PASS","FAIL")</f>
        <v/>
      </c>
    </row>
    <row r="20" ht="15" customHeight="1" s="110">
      <c r="A20" s="123" t="n"/>
      <c r="B20" s="124" t="n"/>
      <c r="C20" s="124" t="n"/>
      <c r="D20" s="124" t="n"/>
      <c r="E20" s="125" t="n"/>
    </row>
  </sheetData>
  <mergeCells count="2"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en-GB</dc:language>
  <dcterms:created xsi:type="dcterms:W3CDTF">2026-08-24T09:20:07Z</dcterms:created>
  <dcterms:modified xsi:type="dcterms:W3CDTF">2026-08-26T20:25:03Z</dcterms:modified>
  <cp:revision>19</cp:revision>
</cp:coreProperties>
</file>