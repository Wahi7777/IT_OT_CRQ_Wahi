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1.xml" ContentType="application/vnd.openxmlformats-officedocument.drawing+xml"/>
  <Override PartName="/xl/worksheets/sheet24.xml" ContentType="application/vnd.openxmlformats-officedocument.spreadsheetml.worksheet+xml"/>
  <Override PartName="/xl/drawings/drawing2.xml" ContentType="application/vnd.openxmlformats-officedocument.drawing+xml"/>
  <Override PartName="/xl/worksheets/sheet25.xml" ContentType="application/vnd.openxmlformats-officedocument.spreadsheetml.worksheet+xml"/>
  <Override PartName="/xl/drawings/drawing3.xml" ContentType="application/vnd.openxmlformats-officedocument.drawing+xml"/>
  <Override PartName="/xl/worksheets/sheet26.xml" ContentType="application/vnd.openxmlformats-officedocument.spreadsheetml.worksheet+xml"/>
  <Override PartName="/xl/drawings/drawing4.xml" ContentType="application/vnd.openxmlformats-officedocument.drawing+xml"/>
  <Override PartName="/xl/worksheets/sheet27.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1 Model Guide" sheetId="1" state="visible" r:id="rId1"/>
    <sheet name="02 Executive Summary" sheetId="2" state="visible" r:id="rId2"/>
    <sheet name="03 Organisation Inputs" sheetId="3" state="visible" r:id="rId3"/>
    <sheet name="04 Exposure Adjustments" sheetId="4" state="visible" r:id="rId4"/>
    <sheet name="05 Control Assessment" sheetId="5" state="visible" r:id="rId5"/>
    <sheet name="06 Impact and BIA" sheetId="6" state="visible" r:id="rId6"/>
    <sheet name="07 Frequency Assumptions" sheetId="7" state="visible" r:id="rId7"/>
    <sheet name="08 Tail Risk Settings" sheetId="8" state="visible" r:id="rId8"/>
    <sheet name="09 Sector Pack Registry" sheetId="9" state="visible" r:id="rId9"/>
    <sheet name="10 TTP Relevance Calc" sheetId="10" state="visible" r:id="rId10"/>
    <sheet name="11 Attack Path Calc" sheetId="11" state="visible" r:id="rId11"/>
    <sheet name="12 Frequency and Success" sheetId="12" state="visible" r:id="rId12"/>
    <sheet name="13 Consequence Calc" sheetId="13" state="visible" r:id="rId13"/>
    <sheet name="14 Actor Scenario Matrix" sheetId="14" state="visible" r:id="rId14"/>
    <sheet name="15 Tail Risk Metrics" sheetId="15" state="visible" r:id="rId15"/>
    <sheet name="16 Control What-If" sheetId="16" state="visible" r:id="rId16"/>
    <sheet name="17 Aggregate LECs" sheetId="17" state="visible" r:id="rId17"/>
    <sheet name="18 Scenario LECs" sheetId="18" state="visible" r:id="rId18"/>
    <sheet name="19 Actor LECs" sheetId="19" state="visible" r:id="rId19"/>
    <sheet name="20 Risk Charts" sheetId="20" state="visible" r:id="rId20"/>
    <sheet name="21 Sources and Evidence" sheetId="21" state="visible" r:id="rId21"/>
    <sheet name="22 Validation Tests" sheetId="22" state="visible" r:id="rId22"/>
    <sheet name="00 Dashboard" sheetId="23" state="visible" r:id="rId23"/>
    <sheet name="00 Risk Drivers" sheetId="24" state="visible" r:id="rId24"/>
    <sheet name="00 Loss Analysis" sheetId="25" state="visible" r:id="rId25"/>
    <sheet name="00 What-If" sheetId="26" state="visible" r:id="rId26"/>
    <sheet name="00 Risk Transfer" sheetId="27" state="visible" r:id="rId27"/>
  </sheets>
  <definedNames/>
</workbook>
</file>

<file path=xl/styles.xml><?xml version="1.0" encoding="utf-8"?>
<styleSheet xmlns="http://schemas.openxmlformats.org/spreadsheetml/2006/main">
  <numFmts count="5">
    <numFmt numFmtId="164" formatCode="$#,##0;[Red]($#,##0);-"/>
    <numFmt numFmtId="165" formatCode="$#,##0"/>
    <numFmt numFmtId="166" formatCode="0.000"/>
    <numFmt numFmtId="167" formatCode="0.0%"/>
    <numFmt numFmtId="168" formatCode="0.00x"/>
  </numFmts>
  <fonts count="26">
    <font>
      <name val="Carlito"/>
      <sz val="11"/>
    </font>
    <font>
      <name val="Carlito"/>
      <b val="1"/>
      <color rgb="FFFFFFFF"/>
      <sz val="16"/>
    </font>
    <font>
      <name val="Carlito"/>
      <i val="1"/>
      <color rgb="FF4B5563"/>
      <sz val="11"/>
    </font>
    <font>
      <name val="Carlito"/>
      <b val="1"/>
      <color rgb="FFFFFFFF"/>
      <sz val="11"/>
    </font>
    <font>
      <name val="Carlito"/>
      <b val="1"/>
      <sz val="11"/>
    </font>
    <font>
      <name val="Carlito"/>
      <color rgb="FF111827"/>
      <sz val="11"/>
    </font>
    <font>
      <name val="Carlito"/>
      <color rgb="FF0000FF"/>
      <sz val="11"/>
    </font>
    <font>
      <name val="Carlito"/>
      <i val="1"/>
      <sz val="11"/>
    </font>
    <font>
      <b val="1"/>
      <color rgb="FFFFFFFF"/>
    </font>
    <font>
      <b val="1"/>
      <color rgb="FFFFFFFF"/>
    </font>
    <font>
      <name val="Carlito"/>
      <b val="1"/>
      <color rgb="FFFFFFFF"/>
      <sz val="20"/>
    </font>
    <font>
      <name val="Carlito"/>
      <color rgb="FFCBD5E1"/>
      <sz val="9"/>
    </font>
    <font>
      <name val="Carlito"/>
      <color rgb="FF6B7280"/>
      <sz val="8"/>
    </font>
    <font>
      <name val="Carlito"/>
      <b val="1"/>
      <color rgb="FF111827"/>
      <sz val="8"/>
    </font>
    <font>
      <name val="Carlito"/>
      <b val="1"/>
      <color rgb="FF6B7280"/>
      <sz val="9"/>
    </font>
    <font>
      <name val="Carlito"/>
      <b val="1"/>
      <color rgb="FF0000FF"/>
      <sz val="10"/>
    </font>
    <font>
      <name val="Carlito"/>
      <b val="1"/>
      <color rgb="FF111827"/>
      <sz val="11"/>
    </font>
    <font>
      <name val="Carlito"/>
      <b val="1"/>
      <color rgb="FF111827"/>
      <sz val="18"/>
    </font>
    <font>
      <name val="Carlito"/>
      <b val="1"/>
      <color rgb="FF111827"/>
      <sz val="17"/>
    </font>
    <font>
      <name val="Carlito"/>
      <color rgb="FF111827"/>
      <sz val="8"/>
    </font>
    <font>
      <name val="Carlito"/>
      <color rgb="FF9CA3AF"/>
      <sz val="7"/>
    </font>
    <font>
      <name val="Carlito"/>
      <b val="1"/>
      <color rgb="FF111827"/>
      <sz val="9"/>
    </font>
    <font>
      <name val="Carlito"/>
      <b val="1"/>
      <color rgb="FF6B7280"/>
      <sz val="8"/>
    </font>
    <font>
      <name val="Carlito"/>
      <color rgb="FF6B7280"/>
      <sz val="9"/>
    </font>
    <font>
      <name val="Carlito"/>
      <b val="1"/>
      <color rgb="FF111827"/>
      <sz val="10"/>
    </font>
    <font>
      <name val="Carlito"/>
      <i val="1"/>
      <color rgb="FF6B7280"/>
      <sz val="9"/>
    </font>
  </fonts>
  <fills count="23">
    <fill>
      <patternFill/>
    </fill>
    <fill>
      <patternFill patternType="gray125"/>
    </fill>
    <fill>
      <patternFill patternType="solid">
        <fgColor rgb="FF10233F"/>
      </patternFill>
    </fill>
    <fill>
      <patternFill patternType="solid">
        <fgColor rgb="FFEAF3FF"/>
      </patternFill>
    </fill>
    <fill>
      <patternFill patternType="solid">
        <fgColor rgb="FF06B6D4"/>
      </patternFill>
    </fill>
    <fill>
      <patternFill patternType="solid">
        <fgColor rgb="FFE5E7EB"/>
      </patternFill>
    </fill>
    <fill>
      <patternFill patternType="solid">
        <fgColor rgb="FFDC2626"/>
      </patternFill>
    </fill>
    <fill>
      <patternFill patternType="solid">
        <fgColor rgb="FF16A34A"/>
      </patternFill>
    </fill>
    <fill>
      <patternFill patternType="solid">
        <fgColor rgb="FF2563EB"/>
      </patternFill>
    </fill>
    <fill>
      <patternFill patternType="solid">
        <fgColor rgb="FFFFF4CC"/>
      </patternFill>
    </fill>
    <fill>
      <patternFill patternType="solid">
        <fgColor rgb="FF7C3AED"/>
      </patternFill>
    </fill>
    <fill>
      <patternFill patternType="solid">
        <fgColor rgb="FFF59E0B"/>
      </patternFill>
    </fill>
    <fill>
      <patternFill patternType="solid">
        <fgColor rgb="FF4B5563"/>
      </patternFill>
    </fill>
    <fill>
      <patternFill patternType="solid">
        <fgColor rgb="FFEAF8EF"/>
      </patternFill>
    </fill>
    <fill>
      <patternFill patternType="solid">
        <fgColor rgb="FF10233F"/>
      </patternFill>
    </fill>
    <fill>
      <patternFill patternType="solid">
        <fgColor rgb="FF10233F"/>
      </patternFill>
    </fill>
    <fill>
      <patternFill patternType="solid">
        <fgColor rgb="FFF4F7FB"/>
      </patternFill>
    </fill>
    <fill>
      <patternFill patternType="solid">
        <fgColor rgb="FF0B1020"/>
      </patternFill>
    </fill>
    <fill>
      <patternFill patternType="solid">
        <fgColor rgb="FFE9EEF6"/>
      </patternFill>
    </fill>
    <fill>
      <patternFill patternType="solid">
        <fgColor rgb="FFFFFFFF"/>
      </patternFill>
    </fill>
    <fill>
      <patternFill patternType="solid">
        <fgColor rgb="FFE0F2FE"/>
      </patternFill>
    </fill>
    <fill>
      <patternFill patternType="solid">
        <fgColor rgb="FFEEF2FF"/>
      </patternFill>
    </fill>
    <fill>
      <patternFill patternType="solid">
        <fgColor rgb="FFFFF7ED"/>
      </patternFill>
    </fill>
  </fills>
  <borders count="52">
    <border/>
    <border>
      <right style="thin">
        <color rgb="FFE5E7EB"/>
      </right>
      <bottom style="thin">
        <color rgb="FFE5E7EB"/>
      </bottom>
    </border>
    <border>
      <left style="thin">
        <color rgb="FFE5E7EB"/>
      </left>
      <right style="thin">
        <color rgb="FFE5E7EB"/>
      </right>
      <bottom style="thin">
        <color rgb="FFE5E7EB"/>
      </bottom>
    </border>
    <border>
      <left style="thin">
        <color rgb="FFE5E7EB"/>
      </left>
      <bottom style="thin">
        <color rgb="FFE5E7EB"/>
      </bottom>
    </border>
    <border>
      <right style="thin">
        <color rgb="FFE5E7EB"/>
      </right>
      <top style="thin">
        <color rgb="FFE5E7EB"/>
      </top>
      <bottom style="thin">
        <color rgb="FFE5E7EB"/>
      </bottom>
    </border>
    <border>
      <left style="thin">
        <color rgb="FFE5E7EB"/>
      </left>
      <right style="thin">
        <color rgb="FFE5E7EB"/>
      </right>
      <top style="thin">
        <color rgb="FFE5E7EB"/>
      </top>
      <bottom style="thin">
        <color rgb="FFE5E7EB"/>
      </bottom>
    </border>
    <border>
      <left style="thin">
        <color rgb="FFE5E7EB"/>
      </left>
      <top style="thin">
        <color rgb="FFE5E7EB"/>
      </top>
      <bottom style="thin">
        <color rgb="FFE5E7EB"/>
      </bottom>
    </border>
    <border>
      <right style="thin">
        <color rgb="FFE5E7EB"/>
      </right>
      <top style="thin">
        <color rgb="FFE5E7EB"/>
      </top>
    </border>
    <border>
      <left style="thin">
        <color rgb="FFE5E7EB"/>
      </left>
      <right style="thin">
        <color rgb="FFE5E7EB"/>
      </right>
      <top style="thin">
        <color rgb="FFE5E7EB"/>
      </top>
    </border>
    <border>
      <left style="thin">
        <color rgb="FFE5E7EB"/>
      </left>
      <top style="thin">
        <color rgb="FFE5E7EB"/>
      </top>
    </border>
    <border>
      <top style="thin">
        <color rgb="FFE5E7EB"/>
      </top>
      <bottom style="thin">
        <color rgb="FFE5E7EB"/>
      </bottom>
    </border>
    <border>
      <right style="thin">
        <color rgb="FFE5E7EB"/>
      </right>
    </border>
    <border>
      <bottom style="thin">
        <color rgb="FFE5E7EB"/>
      </bottom>
    </border>
    <border>
      <top style="thin">
        <color rgb="FFE5E7EB"/>
      </top>
    </border>
    <border>
      <left/>
      <right/>
      <top/>
      <bottom/>
    </border>
    <border>
      <left/>
      <top/>
      <bottom/>
    </border>
    <border>
      <top/>
      <bottom/>
    </border>
    <border>
      <right/>
      <top/>
      <bottom/>
    </border>
    <border>
      <left/>
      <top/>
    </border>
    <border>
      <right/>
      <top/>
    </border>
    <border>
      <left/>
    </border>
    <border>
      <right/>
    </border>
    <border>
      <left/>
      <bottom/>
    </border>
    <border>
      <right/>
      <bottom/>
    </border>
    <border>
      <left/>
      <top/>
    </border>
    <border>
      <right/>
      <top/>
    </border>
    <border>
      <left/>
      <top/>
    </border>
    <border>
      <right/>
      <top/>
    </border>
    <border>
      <left/>
      <top/>
    </border>
    <border>
      <right/>
      <top/>
    </border>
    <border>
      <left/>
      <top/>
    </border>
    <border>
      <right/>
      <top/>
    </border>
    <border>
      <left/>
      <top/>
    </border>
    <border>
      <right/>
      <top/>
    </border>
    <border>
      <top/>
    </border>
    <border>
      <bottom/>
    </border>
    <border>
      <top/>
    </border>
    <border>
      <bottom/>
    </border>
    <border>
      <left/>
      <top/>
    </border>
    <border>
      <top/>
    </border>
    <border>
      <right/>
      <top/>
    </border>
    <border>
      <left/>
      <top/>
      <bottom/>
    </border>
    <border>
      <top/>
      <bottom/>
    </border>
    <border>
      <right/>
      <top/>
      <bottom/>
    </border>
    <border>
      <left/>
      <top/>
      <bottom/>
    </border>
    <border>
      <top/>
      <bottom/>
    </border>
    <border>
      <right/>
      <top/>
      <bottom/>
    </border>
    <border>
      <left/>
      <top/>
      <bottom/>
    </border>
    <border>
      <top/>
      <bottom/>
    </border>
    <border>
      <right/>
      <top/>
      <bottom/>
    </border>
    <border>
      <left/>
      <right/>
      <top/>
    </border>
    <border>
      <left/>
      <right/>
      <bottom/>
    </border>
  </borders>
  <cellStyleXfs count="1">
    <xf numFmtId="0" fontId="0" fillId="0" borderId="0"/>
  </cellStyleXfs>
  <cellXfs count="763">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4" borderId="0" pivotButton="0" quotePrefix="0" xfId="0"/>
    <xf numFmtId="0" fontId="3" fillId="4" borderId="0" pivotButton="0" quotePrefix="0" xfId="0"/>
    <xf numFmtId="0" fontId="0" fillId="5" borderId="0" pivotButton="0" quotePrefix="0" xfId="0"/>
    <xf numFmtId="0" fontId="4" fillId="5" borderId="0" pivotButton="0" quotePrefix="0" xfId="0"/>
    <xf numFmtId="0" fontId="0" fillId="0" borderId="0" applyAlignment="1" pivotButton="0" quotePrefix="0" xfId="0">
      <alignment wrapText="1"/>
    </xf>
    <xf numFmtId="0" fontId="5" fillId="0" borderId="0" pivotButton="0" quotePrefix="0" xfId="0"/>
    <xf numFmtId="0" fontId="5" fillId="0" borderId="1" pivotButton="0" quotePrefix="0" xfId="0"/>
    <xf numFmtId="0" fontId="5" fillId="0" borderId="2" pivotButton="0" quotePrefix="0" xfId="0"/>
    <xf numFmtId="0" fontId="5" fillId="0" borderId="3" pivotButton="0" quotePrefix="0" xfId="0"/>
    <xf numFmtId="0" fontId="5" fillId="0" borderId="4" pivotButton="0" quotePrefix="0" xfId="0"/>
    <xf numFmtId="0" fontId="5" fillId="0" borderId="5" pivotButton="0" quotePrefix="0" xfId="0"/>
    <xf numFmtId="0" fontId="5" fillId="0" borderId="6" pivotButton="0" quotePrefix="0" xfId="0"/>
    <xf numFmtId="0" fontId="5" fillId="0" borderId="7" pivotButton="0" quotePrefix="0" xfId="0"/>
    <xf numFmtId="0" fontId="5" fillId="0" borderId="8" pivotButton="0" quotePrefix="0" xfId="0"/>
    <xf numFmtId="0" fontId="5" fillId="0" borderId="9" pivotButton="0" quotePrefix="0" xfId="0"/>
    <xf numFmtId="0" fontId="5" fillId="0" borderId="1" applyAlignment="1" pivotButton="0" quotePrefix="0" xfId="0">
      <alignment wrapText="1"/>
    </xf>
    <xf numFmtId="0" fontId="5" fillId="0" borderId="2" applyAlignment="1" pivotButton="0" quotePrefix="0" xfId="0">
      <alignment wrapText="1"/>
    </xf>
    <xf numFmtId="0" fontId="5" fillId="0" borderId="3" applyAlignment="1" pivotButton="0" quotePrefix="0" xfId="0">
      <alignment wrapText="1"/>
    </xf>
    <xf numFmtId="0" fontId="5" fillId="0" borderId="4" applyAlignment="1" pivotButton="0" quotePrefix="0" xfId="0">
      <alignment wrapText="1"/>
    </xf>
    <xf numFmtId="0" fontId="5" fillId="0" borderId="5" applyAlignment="1" pivotButton="0" quotePrefix="0" xfId="0">
      <alignment wrapText="1"/>
    </xf>
    <xf numFmtId="0" fontId="5" fillId="0" borderId="6" applyAlignment="1" pivotButton="0" quotePrefix="0" xfId="0">
      <alignment wrapText="1"/>
    </xf>
    <xf numFmtId="0" fontId="5" fillId="0" borderId="7" applyAlignment="1" pivotButton="0" quotePrefix="0" xfId="0">
      <alignment wrapText="1"/>
    </xf>
    <xf numFmtId="0" fontId="5" fillId="0" borderId="8" applyAlignment="1" pivotButton="0" quotePrefix="0" xfId="0">
      <alignment wrapText="1"/>
    </xf>
    <xf numFmtId="0" fontId="5" fillId="0" borderId="9" applyAlignment="1" pivotButton="0" quotePrefix="0" xfId="0">
      <alignment wrapText="1"/>
    </xf>
    <xf numFmtId="0" fontId="5" fillId="0" borderId="1" applyAlignment="1" pivotButton="0" quotePrefix="0" xfId="0">
      <alignment vertical="top" wrapText="1"/>
    </xf>
    <xf numFmtId="0" fontId="5" fillId="0" borderId="2" applyAlignment="1" pivotButton="0" quotePrefix="0" xfId="0">
      <alignment vertical="top" wrapText="1"/>
    </xf>
    <xf numFmtId="0" fontId="5" fillId="0" borderId="3" applyAlignment="1" pivotButton="0" quotePrefix="0" xfId="0">
      <alignment vertical="top" wrapText="1"/>
    </xf>
    <xf numFmtId="0" fontId="5" fillId="0" borderId="4" applyAlignment="1" pivotButton="0" quotePrefix="0" xfId="0">
      <alignment vertical="top" wrapText="1"/>
    </xf>
    <xf numFmtId="0" fontId="5" fillId="0" borderId="5" applyAlignment="1" pivotButton="0" quotePrefix="0" xfId="0">
      <alignment vertical="top" wrapText="1"/>
    </xf>
    <xf numFmtId="0" fontId="5" fillId="0" borderId="6" applyAlignment="1" pivotButton="0" quotePrefix="0" xfId="0">
      <alignment vertical="top" wrapText="1"/>
    </xf>
    <xf numFmtId="0" fontId="5" fillId="0" borderId="7" applyAlignment="1" pivotButton="0" quotePrefix="0" xfId="0">
      <alignment vertical="top" wrapText="1"/>
    </xf>
    <xf numFmtId="0" fontId="5" fillId="0" borderId="8" applyAlignment="1" pivotButton="0" quotePrefix="0" xfId="0">
      <alignment vertical="top" wrapText="1"/>
    </xf>
    <xf numFmtId="0" fontId="5" fillId="0" borderId="9" applyAlignment="1" pivotButton="0" quotePrefix="0" xfId="0">
      <alignment vertical="top" wrapText="1"/>
    </xf>
    <xf numFmtId="0" fontId="0" fillId="6" borderId="0" pivotButton="0" quotePrefix="0" xfId="0"/>
    <xf numFmtId="0" fontId="3" fillId="6" borderId="0" pivotButton="0" quotePrefix="0" xfId="0"/>
    <xf numFmtId="0" fontId="0" fillId="7" borderId="0" pivotButton="0" quotePrefix="0" xfId="0"/>
    <xf numFmtId="0" fontId="1" fillId="7" borderId="0" pivotButton="0" quotePrefix="0" xfId="0"/>
    <xf numFmtId="0" fontId="3" fillId="7" borderId="0" pivotButton="0" quotePrefix="0" xfId="0"/>
    <xf numFmtId="0" fontId="3" fillId="7" borderId="6" pivotButton="0" quotePrefix="0" xfId="0"/>
    <xf numFmtId="0" fontId="3" fillId="7" borderId="10" pivotButton="0" quotePrefix="0" xfId="0"/>
    <xf numFmtId="0" fontId="3" fillId="7" borderId="4" pivotButton="0" quotePrefix="0" xfId="0"/>
    <xf numFmtId="0" fontId="3" fillId="7" borderId="6" applyAlignment="1" pivotButton="0" quotePrefix="0" xfId="0">
      <alignment wrapText="1"/>
    </xf>
    <xf numFmtId="0" fontId="3" fillId="7" borderId="10" applyAlignment="1" pivotButton="0" quotePrefix="0" xfId="0">
      <alignment wrapText="1"/>
    </xf>
    <xf numFmtId="0" fontId="3" fillId="7" borderId="4" applyAlignment="1" pivotButton="0" quotePrefix="0" xfId="0">
      <alignment wrapText="1"/>
    </xf>
    <xf numFmtId="0" fontId="3" fillId="7" borderId="6" applyAlignment="1" pivotButton="0" quotePrefix="0" xfId="0">
      <alignment vertical="center" wrapText="1"/>
    </xf>
    <xf numFmtId="0" fontId="3" fillId="7" borderId="10" applyAlignment="1" pivotButton="0" quotePrefix="0" xfId="0">
      <alignment vertical="center" wrapText="1"/>
    </xf>
    <xf numFmtId="0" fontId="3" fillId="7" borderId="4" applyAlignment="1" pivotButton="0" quotePrefix="0" xfId="0">
      <alignment vertical="center" wrapText="1"/>
    </xf>
    <xf numFmtId="164" fontId="5" fillId="0" borderId="2" applyAlignment="1" pivotButton="0" quotePrefix="0" xfId="0">
      <alignment vertical="top" wrapText="1"/>
    </xf>
    <xf numFmtId="164" fontId="5" fillId="0" borderId="5" applyAlignment="1" pivotButton="0" quotePrefix="0" xfId="0">
      <alignment vertical="top" wrapText="1"/>
    </xf>
    <xf numFmtId="164" fontId="5" fillId="0" borderId="8" applyAlignment="1" pivotButton="0" quotePrefix="0" xfId="0">
      <alignment vertical="top" wrapText="1"/>
    </xf>
    <xf numFmtId="165" fontId="5" fillId="0" borderId="2" applyAlignment="1" pivotButton="0" quotePrefix="0" xfId="0">
      <alignment vertical="top" wrapText="1"/>
    </xf>
    <xf numFmtId="165" fontId="5" fillId="0" borderId="5" applyAlignment="1" pivotButton="0" quotePrefix="0" xfId="0">
      <alignment vertical="top" wrapText="1"/>
    </xf>
    <xf numFmtId="165" fontId="5" fillId="0" borderId="8" applyAlignment="1" pivotButton="0" quotePrefix="0" xfId="0">
      <alignment vertical="top" wrapText="1"/>
    </xf>
    <xf numFmtId="166" fontId="5" fillId="0" borderId="2" applyAlignment="1" pivotButton="0" quotePrefix="0" xfId="0">
      <alignment vertical="top" wrapText="1"/>
    </xf>
    <xf numFmtId="166" fontId="5" fillId="0" borderId="5" applyAlignment="1" pivotButton="0" quotePrefix="0" xfId="0">
      <alignment vertical="top" wrapText="1"/>
    </xf>
    <xf numFmtId="166" fontId="5" fillId="0" borderId="8" applyAlignment="1" pivotButton="0" quotePrefix="0" xfId="0">
      <alignment vertical="top" wrapText="1"/>
    </xf>
    <xf numFmtId="167" fontId="5" fillId="0" borderId="2" applyAlignment="1" pivotButton="0" quotePrefix="0" xfId="0">
      <alignment vertical="top" wrapText="1"/>
    </xf>
    <xf numFmtId="167" fontId="5" fillId="0" borderId="5" applyAlignment="1" pivotButton="0" quotePrefix="0" xfId="0">
      <alignment vertical="top" wrapText="1"/>
    </xf>
    <xf numFmtId="167" fontId="5" fillId="0" borderId="8" applyAlignment="1" pivotButton="0" quotePrefix="0" xfId="0">
      <alignment vertical="top" wrapText="1"/>
    </xf>
    <xf numFmtId="165" fontId="5" fillId="0" borderId="3" applyAlignment="1" pivotButton="0" quotePrefix="0" xfId="0">
      <alignment vertical="top" wrapText="1"/>
    </xf>
    <xf numFmtId="165" fontId="5" fillId="0" borderId="6" applyAlignment="1" pivotButton="0" quotePrefix="0" xfId="0">
      <alignment vertical="top" wrapText="1"/>
    </xf>
    <xf numFmtId="165" fontId="5" fillId="0" borderId="9" applyAlignment="1" pivotButton="0" quotePrefix="0" xfId="0">
      <alignment vertical="top" wrapText="1"/>
    </xf>
    <xf numFmtId="0" fontId="0" fillId="8" borderId="0" pivotButton="0" quotePrefix="0" xfId="0"/>
    <xf numFmtId="0" fontId="1" fillId="8" borderId="0" pivotButton="0" quotePrefix="0" xfId="0"/>
    <xf numFmtId="0" fontId="3" fillId="2" borderId="0" pivotButton="0" quotePrefix="0" xfId="0"/>
    <xf numFmtId="0" fontId="3" fillId="2" borderId="6" pivotButton="0" quotePrefix="0" xfId="0"/>
    <xf numFmtId="0" fontId="3" fillId="2" borderId="10" pivotButton="0" quotePrefix="0" xfId="0"/>
    <xf numFmtId="0" fontId="3" fillId="2" borderId="4" pivotButton="0" quotePrefix="0" xfId="0"/>
    <xf numFmtId="0" fontId="3" fillId="2" borderId="6" applyAlignment="1" pivotButton="0" quotePrefix="0" xfId="0">
      <alignment wrapText="1"/>
    </xf>
    <xf numFmtId="0" fontId="3" fillId="2" borderId="10" applyAlignment="1" pivotButton="0" quotePrefix="0" xfId="0">
      <alignment wrapText="1"/>
    </xf>
    <xf numFmtId="0" fontId="3" fillId="2" borderId="4" applyAlignment="1" pivotButton="0" quotePrefix="0" xfId="0">
      <alignment wrapText="1"/>
    </xf>
    <xf numFmtId="0" fontId="3" fillId="2" borderId="6" applyAlignment="1" pivotButton="0" quotePrefix="0" xfId="0">
      <alignment vertical="center" wrapText="1"/>
    </xf>
    <xf numFmtId="0" fontId="3" fillId="2" borderId="10" applyAlignment="1" pivotButton="0" quotePrefix="0" xfId="0">
      <alignment vertical="center" wrapText="1"/>
    </xf>
    <xf numFmtId="0" fontId="3" fillId="2" borderId="4" applyAlignment="1" pivotButton="0" quotePrefix="0" xfId="0">
      <alignment vertical="center" wrapText="1"/>
    </xf>
    <xf numFmtId="0" fontId="5" fillId="9" borderId="2" applyAlignment="1" pivotButton="0" quotePrefix="0" xfId="0">
      <alignment vertical="top" wrapText="1"/>
    </xf>
    <xf numFmtId="0" fontId="5" fillId="9" borderId="5" applyAlignment="1" pivotButton="0" quotePrefix="0" xfId="0">
      <alignment vertical="top" wrapText="1"/>
    </xf>
    <xf numFmtId="0" fontId="5" fillId="9" borderId="8" applyAlignment="1" pivotButton="0" quotePrefix="0" xfId="0">
      <alignment vertical="top" wrapText="1"/>
    </xf>
    <xf numFmtId="0" fontId="6" fillId="9" borderId="2" applyAlignment="1" pivotButton="0" quotePrefix="0" xfId="0">
      <alignment vertical="top" wrapText="1"/>
    </xf>
    <xf numFmtId="0" fontId="6" fillId="9" borderId="5" applyAlignment="1" pivotButton="0" quotePrefix="0" xfId="0">
      <alignment vertical="top" wrapText="1"/>
    </xf>
    <xf numFmtId="0" fontId="6" fillId="9" borderId="8" applyAlignment="1" pivotButton="0" quotePrefix="0" xfId="0">
      <alignment vertical="top" wrapText="1"/>
    </xf>
    <xf numFmtId="165" fontId="6" fillId="9" borderId="5" applyAlignment="1" pivotButton="0" quotePrefix="0" xfId="0">
      <alignment vertical="top" wrapText="1"/>
    </xf>
    <xf numFmtId="167" fontId="6" fillId="9" borderId="5" applyAlignment="1" pivotButton="0" quotePrefix="0" xfId="0">
      <alignment vertical="top" wrapText="1"/>
    </xf>
    <xf numFmtId="0" fontId="3" fillId="8" borderId="0" pivotButton="0" quotePrefix="0" xfId="0"/>
    <xf numFmtId="0" fontId="1" fillId="4" borderId="0" pivotButton="0" quotePrefix="0" xfId="0"/>
    <xf numFmtId="0" fontId="0" fillId="9" borderId="0" pivotButton="0" quotePrefix="0" xfId="0"/>
    <xf numFmtId="0" fontId="7" fillId="9" borderId="0" pivotButton="0" quotePrefix="0" xfId="0"/>
    <xf numFmtId="0" fontId="7" fillId="9" borderId="0" applyAlignment="1" pivotButton="0" quotePrefix="0" xfId="0">
      <alignment wrapText="1"/>
    </xf>
    <xf numFmtId="0" fontId="3" fillId="4" borderId="6" pivotButton="0" quotePrefix="0" xfId="0"/>
    <xf numFmtId="0" fontId="3" fillId="4" borderId="10" pivotButton="0" quotePrefix="0" xfId="0"/>
    <xf numFmtId="0" fontId="3" fillId="4" borderId="4" pivotButton="0" quotePrefix="0" xfId="0"/>
    <xf numFmtId="0" fontId="3" fillId="4" borderId="6" applyAlignment="1" pivotButton="0" quotePrefix="0" xfId="0">
      <alignment wrapText="1"/>
    </xf>
    <xf numFmtId="0" fontId="3" fillId="4" borderId="10" applyAlignment="1" pivotButton="0" quotePrefix="0" xfId="0">
      <alignment wrapText="1"/>
    </xf>
    <xf numFmtId="0" fontId="3" fillId="4" borderId="4" applyAlignment="1" pivotButton="0" quotePrefix="0" xfId="0">
      <alignment wrapText="1"/>
    </xf>
    <xf numFmtId="0" fontId="3" fillId="4" borderId="6" applyAlignment="1" pivotButton="0" quotePrefix="0" xfId="0">
      <alignment vertical="center" wrapText="1"/>
    </xf>
    <xf numFmtId="0" fontId="3" fillId="4" borderId="10" applyAlignment="1" pivotButton="0" quotePrefix="0" xfId="0">
      <alignment vertical="center" wrapText="1"/>
    </xf>
    <xf numFmtId="0" fontId="3" fillId="4" borderId="4" applyAlignment="1" pivotButton="0" quotePrefix="0" xfId="0">
      <alignment vertical="center" wrapText="1"/>
    </xf>
    <xf numFmtId="168" fontId="6" fillId="9" borderId="2" applyAlignment="1" pivotButton="0" quotePrefix="0" xfId="0">
      <alignment vertical="top" wrapText="1"/>
    </xf>
    <xf numFmtId="168" fontId="6" fillId="9" borderId="5" applyAlignment="1" pivotButton="0" quotePrefix="0" xfId="0">
      <alignment vertical="top" wrapText="1"/>
    </xf>
    <xf numFmtId="168" fontId="5" fillId="0" borderId="2" applyAlignment="1" pivotButton="0" quotePrefix="0" xfId="0">
      <alignment vertical="top" wrapText="1"/>
    </xf>
    <xf numFmtId="168" fontId="5" fillId="0" borderId="3" applyAlignment="1" pivotButton="0" quotePrefix="0" xfId="0">
      <alignment vertical="top" wrapText="1"/>
    </xf>
    <xf numFmtId="168" fontId="5" fillId="0" borderId="5" applyAlignment="1" pivotButton="0" quotePrefix="0" xfId="0">
      <alignment vertical="top" wrapText="1"/>
    </xf>
    <xf numFmtId="168" fontId="5" fillId="0" borderId="6" applyAlignment="1" pivotButton="0" quotePrefix="0" xfId="0">
      <alignment vertical="top" wrapText="1"/>
    </xf>
    <xf numFmtId="167" fontId="6" fillId="9" borderId="2" applyAlignment="1" pivotButton="0" quotePrefix="0" xfId="0">
      <alignment vertical="top" wrapText="1"/>
    </xf>
    <xf numFmtId="167" fontId="6" fillId="9" borderId="8" applyAlignment="1" pivotButton="0" quotePrefix="0" xfId="0">
      <alignment vertical="top" wrapText="1"/>
    </xf>
    <xf numFmtId="0" fontId="0" fillId="10" borderId="0" pivotButton="0" quotePrefix="0" xfId="0"/>
    <xf numFmtId="0" fontId="1" fillId="10" borderId="0" pivotButton="0" quotePrefix="0" xfId="0"/>
    <xf numFmtId="0" fontId="3" fillId="10" borderId="0" pivotButton="0" quotePrefix="0" xfId="0"/>
    <xf numFmtId="0" fontId="3" fillId="10" borderId="6" pivotButton="0" quotePrefix="0" xfId="0"/>
    <xf numFmtId="0" fontId="3" fillId="10" borderId="10" pivotButton="0" quotePrefix="0" xfId="0"/>
    <xf numFmtId="0" fontId="3" fillId="10" borderId="4" pivotButton="0" quotePrefix="0" xfId="0"/>
    <xf numFmtId="0" fontId="3" fillId="10" borderId="6" applyAlignment="1" pivotButton="0" quotePrefix="0" xfId="0">
      <alignment wrapText="1"/>
    </xf>
    <xf numFmtId="0" fontId="3" fillId="10" borderId="10" applyAlignment="1" pivotButton="0" quotePrefix="0" xfId="0">
      <alignment wrapText="1"/>
    </xf>
    <xf numFmtId="0" fontId="3" fillId="10" borderId="4" applyAlignment="1" pivotButton="0" quotePrefix="0" xfId="0">
      <alignment wrapText="1"/>
    </xf>
    <xf numFmtId="0" fontId="3" fillId="10" borderId="6" applyAlignment="1" pivotButton="0" quotePrefix="0" xfId="0">
      <alignment vertical="center" wrapText="1"/>
    </xf>
    <xf numFmtId="0" fontId="3" fillId="10" borderId="10" applyAlignment="1" pivotButton="0" quotePrefix="0" xfId="0">
      <alignment vertical="center" wrapText="1"/>
    </xf>
    <xf numFmtId="0" fontId="3" fillId="10" borderId="4" applyAlignment="1" pivotButton="0" quotePrefix="0" xfId="0">
      <alignment vertical="center" wrapText="1"/>
    </xf>
    <xf numFmtId="0" fontId="0" fillId="11" borderId="0" pivotButton="0" quotePrefix="0" xfId="0"/>
    <xf numFmtId="0" fontId="1" fillId="11" borderId="0" pivotButton="0" quotePrefix="0" xfId="0"/>
    <xf numFmtId="0" fontId="3" fillId="11" borderId="0" pivotButton="0" quotePrefix="0" xfId="0"/>
    <xf numFmtId="0" fontId="3" fillId="11" borderId="6" pivotButton="0" quotePrefix="0" xfId="0"/>
    <xf numFmtId="0" fontId="3" fillId="11" borderId="10" pivotButton="0" quotePrefix="0" xfId="0"/>
    <xf numFmtId="0" fontId="3" fillId="11" borderId="4" pivotButton="0" quotePrefix="0" xfId="0"/>
    <xf numFmtId="0" fontId="3" fillId="11" borderId="6" applyAlignment="1" pivotButton="0" quotePrefix="0" xfId="0">
      <alignment wrapText="1"/>
    </xf>
    <xf numFmtId="0" fontId="3" fillId="11" borderId="10" applyAlignment="1" pivotButton="0" quotePrefix="0" xfId="0">
      <alignment wrapText="1"/>
    </xf>
    <xf numFmtId="0" fontId="3" fillId="11" borderId="4" applyAlignment="1" pivotButton="0" quotePrefix="0" xfId="0">
      <alignment wrapText="1"/>
    </xf>
    <xf numFmtId="0" fontId="3" fillId="11" borderId="6" applyAlignment="1" pivotButton="0" quotePrefix="0" xfId="0">
      <alignment vertical="center" wrapText="1"/>
    </xf>
    <xf numFmtId="0" fontId="3" fillId="11" borderId="10" applyAlignment="1" pivotButton="0" quotePrefix="0" xfId="0">
      <alignment vertical="center" wrapText="1"/>
    </xf>
    <xf numFmtId="0" fontId="3" fillId="11" borderId="4" applyAlignment="1" pivotButton="0" quotePrefix="0" xfId="0">
      <alignment vertical="center" wrapText="1"/>
    </xf>
    <xf numFmtId="168" fontId="6" fillId="9" borderId="8" applyAlignment="1" pivotButton="0" quotePrefix="0" xfId="0">
      <alignment vertical="top" wrapText="1"/>
    </xf>
    <xf numFmtId="0" fontId="5" fillId="9" borderId="1" applyAlignment="1" pivotButton="0" quotePrefix="0" xfId="0">
      <alignment vertical="top" wrapText="1"/>
    </xf>
    <xf numFmtId="0" fontId="5" fillId="9" borderId="3" applyAlignment="1" pivotButton="0" quotePrefix="0" xfId="0">
      <alignment vertical="top" wrapText="1"/>
    </xf>
    <xf numFmtId="0" fontId="5" fillId="9" borderId="4" applyAlignment="1" pivotButton="0" quotePrefix="0" xfId="0">
      <alignment vertical="top" wrapText="1"/>
    </xf>
    <xf numFmtId="0" fontId="5" fillId="9" borderId="6" applyAlignment="1" pivotButton="0" quotePrefix="0" xfId="0">
      <alignment vertical="top" wrapText="1"/>
    </xf>
    <xf numFmtId="0" fontId="5" fillId="9" borderId="7" applyAlignment="1" pivotButton="0" quotePrefix="0" xfId="0">
      <alignment vertical="top" wrapText="1"/>
    </xf>
    <xf numFmtId="0" fontId="5" fillId="9" borderId="9" applyAlignment="1" pivotButton="0" quotePrefix="0" xfId="0">
      <alignment vertical="top" wrapText="1"/>
    </xf>
    <xf numFmtId="0" fontId="6" fillId="9" borderId="1" applyAlignment="1" pivotButton="0" quotePrefix="0" xfId="0">
      <alignment vertical="top" wrapText="1"/>
    </xf>
    <xf numFmtId="0" fontId="6" fillId="9" borderId="3" applyAlignment="1" pivotButton="0" quotePrefix="0" xfId="0">
      <alignment vertical="top" wrapText="1"/>
    </xf>
    <xf numFmtId="0" fontId="6" fillId="9" borderId="4" applyAlignment="1" pivotButton="0" quotePrefix="0" xfId="0">
      <alignment vertical="top" wrapText="1"/>
    </xf>
    <xf numFmtId="0" fontId="6" fillId="9" borderId="6" applyAlignment="1" pivotButton="0" quotePrefix="0" xfId="0">
      <alignment vertical="top" wrapText="1"/>
    </xf>
    <xf numFmtId="0" fontId="6" fillId="9" borderId="7" applyAlignment="1" pivotButton="0" quotePrefix="0" xfId="0">
      <alignment vertical="top" wrapText="1"/>
    </xf>
    <xf numFmtId="0" fontId="6" fillId="9" borderId="9" applyAlignment="1" pivotButton="0" quotePrefix="0" xfId="0">
      <alignment vertical="top" wrapText="1"/>
    </xf>
    <xf numFmtId="0" fontId="0" fillId="12" borderId="0" pivotButton="0" quotePrefix="0" xfId="0"/>
    <xf numFmtId="0" fontId="1" fillId="12" borderId="0" pivotButton="0" quotePrefix="0" xfId="0"/>
    <xf numFmtId="0" fontId="0" fillId="13" borderId="0" pivotButton="0" quotePrefix="0" xfId="0"/>
    <xf numFmtId="0" fontId="7" fillId="13" borderId="0" pivotButton="0" quotePrefix="0" xfId="0"/>
    <xf numFmtId="0" fontId="3" fillId="12" borderId="0" pivotButton="0" quotePrefix="0" xfId="0"/>
    <xf numFmtId="0" fontId="3" fillId="12" borderId="6" pivotButton="0" quotePrefix="0" xfId="0"/>
    <xf numFmtId="0" fontId="3" fillId="12" borderId="10" pivotButton="0" quotePrefix="0" xfId="0"/>
    <xf numFmtId="0" fontId="3" fillId="12" borderId="4" pivotButton="0" quotePrefix="0" xfId="0"/>
    <xf numFmtId="0" fontId="3" fillId="12" borderId="6" applyAlignment="1" pivotButton="0" quotePrefix="0" xfId="0">
      <alignment wrapText="1"/>
    </xf>
    <xf numFmtId="0" fontId="3" fillId="12" borderId="10" applyAlignment="1" pivotButton="0" quotePrefix="0" xfId="0">
      <alignment wrapText="1"/>
    </xf>
    <xf numFmtId="0" fontId="3" fillId="12" borderId="4" applyAlignment="1" pivotButton="0" quotePrefix="0" xfId="0">
      <alignment wrapText="1"/>
    </xf>
    <xf numFmtId="0" fontId="3" fillId="12" borderId="6" applyAlignment="1" pivotButton="0" quotePrefix="0" xfId="0">
      <alignment vertical="center" wrapText="1"/>
    </xf>
    <xf numFmtId="0" fontId="3" fillId="12" borderId="10" applyAlignment="1" pivotButton="0" quotePrefix="0" xfId="0">
      <alignment vertical="center" wrapText="1"/>
    </xf>
    <xf numFmtId="0" fontId="3" fillId="12" borderId="4" applyAlignment="1" pivotButton="0" quotePrefix="0" xfId="0">
      <alignment vertical="center" wrapText="1"/>
    </xf>
    <xf numFmtId="0" fontId="1" fillId="6" borderId="0" pivotButton="0" quotePrefix="0" xfId="0"/>
    <xf numFmtId="0" fontId="3" fillId="6" borderId="6" pivotButton="0" quotePrefix="0" xfId="0"/>
    <xf numFmtId="0" fontId="3" fillId="6" borderId="10" pivotButton="0" quotePrefix="0" xfId="0"/>
    <xf numFmtId="0" fontId="3" fillId="6" borderId="4" pivotButton="0" quotePrefix="0" xfId="0"/>
    <xf numFmtId="0" fontId="3" fillId="6" borderId="6" applyAlignment="1" pivotButton="0" quotePrefix="0" xfId="0">
      <alignment wrapText="1"/>
    </xf>
    <xf numFmtId="0" fontId="3" fillId="6" borderId="10" applyAlignment="1" pivotButton="0" quotePrefix="0" xfId="0">
      <alignment wrapText="1"/>
    </xf>
    <xf numFmtId="0" fontId="3" fillId="6" borderId="4" applyAlignment="1" pivotButton="0" quotePrefix="0" xfId="0">
      <alignment wrapText="1"/>
    </xf>
    <xf numFmtId="0" fontId="3" fillId="6" borderId="6" applyAlignment="1" pivotButton="0" quotePrefix="0" xfId="0">
      <alignment vertical="center" wrapText="1"/>
    </xf>
    <xf numFmtId="0" fontId="3" fillId="6" borderId="10" applyAlignment="1" pivotButton="0" quotePrefix="0" xfId="0">
      <alignment vertical="center" wrapText="1"/>
    </xf>
    <xf numFmtId="0" fontId="3" fillId="6" borderId="4" applyAlignment="1" pivotButton="0" quotePrefix="0" xfId="0">
      <alignment vertical="center" wrapText="1"/>
    </xf>
    <xf numFmtId="164" fontId="5" fillId="0" borderId="2" applyAlignment="1" pivotButton="0" quotePrefix="0" xfId="0">
      <alignment vertical="top" wrapText="1"/>
    </xf>
    <xf numFmtId="164" fontId="5" fillId="0" borderId="5" applyAlignment="1" pivotButton="0" quotePrefix="0" xfId="0">
      <alignment vertical="top" wrapText="1"/>
    </xf>
    <xf numFmtId="164" fontId="5" fillId="0" borderId="8" applyAlignment="1" pivotButton="0" quotePrefix="0" xfId="0">
      <alignment vertical="top" wrapText="1"/>
    </xf>
    <xf numFmtId="165" fontId="5" fillId="0" borderId="2" applyAlignment="1" pivotButton="0" quotePrefix="0" xfId="0">
      <alignment vertical="top" wrapText="1"/>
    </xf>
    <xf numFmtId="166" fontId="5" fillId="0" borderId="2" applyAlignment="1" pivotButton="0" quotePrefix="0" xfId="0">
      <alignment vertical="top" wrapText="1"/>
    </xf>
    <xf numFmtId="167" fontId="5" fillId="0" borderId="2" applyAlignment="1" pivotButton="0" quotePrefix="0" xfId="0">
      <alignment vertical="top" wrapText="1"/>
    </xf>
    <xf numFmtId="165" fontId="5" fillId="0" borderId="3" applyAlignment="1" pivotButton="0" quotePrefix="0" xfId="0">
      <alignment vertical="top" wrapText="1"/>
    </xf>
    <xf numFmtId="165" fontId="5" fillId="0" borderId="5" applyAlignment="1" pivotButton="0" quotePrefix="0" xfId="0">
      <alignment vertical="top" wrapText="1"/>
    </xf>
    <xf numFmtId="166" fontId="5" fillId="0" borderId="5" applyAlignment="1" pivotButton="0" quotePrefix="0" xfId="0">
      <alignment vertical="top" wrapText="1"/>
    </xf>
    <xf numFmtId="167" fontId="5" fillId="0" borderId="5" applyAlignment="1" pivotButton="0" quotePrefix="0" xfId="0">
      <alignment vertical="top" wrapText="1"/>
    </xf>
    <xf numFmtId="165" fontId="5" fillId="0" borderId="6" applyAlignment="1" pivotButton="0" quotePrefix="0" xfId="0">
      <alignment vertical="top" wrapText="1"/>
    </xf>
    <xf numFmtId="165" fontId="5" fillId="0" borderId="8" applyAlignment="1" pivotButton="0" quotePrefix="0" xfId="0">
      <alignment vertical="top" wrapText="1"/>
    </xf>
    <xf numFmtId="166" fontId="5" fillId="0" borderId="8" applyAlignment="1" pivotButton="0" quotePrefix="0" xfId="0">
      <alignment vertical="top" wrapText="1"/>
    </xf>
    <xf numFmtId="167" fontId="5" fillId="0" borderId="8" applyAlignment="1" pivotButton="0" quotePrefix="0" xfId="0">
      <alignment vertical="top" wrapText="1"/>
    </xf>
    <xf numFmtId="165" fontId="5" fillId="0" borderId="9" applyAlignment="1" pivotButton="0" quotePrefix="0" xfId="0">
      <alignment vertical="top" wrapText="1"/>
    </xf>
    <xf numFmtId="165" fontId="6" fillId="9" borderId="5" applyAlignment="1" pivotButton="0" quotePrefix="0" xfId="0">
      <alignment vertical="top" wrapText="1"/>
    </xf>
    <xf numFmtId="167" fontId="6" fillId="9" borderId="5" applyAlignment="1" pivotButton="0" quotePrefix="0" xfId="0">
      <alignment vertical="top" wrapText="1"/>
    </xf>
    <xf numFmtId="168" fontId="6" fillId="9" borderId="2" applyAlignment="1" pivotButton="0" quotePrefix="0" xfId="0">
      <alignment vertical="top" wrapText="1"/>
    </xf>
    <xf numFmtId="168" fontId="5" fillId="0" borderId="2" applyAlignment="1" pivotButton="0" quotePrefix="0" xfId="0">
      <alignment vertical="top" wrapText="1"/>
    </xf>
    <xf numFmtId="168" fontId="5" fillId="0" borderId="3" applyAlignment="1" pivotButton="0" quotePrefix="0" xfId="0">
      <alignment vertical="top" wrapText="1"/>
    </xf>
    <xf numFmtId="167" fontId="6" fillId="9" borderId="2" applyAlignment="1" pivotButton="0" quotePrefix="0" xfId="0">
      <alignment vertical="top" wrapText="1"/>
    </xf>
    <xf numFmtId="167" fontId="6" fillId="9" borderId="8" applyAlignment="1" pivotButton="0" quotePrefix="0" xfId="0">
      <alignment vertical="top" wrapText="1"/>
    </xf>
    <xf numFmtId="168" fontId="6" fillId="9" borderId="5" applyAlignment="1" pivotButton="0" quotePrefix="0" xfId="0">
      <alignment vertical="top" wrapText="1"/>
    </xf>
    <xf numFmtId="168" fontId="6" fillId="9" borderId="8" applyAlignment="1" pivotButton="0" quotePrefix="0" xfId="0">
      <alignment vertical="top" wrapText="1"/>
    </xf>
    <xf numFmtId="0" fontId="8" fillId="14" borderId="1" applyAlignment="1" pivotButton="0" quotePrefix="0" xfId="0">
      <alignment vertical="top" wrapText="1"/>
    </xf>
    <xf numFmtId="0" fontId="8" fillId="14" borderId="2" applyAlignment="1" pivotButton="0" quotePrefix="0" xfId="0">
      <alignment vertical="top" wrapText="1"/>
    </xf>
    <xf numFmtId="0" fontId="8" fillId="14" borderId="3" applyAlignment="1" pivotButton="0" quotePrefix="0" xfId="0">
      <alignment vertical="top" wrapText="1"/>
    </xf>
    <xf numFmtId="0" fontId="8" fillId="14" borderId="0" pivotButton="0" quotePrefix="0" xfId="0"/>
    <xf numFmtId="0" fontId="8" fillId="14" borderId="6" applyAlignment="1" pivotButton="0" quotePrefix="0" xfId="0">
      <alignment vertical="center" wrapText="1"/>
    </xf>
    <xf numFmtId="0" fontId="8" fillId="14" borderId="10" applyAlignment="1" pivotButton="0" quotePrefix="0" xfId="0">
      <alignment vertical="center" wrapText="1"/>
    </xf>
    <xf numFmtId="0" fontId="8" fillId="14" borderId="4" applyAlignment="1" pivotButton="0" quotePrefix="0" xfId="0">
      <alignment vertical="center" wrapText="1"/>
    </xf>
    <xf numFmtId="0" fontId="5" fillId="0" borderId="1" applyAlignment="1" pivotButton="0" quotePrefix="0" xfId="0">
      <alignment vertical="top" wrapText="1"/>
    </xf>
    <xf numFmtId="0" fontId="5" fillId="0" borderId="2" applyAlignment="1" pivotButton="0" quotePrefix="0" xfId="0">
      <alignment vertical="top" wrapText="1"/>
    </xf>
    <xf numFmtId="0" fontId="5" fillId="0" borderId="3" applyAlignment="1" pivotButton="0" quotePrefix="0" xfId="0">
      <alignment vertical="top" wrapText="1"/>
    </xf>
    <xf numFmtId="0" fontId="5" fillId="0" borderId="1" applyAlignment="1" pivotButton="0" quotePrefix="0" xfId="0">
      <alignment horizontal="left" vertical="top" wrapText="1"/>
    </xf>
    <xf numFmtId="0" fontId="5" fillId="0" borderId="2" applyAlignment="1" pivotButton="0" quotePrefix="0" xfId="0">
      <alignment horizontal="left" vertical="top" wrapText="1"/>
    </xf>
    <xf numFmtId="0" fontId="5" fillId="0" borderId="3" applyAlignment="1" pivotButton="0" quotePrefix="0" xfId="0">
      <alignment horizontal="left" vertical="top" wrapText="1"/>
    </xf>
    <xf numFmtId="0" fontId="5" fillId="0" borderId="1" applyAlignment="1" pivotButton="0" quotePrefix="0" xfId="0">
      <alignment horizontal="left" vertical="center" wrapText="1"/>
    </xf>
    <xf numFmtId="0" fontId="5" fillId="0" borderId="2" applyAlignment="1" pivotButton="0" quotePrefix="0" xfId="0">
      <alignment horizontal="left" vertical="center" wrapText="1"/>
    </xf>
    <xf numFmtId="0" fontId="5" fillId="0" borderId="3" applyAlignment="1" pivotButton="0" quotePrefix="0" xfId="0">
      <alignment horizontal="left" vertical="center" wrapText="1"/>
    </xf>
    <xf numFmtId="0" fontId="5" fillId="0" borderId="4" applyAlignment="1" pivotButton="0" quotePrefix="0" xfId="0">
      <alignment vertical="top" wrapText="1"/>
    </xf>
    <xf numFmtId="0" fontId="5" fillId="0" borderId="5" applyAlignment="1" pivotButton="0" quotePrefix="0" xfId="0">
      <alignment vertical="top" wrapText="1"/>
    </xf>
    <xf numFmtId="0" fontId="5" fillId="0" borderId="6" applyAlignment="1" pivotButton="0" quotePrefix="0" xfId="0">
      <alignment vertical="top" wrapText="1"/>
    </xf>
    <xf numFmtId="0" fontId="5" fillId="0" borderId="4" applyAlignment="1" pivotButton="0" quotePrefix="0" xfId="0">
      <alignment horizontal="left" vertical="top" wrapText="1"/>
    </xf>
    <xf numFmtId="0" fontId="5" fillId="0" borderId="5" applyAlignment="1" pivotButton="0" quotePrefix="0" xfId="0">
      <alignment horizontal="left" vertical="top" wrapText="1"/>
    </xf>
    <xf numFmtId="0" fontId="5" fillId="0" borderId="6" applyAlignment="1" pivotButton="0" quotePrefix="0" xfId="0">
      <alignment horizontal="left" vertical="top" wrapText="1"/>
    </xf>
    <xf numFmtId="0" fontId="5" fillId="0" borderId="4" applyAlignment="1" pivotButton="0" quotePrefix="0" xfId="0">
      <alignment horizontal="left" vertical="center" wrapText="1"/>
    </xf>
    <xf numFmtId="0" fontId="5" fillId="0" borderId="5" applyAlignment="1" pivotButton="0" quotePrefix="0" xfId="0">
      <alignment horizontal="left" vertical="center" wrapText="1"/>
    </xf>
    <xf numFmtId="0" fontId="5" fillId="0" borderId="6" applyAlignment="1" pivotButton="0" quotePrefix="0" xfId="0">
      <alignment horizontal="left" vertical="center" wrapText="1"/>
    </xf>
    <xf numFmtId="0" fontId="5" fillId="0" borderId="7" applyAlignment="1" pivotButton="0" quotePrefix="0" xfId="0">
      <alignment vertical="top" wrapText="1"/>
    </xf>
    <xf numFmtId="0" fontId="5" fillId="0" borderId="8" applyAlignment="1" pivotButton="0" quotePrefix="0" xfId="0">
      <alignment vertical="top" wrapText="1"/>
    </xf>
    <xf numFmtId="0" fontId="5" fillId="0" borderId="9" applyAlignment="1" pivotButton="0" quotePrefix="0" xfId="0">
      <alignment vertical="top" wrapText="1"/>
    </xf>
    <xf numFmtId="0" fontId="5" fillId="0" borderId="7" applyAlignment="1" pivotButton="0" quotePrefix="0" xfId="0">
      <alignment horizontal="left" vertical="top" wrapText="1"/>
    </xf>
    <xf numFmtId="0" fontId="5" fillId="0" borderId="8" applyAlignment="1" pivotButton="0" quotePrefix="0" xfId="0">
      <alignment horizontal="left" vertical="top" wrapText="1"/>
    </xf>
    <xf numFmtId="0" fontId="5" fillId="0" borderId="9" applyAlignment="1" pivotButton="0" quotePrefix="0" xfId="0">
      <alignment horizontal="left" vertical="top" wrapText="1"/>
    </xf>
    <xf numFmtId="0" fontId="5" fillId="0" borderId="7" applyAlignment="1" pivotButton="0" quotePrefix="0" xfId="0">
      <alignment horizontal="left" vertical="center" wrapText="1"/>
    </xf>
    <xf numFmtId="0" fontId="5" fillId="0" borderId="8" applyAlignment="1" pivotButton="0" quotePrefix="0" xfId="0">
      <alignment horizontal="left" vertical="center" wrapText="1"/>
    </xf>
    <xf numFmtId="0" fontId="5" fillId="0" borderId="9" applyAlignment="1" pivotButton="0" quotePrefix="0" xfId="0">
      <alignment horizontal="left" vertical="center" wrapText="1"/>
    </xf>
    <xf numFmtId="0" fontId="0" fillId="0" borderId="12" pivotButton="0" quotePrefix="0" xfId="0"/>
    <xf numFmtId="0" fontId="0" fillId="0" borderId="1" pivotButton="0" quotePrefix="0" xfId="0"/>
    <xf numFmtId="0" fontId="0" fillId="0" borderId="10" pivotButton="0" quotePrefix="0" xfId="0"/>
    <xf numFmtId="0" fontId="0" fillId="0" borderId="4" pivotButton="0" quotePrefix="0" xfId="0"/>
    <xf numFmtId="0" fontId="0" fillId="0" borderId="13" pivotButton="0" quotePrefix="0" xfId="0"/>
    <xf numFmtId="0" fontId="0" fillId="0" borderId="7" pivotButton="0" quotePrefix="0" xfId="0"/>
    <xf numFmtId="0" fontId="9" fillId="15" borderId="1" applyAlignment="1" pivotButton="0" quotePrefix="0" xfId="0">
      <alignment vertical="top" wrapText="1"/>
    </xf>
    <xf numFmtId="0" fontId="9" fillId="15" borderId="2" applyAlignment="1" pivotButton="0" quotePrefix="0" xfId="0">
      <alignment vertical="top" wrapText="1"/>
    </xf>
    <xf numFmtId="0" fontId="9" fillId="15" borderId="3" applyAlignment="1" pivotButton="0" quotePrefix="0" xfId="0">
      <alignment vertical="top" wrapText="1"/>
    </xf>
    <xf numFmtId="0" fontId="9" fillId="15" borderId="0" pivotButton="0" quotePrefix="0" xfId="0"/>
    <xf numFmtId="0" fontId="9" fillId="15" borderId="6" applyAlignment="1" pivotButton="0" quotePrefix="0" xfId="0">
      <alignment vertical="center" wrapText="1"/>
    </xf>
    <xf numFmtId="0" fontId="9" fillId="15" borderId="10" applyAlignment="1" pivotButton="0" quotePrefix="0" xfId="0">
      <alignment vertical="center" wrapText="1"/>
    </xf>
    <xf numFmtId="0" fontId="9" fillId="15" borderId="4" applyAlignment="1" pivotButton="0" quotePrefix="0" xfId="0">
      <alignment vertical="center" wrapText="1"/>
    </xf>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4" borderId="0" pivotButton="0" quotePrefix="0" xfId="0"/>
    <xf numFmtId="0" fontId="3" fillId="4" borderId="0" pivotButton="0" quotePrefix="0" xfId="0"/>
    <xf numFmtId="0" fontId="0" fillId="5" borderId="0" pivotButton="0" quotePrefix="0" xfId="0"/>
    <xf numFmtId="0" fontId="4" fillId="5" borderId="0" pivotButton="0" quotePrefix="0" xfId="0"/>
    <xf numFmtId="0" fontId="0" fillId="0" borderId="0" applyAlignment="1" pivotButton="0" quotePrefix="0" xfId="0">
      <alignment wrapText="1"/>
    </xf>
    <xf numFmtId="0" fontId="5" fillId="0" borderId="0" pivotButton="0" quotePrefix="0" xfId="0"/>
    <xf numFmtId="0" fontId="5" fillId="0" borderId="1" pivotButton="0" quotePrefix="0" xfId="0"/>
    <xf numFmtId="0" fontId="5" fillId="0" borderId="2" pivotButton="0" quotePrefix="0" xfId="0"/>
    <xf numFmtId="0" fontId="5" fillId="0" borderId="3" pivotButton="0" quotePrefix="0" xfId="0"/>
    <xf numFmtId="0" fontId="5" fillId="0" borderId="4" pivotButton="0" quotePrefix="0" xfId="0"/>
    <xf numFmtId="0" fontId="5" fillId="0" borderId="5" pivotButton="0" quotePrefix="0" xfId="0"/>
    <xf numFmtId="0" fontId="5" fillId="0" borderId="6" pivotButton="0" quotePrefix="0" xfId="0"/>
    <xf numFmtId="0" fontId="5" fillId="0" borderId="7" pivotButton="0" quotePrefix="0" xfId="0"/>
    <xf numFmtId="0" fontId="5" fillId="0" borderId="8" pivotButton="0" quotePrefix="0" xfId="0"/>
    <xf numFmtId="0" fontId="5" fillId="0" borderId="9" pivotButton="0" quotePrefix="0" xfId="0"/>
    <xf numFmtId="0" fontId="5" fillId="0" borderId="1" applyAlignment="1" pivotButton="0" quotePrefix="0" xfId="0">
      <alignment wrapText="1"/>
    </xf>
    <xf numFmtId="0" fontId="5" fillId="0" borderId="2" applyAlignment="1" pivotButton="0" quotePrefix="0" xfId="0">
      <alignment wrapText="1"/>
    </xf>
    <xf numFmtId="0" fontId="5" fillId="0" borderId="3" applyAlignment="1" pivotButton="0" quotePrefix="0" xfId="0">
      <alignment wrapText="1"/>
    </xf>
    <xf numFmtId="0" fontId="5" fillId="0" borderId="4" applyAlignment="1" pivotButton="0" quotePrefix="0" xfId="0">
      <alignment wrapText="1"/>
    </xf>
    <xf numFmtId="0" fontId="5" fillId="0" borderId="5" applyAlignment="1" pivotButton="0" quotePrefix="0" xfId="0">
      <alignment wrapText="1"/>
    </xf>
    <xf numFmtId="0" fontId="5" fillId="0" borderId="6" applyAlignment="1" pivotButton="0" quotePrefix="0" xfId="0">
      <alignment wrapText="1"/>
    </xf>
    <xf numFmtId="0" fontId="5" fillId="0" borderId="7" applyAlignment="1" pivotButton="0" quotePrefix="0" xfId="0">
      <alignment wrapText="1"/>
    </xf>
    <xf numFmtId="0" fontId="5" fillId="0" borderId="8" applyAlignment="1" pivotButton="0" quotePrefix="0" xfId="0">
      <alignment wrapText="1"/>
    </xf>
    <xf numFmtId="0" fontId="5" fillId="0" borderId="9" applyAlignment="1" pivotButton="0" quotePrefix="0" xfId="0">
      <alignment wrapText="1"/>
    </xf>
    <xf numFmtId="0" fontId="5" fillId="0" borderId="1" applyAlignment="1" pivotButton="0" quotePrefix="0" xfId="0">
      <alignment vertical="top" wrapText="1"/>
    </xf>
    <xf numFmtId="0" fontId="5" fillId="0" borderId="2" applyAlignment="1" pivotButton="0" quotePrefix="0" xfId="0">
      <alignment vertical="top" wrapText="1"/>
    </xf>
    <xf numFmtId="0" fontId="5" fillId="0" borderId="3" applyAlignment="1" pivotButton="0" quotePrefix="0" xfId="0">
      <alignment vertical="top" wrapText="1"/>
    </xf>
    <xf numFmtId="0" fontId="5" fillId="0" borderId="4" applyAlignment="1" pivotButton="0" quotePrefix="0" xfId="0">
      <alignment vertical="top" wrapText="1"/>
    </xf>
    <xf numFmtId="0" fontId="5" fillId="0" borderId="5" applyAlignment="1" pivotButton="0" quotePrefix="0" xfId="0">
      <alignment vertical="top" wrapText="1"/>
    </xf>
    <xf numFmtId="0" fontId="5" fillId="0" borderId="6" applyAlignment="1" pivotButton="0" quotePrefix="0" xfId="0">
      <alignment vertical="top" wrapText="1"/>
    </xf>
    <xf numFmtId="0" fontId="5" fillId="0" borderId="7" applyAlignment="1" pivotButton="0" quotePrefix="0" xfId="0">
      <alignment vertical="top" wrapText="1"/>
    </xf>
    <xf numFmtId="0" fontId="5" fillId="0" borderId="8" applyAlignment="1" pivotButton="0" quotePrefix="0" xfId="0">
      <alignment vertical="top" wrapText="1"/>
    </xf>
    <xf numFmtId="0" fontId="5" fillId="0" borderId="9" applyAlignment="1" pivotButton="0" quotePrefix="0" xfId="0">
      <alignment vertical="top" wrapText="1"/>
    </xf>
    <xf numFmtId="0" fontId="0" fillId="6" borderId="0" pivotButton="0" quotePrefix="0" xfId="0"/>
    <xf numFmtId="0" fontId="3" fillId="6" borderId="0" pivotButton="0" quotePrefix="0" xfId="0"/>
    <xf numFmtId="0" fontId="0" fillId="7" borderId="0" pivotButton="0" quotePrefix="0" xfId="0"/>
    <xf numFmtId="0" fontId="1" fillId="7" borderId="0" pivotButton="0" quotePrefix="0" xfId="0"/>
    <xf numFmtId="0" fontId="3" fillId="7" borderId="0" pivotButton="0" quotePrefix="0" xfId="0"/>
    <xf numFmtId="0" fontId="3" fillId="7" borderId="6" pivotButton="0" quotePrefix="0" xfId="0"/>
    <xf numFmtId="0" fontId="3" fillId="7" borderId="10" pivotButton="0" quotePrefix="0" xfId="0"/>
    <xf numFmtId="0" fontId="3" fillId="7" borderId="4" pivotButton="0" quotePrefix="0" xfId="0"/>
    <xf numFmtId="0" fontId="3" fillId="7" borderId="6" applyAlignment="1" pivotButton="0" quotePrefix="0" xfId="0">
      <alignment wrapText="1"/>
    </xf>
    <xf numFmtId="0" fontId="3" fillId="7" borderId="10" applyAlignment="1" pivotButton="0" quotePrefix="0" xfId="0">
      <alignment wrapText="1"/>
    </xf>
    <xf numFmtId="0" fontId="3" fillId="7" borderId="4" applyAlignment="1" pivotButton="0" quotePrefix="0" xfId="0">
      <alignment wrapText="1"/>
    </xf>
    <xf numFmtId="0" fontId="3" fillId="7" borderId="6" applyAlignment="1" pivotButton="0" quotePrefix="0" xfId="0">
      <alignment vertical="center" wrapText="1"/>
    </xf>
    <xf numFmtId="0" fontId="3" fillId="7" borderId="10" applyAlignment="1" pivotButton="0" quotePrefix="0" xfId="0">
      <alignment vertical="center" wrapText="1"/>
    </xf>
    <xf numFmtId="0" fontId="3" fillId="7" borderId="4" applyAlignment="1" pivotButton="0" quotePrefix="0" xfId="0">
      <alignment vertical="center" wrapText="1"/>
    </xf>
    <xf numFmtId="164" fontId="5" fillId="0" borderId="2" applyAlignment="1" pivotButton="0" quotePrefix="0" xfId="0">
      <alignment vertical="top" wrapText="1"/>
    </xf>
    <xf numFmtId="164" fontId="5" fillId="0" borderId="5" applyAlignment="1" pivotButton="0" quotePrefix="0" xfId="0">
      <alignment vertical="top" wrapText="1"/>
    </xf>
    <xf numFmtId="164" fontId="5" fillId="0" borderId="8" applyAlignment="1" pivotButton="0" quotePrefix="0" xfId="0">
      <alignment vertical="top" wrapText="1"/>
    </xf>
    <xf numFmtId="165" fontId="5" fillId="0" borderId="2" applyAlignment="1" pivotButton="0" quotePrefix="0" xfId="0">
      <alignment vertical="top" wrapText="1"/>
    </xf>
    <xf numFmtId="165" fontId="5" fillId="0" borderId="5" applyAlignment="1" pivotButton="0" quotePrefix="0" xfId="0">
      <alignment vertical="top" wrapText="1"/>
    </xf>
    <xf numFmtId="165" fontId="5" fillId="0" borderId="8" applyAlignment="1" pivotButton="0" quotePrefix="0" xfId="0">
      <alignment vertical="top" wrapText="1"/>
    </xf>
    <xf numFmtId="166" fontId="5" fillId="0" borderId="2" applyAlignment="1" pivotButton="0" quotePrefix="0" xfId="0">
      <alignment vertical="top" wrapText="1"/>
    </xf>
    <xf numFmtId="166" fontId="5" fillId="0" borderId="5" applyAlignment="1" pivotButton="0" quotePrefix="0" xfId="0">
      <alignment vertical="top" wrapText="1"/>
    </xf>
    <xf numFmtId="166" fontId="5" fillId="0" borderId="8" applyAlignment="1" pivotButton="0" quotePrefix="0" xfId="0">
      <alignment vertical="top" wrapText="1"/>
    </xf>
    <xf numFmtId="167" fontId="5" fillId="0" borderId="2" applyAlignment="1" pivotButton="0" quotePrefix="0" xfId="0">
      <alignment vertical="top" wrapText="1"/>
    </xf>
    <xf numFmtId="167" fontId="5" fillId="0" borderId="5" applyAlignment="1" pivotButton="0" quotePrefix="0" xfId="0">
      <alignment vertical="top" wrapText="1"/>
    </xf>
    <xf numFmtId="167" fontId="5" fillId="0" borderId="8" applyAlignment="1" pivotButton="0" quotePrefix="0" xfId="0">
      <alignment vertical="top" wrapText="1"/>
    </xf>
    <xf numFmtId="165" fontId="5" fillId="0" borderId="3" applyAlignment="1" pivotButton="0" quotePrefix="0" xfId="0">
      <alignment vertical="top" wrapText="1"/>
    </xf>
    <xf numFmtId="165" fontId="5" fillId="0" borderId="6" applyAlignment="1" pivotButton="0" quotePrefix="0" xfId="0">
      <alignment vertical="top" wrapText="1"/>
    </xf>
    <xf numFmtId="165" fontId="5" fillId="0" borderId="9" applyAlignment="1" pivotButton="0" quotePrefix="0" xfId="0">
      <alignment vertical="top" wrapText="1"/>
    </xf>
    <xf numFmtId="0" fontId="0" fillId="8" borderId="0" pivotButton="0" quotePrefix="0" xfId="0"/>
    <xf numFmtId="0" fontId="1" fillId="8" borderId="0" pivotButton="0" quotePrefix="0" xfId="0"/>
    <xf numFmtId="0" fontId="3" fillId="2" borderId="0" pivotButton="0" quotePrefix="0" xfId="0"/>
    <xf numFmtId="0" fontId="3" fillId="2" borderId="6" pivotButton="0" quotePrefix="0" xfId="0"/>
    <xf numFmtId="0" fontId="3" fillId="2" borderId="10" pivotButton="0" quotePrefix="0" xfId="0"/>
    <xf numFmtId="0" fontId="3" fillId="2" borderId="4" pivotButton="0" quotePrefix="0" xfId="0"/>
    <xf numFmtId="0" fontId="3" fillId="2" borderId="6" applyAlignment="1" pivotButton="0" quotePrefix="0" xfId="0">
      <alignment wrapText="1"/>
    </xf>
    <xf numFmtId="0" fontId="3" fillId="2" borderId="10" applyAlignment="1" pivotButton="0" quotePrefix="0" xfId="0">
      <alignment wrapText="1"/>
    </xf>
    <xf numFmtId="0" fontId="3" fillId="2" borderId="4" applyAlignment="1" pivotButton="0" quotePrefix="0" xfId="0">
      <alignment wrapText="1"/>
    </xf>
    <xf numFmtId="0" fontId="3" fillId="2" borderId="6" applyAlignment="1" pivotButton="0" quotePrefix="0" xfId="0">
      <alignment vertical="center" wrapText="1"/>
    </xf>
    <xf numFmtId="0" fontId="3" fillId="2" borderId="10" applyAlignment="1" pivotButton="0" quotePrefix="0" xfId="0">
      <alignment vertical="center" wrapText="1"/>
    </xf>
    <xf numFmtId="0" fontId="3" fillId="2" borderId="4" applyAlignment="1" pivotButton="0" quotePrefix="0" xfId="0">
      <alignment vertical="center" wrapText="1"/>
    </xf>
    <xf numFmtId="0" fontId="5" fillId="9" borderId="2" applyAlignment="1" pivotButton="0" quotePrefix="0" xfId="0">
      <alignment vertical="top" wrapText="1"/>
    </xf>
    <xf numFmtId="0" fontId="5" fillId="9" borderId="5" applyAlignment="1" pivotButton="0" quotePrefix="0" xfId="0">
      <alignment vertical="top" wrapText="1"/>
    </xf>
    <xf numFmtId="0" fontId="5" fillId="9" borderId="8" applyAlignment="1" pivotButton="0" quotePrefix="0" xfId="0">
      <alignment vertical="top" wrapText="1"/>
    </xf>
    <xf numFmtId="0" fontId="6" fillId="9" borderId="2" applyAlignment="1" pivotButton="0" quotePrefix="0" xfId="0">
      <alignment vertical="top" wrapText="1"/>
    </xf>
    <xf numFmtId="0" fontId="6" fillId="9" borderId="5" applyAlignment="1" pivotButton="0" quotePrefix="0" xfId="0">
      <alignment vertical="top" wrapText="1"/>
    </xf>
    <xf numFmtId="0" fontId="6" fillId="9" borderId="8" applyAlignment="1" pivotButton="0" quotePrefix="0" xfId="0">
      <alignment vertical="top" wrapText="1"/>
    </xf>
    <xf numFmtId="165" fontId="6" fillId="9" borderId="5" applyAlignment="1" pivotButton="0" quotePrefix="0" xfId="0">
      <alignment vertical="top" wrapText="1"/>
    </xf>
    <xf numFmtId="167" fontId="6" fillId="9" borderId="5" applyAlignment="1" pivotButton="0" quotePrefix="0" xfId="0">
      <alignment vertical="top" wrapText="1"/>
    </xf>
    <xf numFmtId="0" fontId="3" fillId="8" borderId="0" pivotButton="0" quotePrefix="0" xfId="0"/>
    <xf numFmtId="0" fontId="1" fillId="4" borderId="0" pivotButton="0" quotePrefix="0" xfId="0"/>
    <xf numFmtId="0" fontId="0" fillId="9" borderId="0" pivotButton="0" quotePrefix="0" xfId="0"/>
    <xf numFmtId="0" fontId="7" fillId="9" borderId="0" pivotButton="0" quotePrefix="0" xfId="0"/>
    <xf numFmtId="0" fontId="7" fillId="9" borderId="0" applyAlignment="1" pivotButton="0" quotePrefix="0" xfId="0">
      <alignment wrapText="1"/>
    </xf>
    <xf numFmtId="0" fontId="3" fillId="4" borderId="6" pivotButton="0" quotePrefix="0" xfId="0"/>
    <xf numFmtId="0" fontId="3" fillId="4" borderId="10" pivotButton="0" quotePrefix="0" xfId="0"/>
    <xf numFmtId="0" fontId="3" fillId="4" borderId="4" pivotButton="0" quotePrefix="0" xfId="0"/>
    <xf numFmtId="0" fontId="3" fillId="4" borderId="6" applyAlignment="1" pivotButton="0" quotePrefix="0" xfId="0">
      <alignment wrapText="1"/>
    </xf>
    <xf numFmtId="0" fontId="3" fillId="4" borderId="10" applyAlignment="1" pivotButton="0" quotePrefix="0" xfId="0">
      <alignment wrapText="1"/>
    </xf>
    <xf numFmtId="0" fontId="3" fillId="4" borderId="4" applyAlignment="1" pivotButton="0" quotePrefix="0" xfId="0">
      <alignment wrapText="1"/>
    </xf>
    <xf numFmtId="0" fontId="3" fillId="4" borderId="6" applyAlignment="1" pivotButton="0" quotePrefix="0" xfId="0">
      <alignment vertical="center" wrapText="1"/>
    </xf>
    <xf numFmtId="0" fontId="3" fillId="4" borderId="10" applyAlignment="1" pivotButton="0" quotePrefix="0" xfId="0">
      <alignment vertical="center" wrapText="1"/>
    </xf>
    <xf numFmtId="0" fontId="3" fillId="4" borderId="4" applyAlignment="1" pivotButton="0" quotePrefix="0" xfId="0">
      <alignment vertical="center" wrapText="1"/>
    </xf>
    <xf numFmtId="168" fontId="6" fillId="9" borderId="2" applyAlignment="1" pivotButton="0" quotePrefix="0" xfId="0">
      <alignment vertical="top" wrapText="1"/>
    </xf>
    <xf numFmtId="168" fontId="6" fillId="9" borderId="5" applyAlignment="1" pivotButton="0" quotePrefix="0" xfId="0">
      <alignment vertical="top" wrapText="1"/>
    </xf>
    <xf numFmtId="168" fontId="5" fillId="0" borderId="2" applyAlignment="1" pivotButton="0" quotePrefix="0" xfId="0">
      <alignment vertical="top" wrapText="1"/>
    </xf>
    <xf numFmtId="168" fontId="5" fillId="0" borderId="3" applyAlignment="1" pivotButton="0" quotePrefix="0" xfId="0">
      <alignment vertical="top" wrapText="1"/>
    </xf>
    <xf numFmtId="168" fontId="5" fillId="0" borderId="5" applyAlignment="1" pivotButton="0" quotePrefix="0" xfId="0">
      <alignment vertical="top" wrapText="1"/>
    </xf>
    <xf numFmtId="168" fontId="5" fillId="0" borderId="6" applyAlignment="1" pivotButton="0" quotePrefix="0" xfId="0">
      <alignment vertical="top" wrapText="1"/>
    </xf>
    <xf numFmtId="167" fontId="6" fillId="9" borderId="2" applyAlignment="1" pivotButton="0" quotePrefix="0" xfId="0">
      <alignment vertical="top" wrapText="1"/>
    </xf>
    <xf numFmtId="167" fontId="6" fillId="9" borderId="8" applyAlignment="1" pivotButton="0" quotePrefix="0" xfId="0">
      <alignment vertical="top" wrapText="1"/>
    </xf>
    <xf numFmtId="0" fontId="0" fillId="10" borderId="0" pivotButton="0" quotePrefix="0" xfId="0"/>
    <xf numFmtId="0" fontId="1" fillId="10" borderId="0" pivotButton="0" quotePrefix="0" xfId="0"/>
    <xf numFmtId="0" fontId="3" fillId="10" borderId="0" pivotButton="0" quotePrefix="0" xfId="0"/>
    <xf numFmtId="0" fontId="3" fillId="10" borderId="6" pivotButton="0" quotePrefix="0" xfId="0"/>
    <xf numFmtId="0" fontId="3" fillId="10" borderId="10" pivotButton="0" quotePrefix="0" xfId="0"/>
    <xf numFmtId="0" fontId="3" fillId="10" borderId="4" pivotButton="0" quotePrefix="0" xfId="0"/>
    <xf numFmtId="0" fontId="3" fillId="10" borderId="6" applyAlignment="1" pivotButton="0" quotePrefix="0" xfId="0">
      <alignment wrapText="1"/>
    </xf>
    <xf numFmtId="0" fontId="3" fillId="10" borderId="10" applyAlignment="1" pivotButton="0" quotePrefix="0" xfId="0">
      <alignment wrapText="1"/>
    </xf>
    <xf numFmtId="0" fontId="3" fillId="10" borderId="4" applyAlignment="1" pivotButton="0" quotePrefix="0" xfId="0">
      <alignment wrapText="1"/>
    </xf>
    <xf numFmtId="0" fontId="3" fillId="10" borderId="6" applyAlignment="1" pivotButton="0" quotePrefix="0" xfId="0">
      <alignment vertical="center" wrapText="1"/>
    </xf>
    <xf numFmtId="0" fontId="3" fillId="10" borderId="10" applyAlignment="1" pivotButton="0" quotePrefix="0" xfId="0">
      <alignment vertical="center" wrapText="1"/>
    </xf>
    <xf numFmtId="0" fontId="3" fillId="10" borderId="4" applyAlignment="1" pivotButton="0" quotePrefix="0" xfId="0">
      <alignment vertical="center" wrapText="1"/>
    </xf>
    <xf numFmtId="0" fontId="0" fillId="11" borderId="0" pivotButton="0" quotePrefix="0" xfId="0"/>
    <xf numFmtId="0" fontId="1" fillId="11" borderId="0" pivotButton="0" quotePrefix="0" xfId="0"/>
    <xf numFmtId="0" fontId="3" fillId="11" borderId="0" pivotButton="0" quotePrefix="0" xfId="0"/>
    <xf numFmtId="0" fontId="3" fillId="11" borderId="6" pivotButton="0" quotePrefix="0" xfId="0"/>
    <xf numFmtId="0" fontId="3" fillId="11" borderId="10" pivotButton="0" quotePrefix="0" xfId="0"/>
    <xf numFmtId="0" fontId="3" fillId="11" borderId="4" pivotButton="0" quotePrefix="0" xfId="0"/>
    <xf numFmtId="0" fontId="3" fillId="11" borderId="6" applyAlignment="1" pivotButton="0" quotePrefix="0" xfId="0">
      <alignment wrapText="1"/>
    </xf>
    <xf numFmtId="0" fontId="3" fillId="11" borderId="10" applyAlignment="1" pivotButton="0" quotePrefix="0" xfId="0">
      <alignment wrapText="1"/>
    </xf>
    <xf numFmtId="0" fontId="3" fillId="11" borderId="4" applyAlignment="1" pivotButton="0" quotePrefix="0" xfId="0">
      <alignment wrapText="1"/>
    </xf>
    <xf numFmtId="0" fontId="3" fillId="11" borderId="6" applyAlignment="1" pivotButton="0" quotePrefix="0" xfId="0">
      <alignment vertical="center" wrapText="1"/>
    </xf>
    <xf numFmtId="0" fontId="3" fillId="11" borderId="10" applyAlignment="1" pivotButton="0" quotePrefix="0" xfId="0">
      <alignment vertical="center" wrapText="1"/>
    </xf>
    <xf numFmtId="0" fontId="3" fillId="11" borderId="4" applyAlignment="1" pivotButton="0" quotePrefix="0" xfId="0">
      <alignment vertical="center" wrapText="1"/>
    </xf>
    <xf numFmtId="168" fontId="6" fillId="9" borderId="8" applyAlignment="1" pivotButton="0" quotePrefix="0" xfId="0">
      <alignment vertical="top" wrapText="1"/>
    </xf>
    <xf numFmtId="0" fontId="5" fillId="9" borderId="1" applyAlignment="1" pivotButton="0" quotePrefix="0" xfId="0">
      <alignment vertical="top" wrapText="1"/>
    </xf>
    <xf numFmtId="0" fontId="5" fillId="9" borderId="3" applyAlignment="1" pivotButton="0" quotePrefix="0" xfId="0">
      <alignment vertical="top" wrapText="1"/>
    </xf>
    <xf numFmtId="0" fontId="5" fillId="9" borderId="4" applyAlignment="1" pivotButton="0" quotePrefix="0" xfId="0">
      <alignment vertical="top" wrapText="1"/>
    </xf>
    <xf numFmtId="0" fontId="5" fillId="9" borderId="6" applyAlignment="1" pivotButton="0" quotePrefix="0" xfId="0">
      <alignment vertical="top" wrapText="1"/>
    </xf>
    <xf numFmtId="0" fontId="5" fillId="9" borderId="7" applyAlignment="1" pivotButton="0" quotePrefix="0" xfId="0">
      <alignment vertical="top" wrapText="1"/>
    </xf>
    <xf numFmtId="0" fontId="5" fillId="9" borderId="9" applyAlignment="1" pivotButton="0" quotePrefix="0" xfId="0">
      <alignment vertical="top" wrapText="1"/>
    </xf>
    <xf numFmtId="0" fontId="6" fillId="9" borderId="1" applyAlignment="1" pivotButton="0" quotePrefix="0" xfId="0">
      <alignment vertical="top" wrapText="1"/>
    </xf>
    <xf numFmtId="0" fontId="6" fillId="9" borderId="3" applyAlignment="1" pivotButton="0" quotePrefix="0" xfId="0">
      <alignment vertical="top" wrapText="1"/>
    </xf>
    <xf numFmtId="0" fontId="6" fillId="9" borderId="4" applyAlignment="1" pivotButton="0" quotePrefix="0" xfId="0">
      <alignment vertical="top" wrapText="1"/>
    </xf>
    <xf numFmtId="0" fontId="6" fillId="9" borderId="6" applyAlignment="1" pivotButton="0" quotePrefix="0" xfId="0">
      <alignment vertical="top" wrapText="1"/>
    </xf>
    <xf numFmtId="0" fontId="6" fillId="9" borderId="7" applyAlignment="1" pivotButton="0" quotePrefix="0" xfId="0">
      <alignment vertical="top" wrapText="1"/>
    </xf>
    <xf numFmtId="0" fontId="6" fillId="9" borderId="9" applyAlignment="1" pivotButton="0" quotePrefix="0" xfId="0">
      <alignment vertical="top" wrapText="1"/>
    </xf>
    <xf numFmtId="0" fontId="0" fillId="12" borderId="0" pivotButton="0" quotePrefix="0" xfId="0"/>
    <xf numFmtId="0" fontId="1" fillId="12" borderId="0" pivotButton="0" quotePrefix="0" xfId="0"/>
    <xf numFmtId="0" fontId="0" fillId="13" borderId="0" pivotButton="0" quotePrefix="0" xfId="0"/>
    <xf numFmtId="0" fontId="7" fillId="13" borderId="0" pivotButton="0" quotePrefix="0" xfId="0"/>
    <xf numFmtId="0" fontId="3" fillId="12" borderId="0" pivotButton="0" quotePrefix="0" xfId="0"/>
    <xf numFmtId="0" fontId="3" fillId="12" borderId="6" pivotButton="0" quotePrefix="0" xfId="0"/>
    <xf numFmtId="0" fontId="3" fillId="12" borderId="10" pivotButton="0" quotePrefix="0" xfId="0"/>
    <xf numFmtId="0" fontId="3" fillId="12" borderId="4" pivotButton="0" quotePrefix="0" xfId="0"/>
    <xf numFmtId="0" fontId="3" fillId="12" borderId="6" applyAlignment="1" pivotButton="0" quotePrefix="0" xfId="0">
      <alignment wrapText="1"/>
    </xf>
    <xf numFmtId="0" fontId="3" fillId="12" borderId="10" applyAlignment="1" pivotButton="0" quotePrefix="0" xfId="0">
      <alignment wrapText="1"/>
    </xf>
    <xf numFmtId="0" fontId="3" fillId="12" borderId="4" applyAlignment="1" pivotButton="0" quotePrefix="0" xfId="0">
      <alignment wrapText="1"/>
    </xf>
    <xf numFmtId="0" fontId="3" fillId="12" borderId="6" applyAlignment="1" pivotButton="0" quotePrefix="0" xfId="0">
      <alignment vertical="center" wrapText="1"/>
    </xf>
    <xf numFmtId="0" fontId="3" fillId="12" borderId="10" applyAlignment="1" pivotButton="0" quotePrefix="0" xfId="0">
      <alignment vertical="center" wrapText="1"/>
    </xf>
    <xf numFmtId="0" fontId="3" fillId="12" borderId="4" applyAlignment="1" pivotButton="0" quotePrefix="0" xfId="0">
      <alignment vertical="center" wrapText="1"/>
    </xf>
    <xf numFmtId="0" fontId="1" fillId="6" borderId="0" pivotButton="0" quotePrefix="0" xfId="0"/>
    <xf numFmtId="0" fontId="3" fillId="6" borderId="6" pivotButton="0" quotePrefix="0" xfId="0"/>
    <xf numFmtId="0" fontId="3" fillId="6" borderId="10" pivotButton="0" quotePrefix="0" xfId="0"/>
    <xf numFmtId="0" fontId="3" fillId="6" borderId="4" pivotButton="0" quotePrefix="0" xfId="0"/>
    <xf numFmtId="0" fontId="3" fillId="6" borderId="6" applyAlignment="1" pivotButton="0" quotePrefix="0" xfId="0">
      <alignment wrapText="1"/>
    </xf>
    <xf numFmtId="0" fontId="3" fillId="6" borderId="10" applyAlignment="1" pivotButton="0" quotePrefix="0" xfId="0">
      <alignment wrapText="1"/>
    </xf>
    <xf numFmtId="0" fontId="3" fillId="6" borderId="4" applyAlignment="1" pivotButton="0" quotePrefix="0" xfId="0">
      <alignment wrapText="1"/>
    </xf>
    <xf numFmtId="0" fontId="3" fillId="6" borderId="6" applyAlignment="1" pivotButton="0" quotePrefix="0" xfId="0">
      <alignment vertical="center" wrapText="1"/>
    </xf>
    <xf numFmtId="0" fontId="3" fillId="6" borderId="10" applyAlignment="1" pivotButton="0" quotePrefix="0" xfId="0">
      <alignment vertical="center" wrapText="1"/>
    </xf>
    <xf numFmtId="0" fontId="3" fillId="6" borderId="4" applyAlignment="1" pivotButton="0" quotePrefix="0" xfId="0">
      <alignment vertical="center" wrapText="1"/>
    </xf>
    <xf numFmtId="0" fontId="8" fillId="2" borderId="1" applyAlignment="1" pivotButton="0" quotePrefix="0" xfId="0">
      <alignment vertical="top" wrapText="1"/>
    </xf>
    <xf numFmtId="0" fontId="8" fillId="2" borderId="2" applyAlignment="1" pivotButton="0" quotePrefix="0" xfId="0">
      <alignment vertical="top" wrapText="1"/>
    </xf>
    <xf numFmtId="0" fontId="8" fillId="2" borderId="3" applyAlignment="1" pivotButton="0" quotePrefix="0" xfId="0">
      <alignment vertical="top" wrapText="1"/>
    </xf>
    <xf numFmtId="0" fontId="8" fillId="2" borderId="0" pivotButton="0" quotePrefix="0" xfId="0"/>
    <xf numFmtId="0" fontId="8" fillId="2" borderId="6" applyAlignment="1" pivotButton="0" quotePrefix="0" xfId="0">
      <alignment vertical="center" wrapText="1"/>
    </xf>
    <xf numFmtId="0" fontId="8" fillId="2" borderId="10" applyAlignment="1" pivotButton="0" quotePrefix="0" xfId="0">
      <alignment vertical="center" wrapText="1"/>
    </xf>
    <xf numFmtId="0" fontId="8" fillId="2" borderId="4" applyAlignment="1" pivotButton="0" quotePrefix="0" xfId="0">
      <alignment vertical="center" wrapText="1"/>
    </xf>
    <xf numFmtId="0" fontId="5" fillId="0" borderId="1" applyAlignment="1" pivotButton="0" quotePrefix="0" xfId="0">
      <alignment horizontal="left" vertical="top" wrapText="1"/>
    </xf>
    <xf numFmtId="0" fontId="5" fillId="0" borderId="2" applyAlignment="1" pivotButton="0" quotePrefix="0" xfId="0">
      <alignment horizontal="left" vertical="top" wrapText="1"/>
    </xf>
    <xf numFmtId="0" fontId="5" fillId="0" borderId="3" applyAlignment="1" pivotButton="0" quotePrefix="0" xfId="0">
      <alignment horizontal="left" vertical="top" wrapText="1"/>
    </xf>
    <xf numFmtId="0" fontId="5" fillId="0" borderId="1" applyAlignment="1" pivotButton="0" quotePrefix="0" xfId="0">
      <alignment horizontal="left" vertical="center" wrapText="1"/>
    </xf>
    <xf numFmtId="0" fontId="5" fillId="0" borderId="2" applyAlignment="1" pivotButton="0" quotePrefix="0" xfId="0">
      <alignment horizontal="lef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top" wrapText="1"/>
    </xf>
    <xf numFmtId="0" fontId="5" fillId="0" borderId="5" applyAlignment="1" pivotButton="0" quotePrefix="0" xfId="0">
      <alignment horizontal="left" vertical="top" wrapText="1"/>
    </xf>
    <xf numFmtId="0" fontId="5" fillId="0" borderId="6" applyAlignment="1" pivotButton="0" quotePrefix="0" xfId="0">
      <alignment horizontal="left" vertical="top" wrapText="1"/>
    </xf>
    <xf numFmtId="0" fontId="5" fillId="0" borderId="4" applyAlignment="1" pivotButton="0" quotePrefix="0" xfId="0">
      <alignment horizontal="left" vertical="center" wrapText="1"/>
    </xf>
    <xf numFmtId="0" fontId="5" fillId="0" borderId="5" applyAlignment="1" pivotButton="0" quotePrefix="0" xfId="0">
      <alignment horizontal="left" vertical="center" wrapText="1"/>
    </xf>
    <xf numFmtId="0" fontId="5" fillId="0" borderId="6" applyAlignment="1" pivotButton="0" quotePrefix="0" xfId="0">
      <alignment horizontal="left" vertical="center" wrapText="1"/>
    </xf>
    <xf numFmtId="0" fontId="5" fillId="0" borderId="7" applyAlignment="1" pivotButton="0" quotePrefix="0" xfId="0">
      <alignment horizontal="left" vertical="top" wrapText="1"/>
    </xf>
    <xf numFmtId="0" fontId="5" fillId="0" borderId="8" applyAlignment="1" pivotButton="0" quotePrefix="0" xfId="0">
      <alignment horizontal="left" vertical="top" wrapText="1"/>
    </xf>
    <xf numFmtId="0" fontId="5" fillId="0" borderId="9" applyAlignment="1" pivotButton="0" quotePrefix="0" xfId="0">
      <alignment horizontal="left" vertical="top" wrapText="1"/>
    </xf>
    <xf numFmtId="0" fontId="5" fillId="0" borderId="7" applyAlignment="1" pivotButton="0" quotePrefix="0" xfId="0">
      <alignment horizontal="left" vertical="center" wrapText="1"/>
    </xf>
    <xf numFmtId="0" fontId="5" fillId="0" borderId="8" applyAlignment="1" pivotButton="0" quotePrefix="0" xfId="0">
      <alignment horizontal="left" vertical="center" wrapText="1"/>
    </xf>
    <xf numFmtId="0" fontId="5" fillId="0" borderId="9" applyAlignment="1" pivotButton="0" quotePrefix="0" xfId="0">
      <alignment horizontal="left" vertical="center" wrapText="1"/>
    </xf>
    <xf numFmtId="0" fontId="0" fillId="0" borderId="12" pivotButton="0" quotePrefix="0" xfId="0"/>
    <xf numFmtId="0" fontId="0" fillId="0" borderId="1" pivotButton="0" quotePrefix="0" xfId="0"/>
    <xf numFmtId="0" fontId="0" fillId="0" borderId="10" pivotButton="0" quotePrefix="0" xfId="0"/>
    <xf numFmtId="0" fontId="0" fillId="0" borderId="4" pivotButton="0" quotePrefix="0" xfId="0"/>
    <xf numFmtId="0" fontId="0" fillId="0" borderId="13" pivotButton="0" quotePrefix="0" xfId="0"/>
    <xf numFmtId="0" fontId="0" fillId="0" borderId="7" pivotButton="0" quotePrefix="0" xfId="0"/>
    <xf numFmtId="0" fontId="0" fillId="16" borderId="0" pivotButton="0" quotePrefix="0" xfId="0"/>
    <xf numFmtId="0" fontId="0" fillId="17" borderId="0" pivotButton="0" quotePrefix="0" xfId="0"/>
    <xf numFmtId="0" fontId="10" fillId="17" borderId="0" pivotButton="0" quotePrefix="0" xfId="0"/>
    <xf numFmtId="0" fontId="10" fillId="17" borderId="0" applyAlignment="1" pivotButton="0" quotePrefix="0" xfId="0">
      <alignment horizontal="left"/>
    </xf>
    <xf numFmtId="0" fontId="10" fillId="17" borderId="0" applyAlignment="1" pivotButton="0" quotePrefix="0" xfId="0">
      <alignment horizontal="left" vertical="center"/>
    </xf>
    <xf numFmtId="0" fontId="11" fillId="17" borderId="0" pivotButton="0" quotePrefix="0" xfId="0"/>
    <xf numFmtId="0" fontId="11" fillId="17" borderId="0" applyAlignment="1" pivotButton="0" quotePrefix="0" xfId="0">
      <alignment horizontal="left"/>
    </xf>
    <xf numFmtId="0" fontId="11" fillId="17" borderId="0" applyAlignment="1" pivotButton="0" quotePrefix="0" xfId="0">
      <alignment horizontal="left" vertical="center"/>
    </xf>
    <xf numFmtId="0" fontId="0" fillId="18" borderId="0" pivotButton="0" quotePrefix="0" xfId="0"/>
    <xf numFmtId="0" fontId="12" fillId="18" borderId="0" pivotButton="0" quotePrefix="0" xfId="0"/>
    <xf numFmtId="0" fontId="13" fillId="18" borderId="0" pivotButton="0" quotePrefix="0" xfId="0"/>
    <xf numFmtId="0" fontId="14" fillId="16" borderId="0" pivotButton="0" quotePrefix="0" xfId="0"/>
    <xf numFmtId="0" fontId="14" fillId="16" borderId="0" applyAlignment="1" pivotButton="0" quotePrefix="0" xfId="0">
      <alignment vertical="center"/>
    </xf>
    <xf numFmtId="0" fontId="0" fillId="19" borderId="0" pivotButton="0" quotePrefix="0" xfId="0"/>
    <xf numFmtId="0" fontId="15" fillId="19" borderId="0" pivotButton="0" quotePrefix="0" xfId="0"/>
    <xf numFmtId="0" fontId="15" fillId="19" borderId="14" pivotButton="0" quotePrefix="0" xfId="0"/>
    <xf numFmtId="0" fontId="15" fillId="19" borderId="14" applyAlignment="1" pivotButton="0" quotePrefix="0" xfId="0">
      <alignment horizontal="center"/>
    </xf>
    <xf numFmtId="0" fontId="15" fillId="19" borderId="14" applyAlignment="1" pivotButton="0" quotePrefix="0" xfId="0">
      <alignment horizontal="center" vertical="center"/>
    </xf>
    <xf numFmtId="0" fontId="0" fillId="20" borderId="0" pivotButton="0" quotePrefix="0" xfId="0"/>
    <xf numFmtId="0" fontId="16" fillId="20" borderId="0" pivotButton="0" quotePrefix="0" xfId="0"/>
    <xf numFmtId="0" fontId="16" fillId="20" borderId="15" pivotButton="0" quotePrefix="0" xfId="0"/>
    <xf numFmtId="0" fontId="16" fillId="20" borderId="16" pivotButton="0" quotePrefix="0" xfId="0"/>
    <xf numFmtId="0" fontId="16" fillId="20" borderId="17" pivotButton="0" quotePrefix="0" xfId="0"/>
    <xf numFmtId="164" fontId="16" fillId="20" borderId="15" pivotButton="0" quotePrefix="0" xfId="0"/>
    <xf numFmtId="164" fontId="16" fillId="20" borderId="16" pivotButton="0" quotePrefix="0" xfId="0"/>
    <xf numFmtId="164" fontId="16" fillId="20" borderId="17" pivotButton="0" quotePrefix="0" xfId="0"/>
    <xf numFmtId="164" fontId="16" fillId="20" borderId="15" applyAlignment="1" pivotButton="0" quotePrefix="0" xfId="0">
      <alignment horizontal="center"/>
    </xf>
    <xf numFmtId="164" fontId="16" fillId="20" borderId="16" applyAlignment="1" pivotButton="0" quotePrefix="0" xfId="0">
      <alignment horizontal="center"/>
    </xf>
    <xf numFmtId="164" fontId="16" fillId="20" borderId="17" applyAlignment="1" pivotButton="0" quotePrefix="0" xfId="0">
      <alignment horizontal="center"/>
    </xf>
    <xf numFmtId="0" fontId="14" fillId="19" borderId="0" pivotButton="0" quotePrefix="0" xfId="0"/>
    <xf numFmtId="0" fontId="14" fillId="19" borderId="18" pivotButton="0" quotePrefix="0" xfId="0"/>
    <xf numFmtId="0" fontId="14" fillId="19" borderId="19" pivotButton="0" quotePrefix="0" xfId="0"/>
    <xf numFmtId="0" fontId="14" fillId="19" borderId="18" applyAlignment="1" pivotButton="0" quotePrefix="0" xfId="0">
      <alignment horizontal="left"/>
    </xf>
    <xf numFmtId="0" fontId="14" fillId="19" borderId="19" applyAlignment="1" pivotButton="0" quotePrefix="0" xfId="0">
      <alignment horizontal="left"/>
    </xf>
    <xf numFmtId="0" fontId="14" fillId="19" borderId="18" applyAlignment="1" pivotButton="0" quotePrefix="0" xfId="0">
      <alignment horizontal="left" vertical="center"/>
    </xf>
    <xf numFmtId="0" fontId="14" fillId="19" borderId="19" applyAlignment="1" pivotButton="0" quotePrefix="0" xfId="0">
      <alignment horizontal="left" vertical="center"/>
    </xf>
    <xf numFmtId="0" fontId="17" fillId="19" borderId="0" pivotButton="0" quotePrefix="0" xfId="0"/>
    <xf numFmtId="0" fontId="17" fillId="19" borderId="20" pivotButton="0" quotePrefix="0" xfId="0"/>
    <xf numFmtId="0" fontId="17" fillId="19" borderId="21" pivotButton="0" quotePrefix="0" xfId="0"/>
    <xf numFmtId="0" fontId="17" fillId="19" borderId="22" pivotButton="0" quotePrefix="0" xfId="0"/>
    <xf numFmtId="0" fontId="17" fillId="19" borderId="23" pivotButton="0" quotePrefix="0" xfId="0"/>
    <xf numFmtId="164" fontId="17" fillId="19" borderId="20" pivotButton="0" quotePrefix="0" xfId="0"/>
    <xf numFmtId="164" fontId="17" fillId="19" borderId="21" pivotButton="0" quotePrefix="0" xfId="0"/>
    <xf numFmtId="164" fontId="17" fillId="19" borderId="22" pivotButton="0" quotePrefix="0" xfId="0"/>
    <xf numFmtId="164" fontId="17" fillId="19" borderId="23" pivotButton="0" quotePrefix="0" xfId="0"/>
    <xf numFmtId="164" fontId="17" fillId="19" borderId="20" applyAlignment="1" pivotButton="0" quotePrefix="0" xfId="0">
      <alignment horizontal="left"/>
    </xf>
    <xf numFmtId="164" fontId="17" fillId="19" borderId="21" applyAlignment="1" pivotButton="0" quotePrefix="0" xfId="0">
      <alignment horizontal="left"/>
    </xf>
    <xf numFmtId="164" fontId="17" fillId="19" borderId="22" applyAlignment="1" pivotButton="0" quotePrefix="0" xfId="0">
      <alignment horizontal="left"/>
    </xf>
    <xf numFmtId="164" fontId="17" fillId="19" borderId="23" applyAlignment="1" pivotButton="0" quotePrefix="0" xfId="0">
      <alignment horizontal="left"/>
    </xf>
    <xf numFmtId="164" fontId="17" fillId="19" borderId="20" applyAlignment="1" pivotButton="0" quotePrefix="0" xfId="0">
      <alignment horizontal="left" vertical="center"/>
    </xf>
    <xf numFmtId="164" fontId="17" fillId="19" borderId="21" applyAlignment="1" pivotButton="0" quotePrefix="0" xfId="0">
      <alignment horizontal="left" vertical="center"/>
    </xf>
    <xf numFmtId="164" fontId="17" fillId="19" borderId="22" applyAlignment="1" pivotButton="0" quotePrefix="0" xfId="0">
      <alignment horizontal="left" vertical="center"/>
    </xf>
    <xf numFmtId="164" fontId="17" fillId="19" borderId="23" applyAlignment="1" pivotButton="0" quotePrefix="0" xfId="0">
      <alignment horizontal="left" vertical="center"/>
    </xf>
    <xf numFmtId="0" fontId="14" fillId="19" borderId="24" pivotButton="0" quotePrefix="0" xfId="0"/>
    <xf numFmtId="0" fontId="14" fillId="19" borderId="25" pivotButton="0" quotePrefix="0" xfId="0"/>
    <xf numFmtId="0" fontId="14" fillId="19" borderId="24" applyAlignment="1" pivotButton="0" quotePrefix="0" xfId="0">
      <alignment horizontal="left"/>
    </xf>
    <xf numFmtId="0" fontId="14" fillId="19" borderId="25" applyAlignment="1" pivotButton="0" quotePrefix="0" xfId="0">
      <alignment horizontal="left"/>
    </xf>
    <xf numFmtId="0" fontId="14" fillId="19" borderId="24" applyAlignment="1" pivotButton="0" quotePrefix="0" xfId="0">
      <alignment horizontal="left" vertical="center"/>
    </xf>
    <xf numFmtId="0" fontId="14" fillId="19" borderId="25" applyAlignment="1" pivotButton="0" quotePrefix="0" xfId="0">
      <alignment horizontal="left" vertical="center"/>
    </xf>
    <xf numFmtId="0" fontId="14" fillId="19" borderId="26" pivotButton="0" quotePrefix="0" xfId="0"/>
    <xf numFmtId="0" fontId="14" fillId="19" borderId="27" pivotButton="0" quotePrefix="0" xfId="0"/>
    <xf numFmtId="0" fontId="14" fillId="19" borderId="26" applyAlignment="1" pivotButton="0" quotePrefix="0" xfId="0">
      <alignment horizontal="left"/>
    </xf>
    <xf numFmtId="0" fontId="14" fillId="19" borderId="27" applyAlignment="1" pivotButton="0" quotePrefix="0" xfId="0">
      <alignment horizontal="left"/>
    </xf>
    <xf numFmtId="0" fontId="14" fillId="19" borderId="26" applyAlignment="1" pivotButton="0" quotePrefix="0" xfId="0">
      <alignment horizontal="left" vertical="center"/>
    </xf>
    <xf numFmtId="0" fontId="14" fillId="19" borderId="27" applyAlignment="1" pivotButton="0" quotePrefix="0" xfId="0">
      <alignment horizontal="left" vertical="center"/>
    </xf>
    <xf numFmtId="0" fontId="14" fillId="19" borderId="28" pivotButton="0" quotePrefix="0" xfId="0"/>
    <xf numFmtId="0" fontId="14" fillId="19" borderId="29" pivotButton="0" quotePrefix="0" xfId="0"/>
    <xf numFmtId="0" fontId="14" fillId="19" borderId="28" applyAlignment="1" pivotButton="0" quotePrefix="0" xfId="0">
      <alignment horizontal="left"/>
    </xf>
    <xf numFmtId="0" fontId="14" fillId="19" borderId="29" applyAlignment="1" pivotButton="0" quotePrefix="0" xfId="0">
      <alignment horizontal="left"/>
    </xf>
    <xf numFmtId="0" fontId="14" fillId="19" borderId="28" applyAlignment="1" pivotButton="0" quotePrefix="0" xfId="0">
      <alignment horizontal="left" vertical="center"/>
    </xf>
    <xf numFmtId="0" fontId="14" fillId="19" borderId="29" applyAlignment="1" pivotButton="0" quotePrefix="0" xfId="0">
      <alignment horizontal="left" vertical="center"/>
    </xf>
    <xf numFmtId="167" fontId="17" fillId="19" borderId="20" pivotButton="0" quotePrefix="0" xfId="0"/>
    <xf numFmtId="167" fontId="17" fillId="19" borderId="21" pivotButton="0" quotePrefix="0" xfId="0"/>
    <xf numFmtId="167" fontId="17" fillId="19" borderId="22" pivotButton="0" quotePrefix="0" xfId="0"/>
    <xf numFmtId="167" fontId="17" fillId="19" borderId="23" pivotButton="0" quotePrefix="0" xfId="0"/>
    <xf numFmtId="167" fontId="17" fillId="19" borderId="20" applyAlignment="1" pivotButton="0" quotePrefix="0" xfId="0">
      <alignment horizontal="left"/>
    </xf>
    <xf numFmtId="167" fontId="17" fillId="19" borderId="21" applyAlignment="1" pivotButton="0" quotePrefix="0" xfId="0">
      <alignment horizontal="left"/>
    </xf>
    <xf numFmtId="167" fontId="17" fillId="19" borderId="22" applyAlignment="1" pivotButton="0" quotePrefix="0" xfId="0">
      <alignment horizontal="left"/>
    </xf>
    <xf numFmtId="167" fontId="17" fillId="19" borderId="23" applyAlignment="1" pivotButton="0" quotePrefix="0" xfId="0">
      <alignment horizontal="left"/>
    </xf>
    <xf numFmtId="167" fontId="17" fillId="19" borderId="20" applyAlignment="1" pivotButton="0" quotePrefix="0" xfId="0">
      <alignment horizontal="left" vertical="center"/>
    </xf>
    <xf numFmtId="167" fontId="17" fillId="19" borderId="21" applyAlignment="1" pivotButton="0" quotePrefix="0" xfId="0">
      <alignment horizontal="left" vertical="center"/>
    </xf>
    <xf numFmtId="167" fontId="17" fillId="19" borderId="22" applyAlignment="1" pivotButton="0" quotePrefix="0" xfId="0">
      <alignment horizontal="left" vertical="center"/>
    </xf>
    <xf numFmtId="167" fontId="17" fillId="19" borderId="23" applyAlignment="1" pivotButton="0" quotePrefix="0" xfId="0">
      <alignment horizontal="left" vertical="center"/>
    </xf>
    <xf numFmtId="0" fontId="14" fillId="19" borderId="30" pivotButton="0" quotePrefix="0" xfId="0"/>
    <xf numFmtId="0" fontId="14" fillId="19" borderId="31" pivotButton="0" quotePrefix="0" xfId="0"/>
    <xf numFmtId="0" fontId="14" fillId="19" borderId="30" applyAlignment="1" pivotButton="0" quotePrefix="0" xfId="0">
      <alignment horizontal="left"/>
    </xf>
    <xf numFmtId="0" fontId="14" fillId="19" borderId="31" applyAlignment="1" pivotButton="0" quotePrefix="0" xfId="0">
      <alignment horizontal="left"/>
    </xf>
    <xf numFmtId="0" fontId="14" fillId="19" borderId="30" applyAlignment="1" pivotButton="0" quotePrefix="0" xfId="0">
      <alignment horizontal="left" vertical="center"/>
    </xf>
    <xf numFmtId="0" fontId="14" fillId="19" borderId="31" applyAlignment="1" pivotButton="0" quotePrefix="0" xfId="0">
      <alignment horizontal="left" vertical="center"/>
    </xf>
    <xf numFmtId="166" fontId="17" fillId="19" borderId="20" pivotButton="0" quotePrefix="0" xfId="0"/>
    <xf numFmtId="166" fontId="17" fillId="19" borderId="21" pivotButton="0" quotePrefix="0" xfId="0"/>
    <xf numFmtId="166" fontId="17" fillId="19" borderId="22" pivotButton="0" quotePrefix="0" xfId="0"/>
    <xf numFmtId="166" fontId="17" fillId="19" borderId="23" pivotButton="0" quotePrefix="0" xfId="0"/>
    <xf numFmtId="166" fontId="17" fillId="19" borderId="20" applyAlignment="1" pivotButton="0" quotePrefix="0" xfId="0">
      <alignment horizontal="left"/>
    </xf>
    <xf numFmtId="166" fontId="17" fillId="19" borderId="21" applyAlignment="1" pivotButton="0" quotePrefix="0" xfId="0">
      <alignment horizontal="left"/>
    </xf>
    <xf numFmtId="166" fontId="17" fillId="19" borderId="22" applyAlignment="1" pivotButton="0" quotePrefix="0" xfId="0">
      <alignment horizontal="left"/>
    </xf>
    <xf numFmtId="166" fontId="17" fillId="19" borderId="23" applyAlignment="1" pivotButton="0" quotePrefix="0" xfId="0">
      <alignment horizontal="left"/>
    </xf>
    <xf numFmtId="166" fontId="17" fillId="19" borderId="20" applyAlignment="1" pivotButton="0" quotePrefix="0" xfId="0">
      <alignment horizontal="left" vertical="center"/>
    </xf>
    <xf numFmtId="166" fontId="17" fillId="19" borderId="21" applyAlignment="1" pivotButton="0" quotePrefix="0" xfId="0">
      <alignment horizontal="left" vertical="center"/>
    </xf>
    <xf numFmtId="166" fontId="17" fillId="19" borderId="22" applyAlignment="1" pivotButton="0" quotePrefix="0" xfId="0">
      <alignment horizontal="left" vertical="center"/>
    </xf>
    <xf numFmtId="166" fontId="17" fillId="19" borderId="23" applyAlignment="1" pivotButton="0" quotePrefix="0" xfId="0">
      <alignment horizontal="left" vertical="center"/>
    </xf>
    <xf numFmtId="0" fontId="14" fillId="19" borderId="32" pivotButton="0" quotePrefix="0" xfId="0"/>
    <xf numFmtId="0" fontId="14" fillId="19" borderId="33" pivotButton="0" quotePrefix="0" xfId="0"/>
    <xf numFmtId="0" fontId="18" fillId="19" borderId="0" pivotButton="0" quotePrefix="0" xfId="0"/>
    <xf numFmtId="0" fontId="18" fillId="19" borderId="20" pivotButton="0" quotePrefix="0" xfId="0"/>
    <xf numFmtId="0" fontId="18" fillId="19" borderId="21" pivotButton="0" quotePrefix="0" xfId="0"/>
    <xf numFmtId="0" fontId="18" fillId="19" borderId="22" pivotButton="0" quotePrefix="0" xfId="0"/>
    <xf numFmtId="0" fontId="18" fillId="19" borderId="23" pivotButton="0" quotePrefix="0" xfId="0"/>
    <xf numFmtId="2" fontId="18" fillId="19" borderId="20" pivotButton="0" quotePrefix="0" xfId="0"/>
    <xf numFmtId="2" fontId="18" fillId="19" borderId="21" pivotButton="0" quotePrefix="0" xfId="0"/>
    <xf numFmtId="2" fontId="18" fillId="19" borderId="22" pivotButton="0" quotePrefix="0" xfId="0"/>
    <xf numFmtId="2" fontId="18" fillId="19" borderId="23" pivotButton="0" quotePrefix="0" xfId="0"/>
    <xf numFmtId="0" fontId="14" fillId="19" borderId="34" pivotButton="0" quotePrefix="0" xfId="0"/>
    <xf numFmtId="0" fontId="16" fillId="19" borderId="0" pivotButton="0" quotePrefix="0" xfId="0"/>
    <xf numFmtId="0" fontId="16" fillId="19" borderId="20" pivotButton="0" quotePrefix="0" xfId="0"/>
    <xf numFmtId="0" fontId="16" fillId="19" borderId="0" pivotButton="0" quotePrefix="0" xfId="0"/>
    <xf numFmtId="0" fontId="16" fillId="19" borderId="21" pivotButton="0" quotePrefix="0" xfId="0"/>
    <xf numFmtId="0" fontId="16" fillId="19" borderId="22" pivotButton="0" quotePrefix="0" xfId="0"/>
    <xf numFmtId="0" fontId="16" fillId="19" borderId="35" pivotButton="0" quotePrefix="0" xfId="0"/>
    <xf numFmtId="0" fontId="16" fillId="19" borderId="23" pivotButton="0" quotePrefix="0" xfId="0"/>
    <xf numFmtId="0" fontId="16" fillId="19" borderId="20" applyAlignment="1" pivotButton="0" quotePrefix="0" xfId="0">
      <alignment horizontal="center"/>
    </xf>
    <xf numFmtId="0" fontId="16" fillId="19" borderId="0" applyAlignment="1" pivotButton="0" quotePrefix="0" xfId="0">
      <alignment horizontal="center"/>
    </xf>
    <xf numFmtId="0" fontId="16" fillId="19" borderId="21" applyAlignment="1" pivotButton="0" quotePrefix="0" xfId="0">
      <alignment horizontal="center"/>
    </xf>
    <xf numFmtId="0" fontId="16" fillId="19" borderId="22" applyAlignment="1" pivotButton="0" quotePrefix="0" xfId="0">
      <alignment horizontal="center"/>
    </xf>
    <xf numFmtId="0" fontId="16" fillId="19" borderId="35" applyAlignment="1" pivotButton="0" quotePrefix="0" xfId="0">
      <alignment horizontal="center"/>
    </xf>
    <xf numFmtId="0" fontId="16" fillId="19" borderId="23" applyAlignment="1" pivotButton="0" quotePrefix="0" xfId="0">
      <alignment horizontal="center"/>
    </xf>
    <xf numFmtId="0" fontId="16" fillId="19" borderId="20" applyAlignment="1" pivotButton="0" quotePrefix="0" xfId="0">
      <alignment horizontal="center" vertical="center"/>
    </xf>
    <xf numFmtId="0" fontId="16" fillId="19" borderId="0" applyAlignment="1" pivotButton="0" quotePrefix="0" xfId="0">
      <alignment horizontal="center" vertical="center"/>
    </xf>
    <xf numFmtId="0" fontId="16" fillId="19" borderId="21" applyAlignment="1" pivotButton="0" quotePrefix="0" xfId="0">
      <alignment horizontal="center" vertical="center"/>
    </xf>
    <xf numFmtId="0" fontId="16" fillId="19" borderId="22" applyAlignment="1" pivotButton="0" quotePrefix="0" xfId="0">
      <alignment horizontal="center" vertical="center"/>
    </xf>
    <xf numFmtId="0" fontId="16" fillId="19" borderId="35" applyAlignment="1" pivotButton="0" quotePrefix="0" xfId="0">
      <alignment horizontal="center" vertical="center"/>
    </xf>
    <xf numFmtId="0" fontId="16" fillId="19" borderId="23" applyAlignment="1" pivotButton="0" quotePrefix="0" xfId="0">
      <alignment horizontal="center" vertical="center"/>
    </xf>
    <xf numFmtId="0" fontId="14" fillId="19" borderId="36" pivotButton="0" quotePrefix="0" xfId="0"/>
    <xf numFmtId="0" fontId="3" fillId="17" borderId="0" pivotButton="0" quotePrefix="0" xfId="0"/>
    <xf numFmtId="0" fontId="3" fillId="17" borderId="37" pivotButton="0" quotePrefix="0" xfId="0"/>
    <xf numFmtId="0" fontId="3" fillId="17" borderId="37" applyAlignment="1" pivotButton="0" quotePrefix="0" xfId="0">
      <alignment horizontal="left"/>
    </xf>
    <xf numFmtId="0" fontId="3" fillId="17" borderId="37" applyAlignment="1" pivotButton="0" quotePrefix="0" xfId="0">
      <alignment horizontal="left" vertical="center"/>
    </xf>
    <xf numFmtId="0" fontId="19" fillId="19" borderId="0" pivotButton="0" quotePrefix="0" xfId="0"/>
    <xf numFmtId="0" fontId="19" fillId="19" borderId="0" pivotButton="0" quotePrefix="0" xfId="0"/>
    <xf numFmtId="0" fontId="19" fillId="19" borderId="35" pivotButton="0" quotePrefix="0" xfId="0"/>
    <xf numFmtId="164" fontId="19" fillId="19" borderId="0" pivotButton="0" quotePrefix="0" xfId="0"/>
    <xf numFmtId="164" fontId="19" fillId="19" borderId="35" pivotButton="0" quotePrefix="0" xfId="0"/>
    <xf numFmtId="167" fontId="19" fillId="19" borderId="0" pivotButton="0" quotePrefix="0" xfId="0"/>
    <xf numFmtId="167" fontId="19" fillId="19" borderId="35" pivotButton="0" quotePrefix="0" xfId="0"/>
    <xf numFmtId="0" fontId="13" fillId="18" borderId="0" applyAlignment="1" pivotButton="0" quotePrefix="0" xfId="0">
      <alignment wrapText="1"/>
    </xf>
    <xf numFmtId="0" fontId="19" fillId="19" borderId="0" applyAlignment="1" pivotButton="0" quotePrefix="0" xfId="0">
      <alignment wrapText="1"/>
    </xf>
    <xf numFmtId="164" fontId="19" fillId="19" borderId="0" applyAlignment="1" pivotButton="0" quotePrefix="0" xfId="0">
      <alignment wrapText="1"/>
    </xf>
    <xf numFmtId="167" fontId="19" fillId="19" borderId="0" applyAlignment="1" pivotButton="0" quotePrefix="0" xfId="0">
      <alignment wrapText="1"/>
    </xf>
    <xf numFmtId="0" fontId="19" fillId="19" borderId="35" applyAlignment="1" pivotButton="0" quotePrefix="0" xfId="0">
      <alignment wrapText="1"/>
    </xf>
    <xf numFmtId="164" fontId="19" fillId="19" borderId="35" applyAlignment="1" pivotButton="0" quotePrefix="0" xfId="0">
      <alignment wrapText="1"/>
    </xf>
    <xf numFmtId="167" fontId="19" fillId="19" borderId="35" applyAlignment="1" pivotButton="0" quotePrefix="0" xfId="0">
      <alignment wrapText="1"/>
    </xf>
    <xf numFmtId="0" fontId="12" fillId="19" borderId="0" pivotButton="0" quotePrefix="0" xfId="0"/>
    <xf numFmtId="0" fontId="12" fillId="19" borderId="38" pivotButton="0" quotePrefix="0" xfId="0"/>
    <xf numFmtId="0" fontId="12" fillId="19" borderId="39" pivotButton="0" quotePrefix="0" xfId="0"/>
    <xf numFmtId="0" fontId="12" fillId="19" borderId="40" pivotButton="0" quotePrefix="0" xfId="0"/>
    <xf numFmtId="0" fontId="12" fillId="19" borderId="20" pivotButton="0" quotePrefix="0" xfId="0"/>
    <xf numFmtId="0" fontId="12" fillId="19" borderId="0" pivotButton="0" quotePrefix="0" xfId="0"/>
    <xf numFmtId="0" fontId="12" fillId="19" borderId="21" pivotButton="0" quotePrefix="0" xfId="0"/>
    <xf numFmtId="0" fontId="12" fillId="19" borderId="22" pivotButton="0" quotePrefix="0" xfId="0"/>
    <xf numFmtId="0" fontId="12" fillId="19" borderId="35" pivotButton="0" quotePrefix="0" xfId="0"/>
    <xf numFmtId="0" fontId="12" fillId="19" borderId="23" pivotButton="0" quotePrefix="0" xfId="0"/>
    <xf numFmtId="0" fontId="12" fillId="19" borderId="38" applyAlignment="1" pivotButton="0" quotePrefix="0" xfId="0">
      <alignment wrapText="1"/>
    </xf>
    <xf numFmtId="0" fontId="12" fillId="19" borderId="39" applyAlignment="1" pivotButton="0" quotePrefix="0" xfId="0">
      <alignment wrapText="1"/>
    </xf>
    <xf numFmtId="0" fontId="12" fillId="19" borderId="40" applyAlignment="1" pivotButton="0" quotePrefix="0" xfId="0">
      <alignment wrapText="1"/>
    </xf>
    <xf numFmtId="0" fontId="12" fillId="19" borderId="20" applyAlignment="1" pivotButton="0" quotePrefix="0" xfId="0">
      <alignment wrapText="1"/>
    </xf>
    <xf numFmtId="0" fontId="12" fillId="19" borderId="0" applyAlignment="1" pivotButton="0" quotePrefix="0" xfId="0">
      <alignment wrapText="1"/>
    </xf>
    <xf numFmtId="0" fontId="12" fillId="19" borderId="21" applyAlignment="1" pivotButton="0" quotePrefix="0" xfId="0">
      <alignment wrapText="1"/>
    </xf>
    <xf numFmtId="0" fontId="12" fillId="19" borderId="22" applyAlignment="1" pivotButton="0" quotePrefix="0" xfId="0">
      <alignment wrapText="1"/>
    </xf>
    <xf numFmtId="0" fontId="12" fillId="19" borderId="35" applyAlignment="1" pivotButton="0" quotePrefix="0" xfId="0">
      <alignment wrapText="1"/>
    </xf>
    <xf numFmtId="0" fontId="12" fillId="19" borderId="23" applyAlignment="1" pivotButton="0" quotePrefix="0" xfId="0">
      <alignment wrapText="1"/>
    </xf>
    <xf numFmtId="0" fontId="12" fillId="19" borderId="38" applyAlignment="1" pivotButton="0" quotePrefix="0" xfId="0">
      <alignment vertical="top" wrapText="1"/>
    </xf>
    <xf numFmtId="0" fontId="12" fillId="19" borderId="39" applyAlignment="1" pivotButton="0" quotePrefix="0" xfId="0">
      <alignment vertical="top" wrapText="1"/>
    </xf>
    <xf numFmtId="0" fontId="12" fillId="19" borderId="40" applyAlignment="1" pivotButton="0" quotePrefix="0" xfId="0">
      <alignment vertical="top" wrapText="1"/>
    </xf>
    <xf numFmtId="0" fontId="12" fillId="19" borderId="20" applyAlignment="1" pivotButton="0" quotePrefix="0" xfId="0">
      <alignment vertical="top" wrapText="1"/>
    </xf>
    <xf numFmtId="0" fontId="12" fillId="19" borderId="0" applyAlignment="1" pivotButton="0" quotePrefix="0" xfId="0">
      <alignment vertical="top" wrapText="1"/>
    </xf>
    <xf numFmtId="0" fontId="12" fillId="19" borderId="21" applyAlignment="1" pivotButton="0" quotePrefix="0" xfId="0">
      <alignment vertical="top" wrapText="1"/>
    </xf>
    <xf numFmtId="0" fontId="12" fillId="19" borderId="22" applyAlignment="1" pivotButton="0" quotePrefix="0" xfId="0">
      <alignment vertical="top" wrapText="1"/>
    </xf>
    <xf numFmtId="0" fontId="12" fillId="19" borderId="35" applyAlignment="1" pivotButton="0" quotePrefix="0" xfId="0">
      <alignment vertical="top" wrapText="1"/>
    </xf>
    <xf numFmtId="0" fontId="12" fillId="19" borderId="23" applyAlignment="1" pivotButton="0" quotePrefix="0" xfId="0">
      <alignment vertical="top" wrapText="1"/>
    </xf>
    <xf numFmtId="0" fontId="20" fillId="16" borderId="0" pivotButton="0" quotePrefix="0" xfId="0"/>
    <xf numFmtId="0" fontId="13" fillId="16" borderId="0" applyAlignment="1" pivotButton="0" quotePrefix="0" xfId="0">
      <alignment wrapText="1"/>
    </xf>
    <xf numFmtId="0" fontId="19" fillId="16" borderId="0" applyAlignment="1" pivotButton="0" quotePrefix="0" xfId="0">
      <alignment wrapText="1"/>
    </xf>
    <xf numFmtId="164" fontId="19" fillId="16" borderId="0" applyAlignment="1" pivotButton="0" quotePrefix="0" xfId="0">
      <alignment wrapText="1"/>
    </xf>
    <xf numFmtId="167" fontId="19" fillId="16" borderId="0" applyAlignment="1" pivotButton="0" quotePrefix="0" xfId="0">
      <alignment wrapText="1"/>
    </xf>
    <xf numFmtId="0" fontId="19" fillId="16" borderId="35" applyAlignment="1" pivotButton="0" quotePrefix="0" xfId="0">
      <alignment wrapText="1"/>
    </xf>
    <xf numFmtId="164" fontId="19" fillId="16" borderId="35" applyAlignment="1" pivotButton="0" quotePrefix="0" xfId="0">
      <alignment wrapText="1"/>
    </xf>
    <xf numFmtId="167" fontId="19" fillId="16" borderId="35" applyAlignment="1" pivotButton="0" quotePrefix="0" xfId="0">
      <alignment wrapText="1"/>
    </xf>
    <xf numFmtId="0" fontId="13" fillId="18" borderId="0" applyAlignment="1" pivotButton="0" quotePrefix="0" xfId="0">
      <alignment horizontal="left" wrapText="1"/>
    </xf>
    <xf numFmtId="0" fontId="19" fillId="19" borderId="0" applyAlignment="1" pivotButton="0" quotePrefix="0" xfId="0">
      <alignment vertical="center" wrapText="1"/>
    </xf>
    <xf numFmtId="164" fontId="19" fillId="19" borderId="0" applyAlignment="1" pivotButton="0" quotePrefix="0" xfId="0">
      <alignment vertical="center" wrapText="1"/>
    </xf>
    <xf numFmtId="167" fontId="19" fillId="19" borderId="0" applyAlignment="1" pivotButton="0" quotePrefix="0" xfId="0">
      <alignment vertical="center" wrapText="1"/>
    </xf>
    <xf numFmtId="0" fontId="19" fillId="19" borderId="35" applyAlignment="1" pivotButton="0" quotePrefix="0" xfId="0">
      <alignment vertical="center" wrapText="1"/>
    </xf>
    <xf numFmtId="164" fontId="19" fillId="19" borderId="35" applyAlignment="1" pivotButton="0" quotePrefix="0" xfId="0">
      <alignment vertical="center" wrapText="1"/>
    </xf>
    <xf numFmtId="167" fontId="19" fillId="19" borderId="35" applyAlignment="1" pivotButton="0" quotePrefix="0" xfId="0">
      <alignment vertical="center" wrapText="1"/>
    </xf>
    <xf numFmtId="0" fontId="15" fillId="19" borderId="14" applyAlignment="1" pivotButton="0" quotePrefix="0" xfId="0">
      <alignment wrapText="1"/>
    </xf>
    <xf numFmtId="0" fontId="15" fillId="19" borderId="14" applyAlignment="1" pivotButton="0" quotePrefix="0" xfId="0">
      <alignment horizontal="center" wrapText="1"/>
    </xf>
    <xf numFmtId="0" fontId="15" fillId="19" borderId="14" applyAlignment="1" pivotButton="0" quotePrefix="0" xfId="0">
      <alignment horizontal="center" vertical="center" wrapText="1"/>
    </xf>
    <xf numFmtId="0" fontId="15" fillId="19" borderId="41" pivotButton="0" quotePrefix="0" xfId="0"/>
    <xf numFmtId="0" fontId="15" fillId="19" borderId="42" pivotButton="0" quotePrefix="0" xfId="0"/>
    <xf numFmtId="0" fontId="15" fillId="19" borderId="43" pivotButton="0" quotePrefix="0" xfId="0"/>
    <xf numFmtId="0" fontId="15" fillId="19" borderId="41" applyAlignment="1" pivotButton="0" quotePrefix="0" xfId="0">
      <alignment wrapText="1"/>
    </xf>
    <xf numFmtId="0" fontId="15" fillId="19" borderId="42" applyAlignment="1" pivotButton="0" quotePrefix="0" xfId="0">
      <alignment wrapText="1"/>
    </xf>
    <xf numFmtId="0" fontId="15" fillId="19" borderId="43" applyAlignment="1" pivotButton="0" quotePrefix="0" xfId="0">
      <alignment wrapText="1"/>
    </xf>
    <xf numFmtId="0" fontId="15" fillId="19" borderId="41" applyAlignment="1" pivotButton="0" quotePrefix="0" xfId="0">
      <alignment horizontal="center" wrapText="1"/>
    </xf>
    <xf numFmtId="0" fontId="15" fillId="19" borderId="42" applyAlignment="1" pivotButton="0" quotePrefix="0" xfId="0">
      <alignment horizontal="center" wrapText="1"/>
    </xf>
    <xf numFmtId="0" fontId="15" fillId="19" borderId="43" applyAlignment="1" pivotButton="0" quotePrefix="0" xfId="0">
      <alignment horizontal="center" wrapText="1"/>
    </xf>
    <xf numFmtId="0" fontId="0" fillId="21" borderId="0" pivotButton="0" quotePrefix="0" xfId="0"/>
    <xf numFmtId="0" fontId="21" fillId="21" borderId="0" pivotButton="0" quotePrefix="0" xfId="0"/>
    <xf numFmtId="0" fontId="21" fillId="21" borderId="44" pivotButton="0" quotePrefix="0" xfId="0"/>
    <xf numFmtId="0" fontId="21" fillId="21" borderId="45" pivotButton="0" quotePrefix="0" xfId="0"/>
    <xf numFmtId="0" fontId="21" fillId="21" borderId="46" pivotButton="0" quotePrefix="0" xfId="0"/>
    <xf numFmtId="0" fontId="21" fillId="21" borderId="44" applyAlignment="1" pivotButton="0" quotePrefix="0" xfId="0">
      <alignment horizontal="center"/>
    </xf>
    <xf numFmtId="0" fontId="21" fillId="21" borderId="45" applyAlignment="1" pivotButton="0" quotePrefix="0" xfId="0">
      <alignment horizontal="center"/>
    </xf>
    <xf numFmtId="0" fontId="21" fillId="21" borderId="46" applyAlignment="1" pivotButton="0" quotePrefix="0" xfId="0">
      <alignment horizontal="center"/>
    </xf>
    <xf numFmtId="0" fontId="21" fillId="21" borderId="44" applyAlignment="1" pivotButton="0" quotePrefix="0" xfId="0">
      <alignment horizontal="center" vertical="center"/>
    </xf>
    <xf numFmtId="0" fontId="21" fillId="21" borderId="45" applyAlignment="1" pivotButton="0" quotePrefix="0" xfId="0">
      <alignment horizontal="center" vertical="center"/>
    </xf>
    <xf numFmtId="0" fontId="21" fillId="21" borderId="46" applyAlignment="1" pivotButton="0" quotePrefix="0" xfId="0">
      <alignment horizontal="center" vertical="center"/>
    </xf>
    <xf numFmtId="166" fontId="19" fillId="19" borderId="0" pivotButton="0" quotePrefix="0" xfId="0"/>
    <xf numFmtId="166" fontId="19" fillId="19" borderId="35" pivotButton="0" quotePrefix="0" xfId="0"/>
    <xf numFmtId="166" fontId="19" fillId="19" borderId="0" applyAlignment="1" pivotButton="0" quotePrefix="0" xfId="0">
      <alignment wrapText="1"/>
    </xf>
    <xf numFmtId="166" fontId="19" fillId="19" borderId="35" applyAlignment="1" pivotButton="0" quotePrefix="0" xfId="0">
      <alignment wrapText="1"/>
    </xf>
    <xf numFmtId="0" fontId="22" fillId="21" borderId="0" pivotButton="0" quotePrefix="0" xfId="0"/>
    <xf numFmtId="0" fontId="22" fillId="21" borderId="0" applyAlignment="1" pivotButton="0" quotePrefix="0" xfId="0">
      <alignment horizontal="center"/>
    </xf>
    <xf numFmtId="167" fontId="0" fillId="16" borderId="0" pivotButton="0" quotePrefix="0" xfId="0"/>
    <xf numFmtId="167" fontId="0" fillId="16" borderId="0" applyAlignment="1" pivotButton="0" quotePrefix="0" xfId="0">
      <alignment wrapText="1"/>
    </xf>
    <xf numFmtId="0" fontId="23" fillId="19" borderId="0" pivotButton="0" quotePrefix="0" xfId="0"/>
    <xf numFmtId="0" fontId="23" fillId="19" borderId="38" pivotButton="0" quotePrefix="0" xfId="0"/>
    <xf numFmtId="0" fontId="23" fillId="19" borderId="39" pivotButton="0" quotePrefix="0" xfId="0"/>
    <xf numFmtId="0" fontId="23" fillId="19" borderId="40" pivotButton="0" quotePrefix="0" xfId="0"/>
    <xf numFmtId="0" fontId="23" fillId="19" borderId="20" pivotButton="0" quotePrefix="0" xfId="0"/>
    <xf numFmtId="0" fontId="23" fillId="19" borderId="0" pivotButton="0" quotePrefix="0" xfId="0"/>
    <xf numFmtId="0" fontId="23" fillId="19" borderId="21" pivotButton="0" quotePrefix="0" xfId="0"/>
    <xf numFmtId="0" fontId="23" fillId="19" borderId="22" pivotButton="0" quotePrefix="0" xfId="0"/>
    <xf numFmtId="0" fontId="23" fillId="19" borderId="35" pivotButton="0" quotePrefix="0" xfId="0"/>
    <xf numFmtId="0" fontId="23" fillId="19" borderId="23" pivotButton="0" quotePrefix="0" xfId="0"/>
    <xf numFmtId="0" fontId="23" fillId="19" borderId="38" applyAlignment="1" pivotButton="0" quotePrefix="0" xfId="0">
      <alignment wrapText="1"/>
    </xf>
    <xf numFmtId="0" fontId="23" fillId="19" borderId="39" applyAlignment="1" pivotButton="0" quotePrefix="0" xfId="0">
      <alignment wrapText="1"/>
    </xf>
    <xf numFmtId="0" fontId="23" fillId="19" borderId="40" applyAlignment="1" pivotButton="0" quotePrefix="0" xfId="0">
      <alignment wrapText="1"/>
    </xf>
    <xf numFmtId="0" fontId="23" fillId="19" borderId="20" applyAlignment="1" pivotButton="0" quotePrefix="0" xfId="0">
      <alignment wrapText="1"/>
    </xf>
    <xf numFmtId="0" fontId="23" fillId="19" borderId="0" applyAlignment="1" pivotButton="0" quotePrefix="0" xfId="0">
      <alignment wrapText="1"/>
    </xf>
    <xf numFmtId="0" fontId="23" fillId="19" borderId="21" applyAlignment="1" pivotButton="0" quotePrefix="0" xfId="0">
      <alignment wrapText="1"/>
    </xf>
    <xf numFmtId="0" fontId="23" fillId="19" borderId="22" applyAlignment="1" pivotButton="0" quotePrefix="0" xfId="0">
      <alignment wrapText="1"/>
    </xf>
    <xf numFmtId="0" fontId="23" fillId="19" borderId="35" applyAlignment="1" pivotButton="0" quotePrefix="0" xfId="0">
      <alignment wrapText="1"/>
    </xf>
    <xf numFmtId="0" fontId="23" fillId="19" borderId="23" applyAlignment="1" pivotButton="0" quotePrefix="0" xfId="0">
      <alignment wrapText="1"/>
    </xf>
    <xf numFmtId="0" fontId="23" fillId="19" borderId="38" applyAlignment="1" pivotButton="0" quotePrefix="0" xfId="0">
      <alignment vertical="top" wrapText="1"/>
    </xf>
    <xf numFmtId="0" fontId="23" fillId="19" borderId="39" applyAlignment="1" pivotButton="0" quotePrefix="0" xfId="0">
      <alignment vertical="top" wrapText="1"/>
    </xf>
    <xf numFmtId="0" fontId="23" fillId="19" borderId="40" applyAlignment="1" pivotButton="0" quotePrefix="0" xfId="0">
      <alignment vertical="top" wrapText="1"/>
    </xf>
    <xf numFmtId="0" fontId="23" fillId="19" borderId="20" applyAlignment="1" pivotButton="0" quotePrefix="0" xfId="0">
      <alignment vertical="top" wrapText="1"/>
    </xf>
    <xf numFmtId="0" fontId="23" fillId="19" borderId="0" applyAlignment="1" pivotButton="0" quotePrefix="0" xfId="0">
      <alignment vertical="top" wrapText="1"/>
    </xf>
    <xf numFmtId="0" fontId="23" fillId="19" borderId="21" applyAlignment="1" pivotButton="0" quotePrefix="0" xfId="0">
      <alignment vertical="top" wrapText="1"/>
    </xf>
    <xf numFmtId="0" fontId="23" fillId="19" borderId="22" applyAlignment="1" pivotButton="0" quotePrefix="0" xfId="0">
      <alignment vertical="top" wrapText="1"/>
    </xf>
    <xf numFmtId="0" fontId="23" fillId="19" borderId="35" applyAlignment="1" pivotButton="0" quotePrefix="0" xfId="0">
      <alignment vertical="top" wrapText="1"/>
    </xf>
    <xf numFmtId="0" fontId="23" fillId="19" borderId="23" applyAlignment="1" pivotButton="0" quotePrefix="0" xfId="0">
      <alignment vertical="top" wrapText="1"/>
    </xf>
    <xf numFmtId="0" fontId="24" fillId="21" borderId="0" pivotButton="0" quotePrefix="0" xfId="0"/>
    <xf numFmtId="0" fontId="24" fillId="21" borderId="44" pivotButton="0" quotePrefix="0" xfId="0"/>
    <xf numFmtId="0" fontId="24" fillId="21" borderId="45" pivotButton="0" quotePrefix="0" xfId="0"/>
    <xf numFmtId="0" fontId="24" fillId="21" borderId="46" pivotButton="0" quotePrefix="0" xfId="0"/>
    <xf numFmtId="0" fontId="24" fillId="21" borderId="44" applyAlignment="1" pivotButton="0" quotePrefix="0" xfId="0">
      <alignment horizontal="center"/>
    </xf>
    <xf numFmtId="0" fontId="24" fillId="21" borderId="45" applyAlignment="1" pivotButton="0" quotePrefix="0" xfId="0">
      <alignment horizontal="center"/>
    </xf>
    <xf numFmtId="0" fontId="24" fillId="21" borderId="46" applyAlignment="1" pivotButton="0" quotePrefix="0" xfId="0">
      <alignment horizontal="center"/>
    </xf>
    <xf numFmtId="1" fontId="17" fillId="19" borderId="20" pivotButton="0" quotePrefix="0" xfId="0"/>
    <xf numFmtId="1" fontId="17" fillId="19" borderId="21" pivotButton="0" quotePrefix="0" xfId="0"/>
    <xf numFmtId="1" fontId="17" fillId="19" borderId="22" pivotButton="0" quotePrefix="0" xfId="0"/>
    <xf numFmtId="1" fontId="17" fillId="19" borderId="23" pivotButton="0" quotePrefix="0" xfId="0"/>
    <xf numFmtId="1" fontId="17" fillId="19" borderId="20" applyAlignment="1" pivotButton="0" quotePrefix="0" xfId="0">
      <alignment horizontal="left"/>
    </xf>
    <xf numFmtId="1" fontId="17" fillId="19" borderId="21" applyAlignment="1" pivotButton="0" quotePrefix="0" xfId="0">
      <alignment horizontal="left"/>
    </xf>
    <xf numFmtId="1" fontId="17" fillId="19" borderId="22" applyAlignment="1" pivotButton="0" quotePrefix="0" xfId="0">
      <alignment horizontal="left"/>
    </xf>
    <xf numFmtId="1" fontId="17" fillId="19" borderId="23" applyAlignment="1" pivotButton="0" quotePrefix="0" xfId="0">
      <alignment horizontal="left"/>
    </xf>
    <xf numFmtId="1" fontId="17" fillId="19" borderId="20" applyAlignment="1" pivotButton="0" quotePrefix="0" xfId="0">
      <alignment horizontal="left" vertical="center"/>
    </xf>
    <xf numFmtId="1" fontId="17" fillId="19" borderId="21" applyAlignment="1" pivotButton="0" quotePrefix="0" xfId="0">
      <alignment horizontal="left" vertical="center"/>
    </xf>
    <xf numFmtId="1" fontId="17" fillId="19" borderId="22" applyAlignment="1" pivotButton="0" quotePrefix="0" xfId="0">
      <alignment horizontal="left" vertical="center"/>
    </xf>
    <xf numFmtId="1" fontId="17" fillId="19" borderId="23" applyAlignment="1" pivotButton="0" quotePrefix="0" xfId="0">
      <alignment horizontal="left" vertical="center"/>
    </xf>
    <xf numFmtId="164" fontId="0" fillId="18" borderId="0" pivotButton="0" quotePrefix="0" xfId="0"/>
    <xf numFmtId="164" fontId="12" fillId="18" borderId="0" pivotButton="0" quotePrefix="0" xfId="0"/>
    <xf numFmtId="164" fontId="13" fillId="18" borderId="0" pivotButton="0" quotePrefix="0" xfId="0"/>
    <xf numFmtId="0" fontId="0" fillId="22" borderId="0" pivotButton="0" quotePrefix="0" xfId="0"/>
    <xf numFmtId="0" fontId="15" fillId="22" borderId="0" pivotButton="0" quotePrefix="0" xfId="0"/>
    <xf numFmtId="0" fontId="15" fillId="22" borderId="47" pivotButton="0" quotePrefix="0" xfId="0"/>
    <xf numFmtId="0" fontId="15" fillId="22" borderId="48" pivotButton="0" quotePrefix="0" xfId="0"/>
    <xf numFmtId="0" fontId="15" fillId="22" borderId="49" pivotButton="0" quotePrefix="0" xfId="0"/>
    <xf numFmtId="164" fontId="15" fillId="22" borderId="47" pivotButton="0" quotePrefix="0" xfId="0"/>
    <xf numFmtId="164" fontId="15" fillId="22" borderId="48" pivotButton="0" quotePrefix="0" xfId="0"/>
    <xf numFmtId="164" fontId="15" fillId="22" borderId="49" pivotButton="0" quotePrefix="0" xfId="0"/>
    <xf numFmtId="164" fontId="15" fillId="22" borderId="47" applyAlignment="1" pivotButton="0" quotePrefix="0" xfId="0">
      <alignment horizontal="center"/>
    </xf>
    <xf numFmtId="164" fontId="15" fillId="22" borderId="48" applyAlignment="1" pivotButton="0" quotePrefix="0" xfId="0">
      <alignment horizontal="center"/>
    </xf>
    <xf numFmtId="164" fontId="15" fillId="22" borderId="49" applyAlignment="1" pivotButton="0" quotePrefix="0" xfId="0">
      <alignment horizontal="center"/>
    </xf>
    <xf numFmtId="0" fontId="22" fillId="20" borderId="0" pivotButton="0" quotePrefix="0" xfId="0"/>
    <xf numFmtId="0" fontId="22" fillId="20" borderId="0" applyAlignment="1" pivotButton="0" quotePrefix="0" xfId="0">
      <alignment horizontal="center"/>
    </xf>
    <xf numFmtId="0" fontId="14" fillId="19" borderId="32" applyAlignment="1" pivotButton="0" quotePrefix="0" xfId="0">
      <alignment horizontal="left"/>
    </xf>
    <xf numFmtId="0" fontId="14" fillId="19" borderId="33" applyAlignment="1" pivotButton="0" quotePrefix="0" xfId="0">
      <alignment horizontal="left"/>
    </xf>
    <xf numFmtId="0" fontId="14" fillId="19" borderId="32" applyAlignment="1" pivotButton="0" quotePrefix="0" xfId="0">
      <alignment horizontal="left" vertical="center"/>
    </xf>
    <xf numFmtId="0" fontId="14" fillId="19" borderId="33" applyAlignment="1" pivotButton="0" quotePrefix="0" xfId="0">
      <alignment horizontal="left" vertical="center"/>
    </xf>
    <xf numFmtId="0" fontId="21" fillId="19" borderId="0" pivotButton="0" quotePrefix="0" xfId="0"/>
    <xf numFmtId="0" fontId="21" fillId="19" borderId="41" pivotButton="0" quotePrefix="0" xfId="0"/>
    <xf numFmtId="0" fontId="21" fillId="19" borderId="42" pivotButton="0" quotePrefix="0" xfId="0"/>
    <xf numFmtId="0" fontId="21" fillId="19" borderId="43" pivotButton="0" quotePrefix="0" xfId="0"/>
    <xf numFmtId="0" fontId="21" fillId="19" borderId="41" applyAlignment="1" pivotButton="0" quotePrefix="0" xfId="0">
      <alignment horizontal="center"/>
    </xf>
    <xf numFmtId="0" fontId="21" fillId="19" borderId="42" applyAlignment="1" pivotButton="0" quotePrefix="0" xfId="0">
      <alignment horizontal="center"/>
    </xf>
    <xf numFmtId="0" fontId="21" fillId="19" borderId="43" applyAlignment="1" pivotButton="0" quotePrefix="0" xfId="0">
      <alignment horizontal="center"/>
    </xf>
    <xf numFmtId="0" fontId="25" fillId="3" borderId="0" applyAlignment="1" pivotButton="0" quotePrefix="0" xfId="0">
      <alignment wrapText="1"/>
    </xf>
    <xf numFmtId="0" fontId="25" fillId="0" borderId="0" applyAlignment="1" pivotButton="0" quotePrefix="0" xfId="0">
      <alignment wrapText="1"/>
    </xf>
    <xf numFmtId="164" fontId="16" fillId="20" borderId="14" applyAlignment="1" pivotButton="0" quotePrefix="0" xfId="0">
      <alignment horizontal="center"/>
    </xf>
    <xf numFmtId="0" fontId="14" fillId="19" borderId="50" applyAlignment="1" pivotButton="0" quotePrefix="0" xfId="0">
      <alignment horizontal="left" vertical="center"/>
    </xf>
    <xf numFmtId="164" fontId="17" fillId="19" borderId="51" applyAlignment="1" pivotButton="0" quotePrefix="0" xfId="0">
      <alignment horizontal="left" vertical="center"/>
    </xf>
    <xf numFmtId="167" fontId="17" fillId="19" borderId="51" applyAlignment="1" pivotButton="0" quotePrefix="0" xfId="0">
      <alignment horizontal="left" vertical="center"/>
    </xf>
    <xf numFmtId="166" fontId="17" fillId="19" borderId="51" applyAlignment="1" pivotButton="0" quotePrefix="0" xfId="0">
      <alignment horizontal="left" vertical="center"/>
    </xf>
    <xf numFmtId="0" fontId="14" fillId="19" borderId="50" pivotButton="0" quotePrefix="0" xfId="0"/>
    <xf numFmtId="2" fontId="18" fillId="19" borderId="51" pivotButton="0" quotePrefix="0" xfId="0"/>
    <xf numFmtId="0" fontId="16" fillId="19" borderId="51" applyAlignment="1" pivotButton="0" quotePrefix="0" xfId="0">
      <alignment horizontal="center" vertical="center"/>
    </xf>
    <xf numFmtId="0" fontId="12" fillId="19" borderId="14" applyAlignment="1" pivotButton="0" quotePrefix="0" xfId="0">
      <alignment vertical="top" wrapText="1"/>
    </xf>
    <xf numFmtId="0" fontId="19" fillId="19" borderId="37" applyAlignment="1" pivotButton="0" quotePrefix="0" xfId="0">
      <alignment vertical="center" wrapText="1"/>
    </xf>
    <xf numFmtId="164" fontId="19" fillId="19" borderId="37" applyAlignment="1" pivotButton="0" quotePrefix="0" xfId="0">
      <alignment vertical="center" wrapText="1"/>
    </xf>
    <xf numFmtId="0" fontId="21" fillId="21" borderId="14" applyAlignment="1" pivotButton="0" quotePrefix="0" xfId="0">
      <alignment horizontal="center" vertical="center"/>
    </xf>
    <xf numFmtId="0" fontId="0" fillId="0" borderId="37" pivotButton="0" quotePrefix="0" xfId="0"/>
    <xf numFmtId="0" fontId="23" fillId="19" borderId="14" applyAlignment="1" pivotButton="0" quotePrefix="0" xfId="0">
      <alignment vertical="top" wrapText="1"/>
    </xf>
    <xf numFmtId="0" fontId="24" fillId="21" borderId="14" applyAlignment="1" pivotButton="0" quotePrefix="0" xfId="0">
      <alignment horizontal="center"/>
    </xf>
    <xf numFmtId="1" fontId="17" fillId="19" borderId="51" applyAlignment="1" pivotButton="0" quotePrefix="0" xfId="0">
      <alignment horizontal="left" vertical="center"/>
    </xf>
    <xf numFmtId="164" fontId="15" fillId="22" borderId="14" applyAlignment="1" pivotButton="0" quotePrefix="0" xfId="0">
      <alignment horizontal="center"/>
    </xf>
    <xf numFmtId="0" fontId="21" fillId="19" borderId="14" applyAlignment="1" pivotButton="0" quotePrefix="0" xfId="0">
      <alignment horizont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lstStyle/>
          <a:p>
            <a:r>
              <a:t>Selected AEP / OEP by return period</a:t>
            </a:r>
          </a:p>
        </rich>
      </tx>
    </title>
    <plotArea>
      <lineChart>
        <grouping val="standard"/>
        <ser>
          <idx val="0"/>
          <order val="0"/>
          <tx>
            <v>Selected loss</v>
          </tx>
          <spPr>
            <a:ln>
              <a:prstDash val="solid"/>
            </a:ln>
          </spPr>
          <marker>
            <symbol val="none"/>
            <spPr>
              <a:ln>
                <a:prstDash val="solid"/>
              </a:ln>
            </spPr>
          </marker>
          <cat>
            <strRef>
              <f>'00 Dashboard'!$A$62:$A$71</f>
              <strCache>
                <ptCount val="0"/>
              </strCache>
            </strRef>
          </cat>
          <val>
            <numRef>
              <f>'00 Dashboard'!$B$62:$B$71</f>
              <numCache>
                <formatCode>$#,##0,,"m"</formatCode>
                <ptCount val="0"/>
              </numCache>
            </numRef>
          </val>
        </ser>
        <axId val="48650112"/>
        <axId val="48672768"/>
      </line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0,,&quot;m&quot;" sourceLinked="0"/>
        <majorTickMark val="none"/>
        <minorTickMark val="none"/>
        <crossAx val="48650112"/>
        <crossBetween val="between"/>
      </valAx>
    </plotArea>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t>Scenario AAL contribution</a:t>
            </a:r>
          </a:p>
        </rich>
      </tx>
    </title>
    <plotArea>
      <barChart>
        <barDir val="bar"/>
        <grouping val="clustered"/>
        <varyColors val="0"/>
        <ser>
          <idx val="0"/>
          <order val="0"/>
          <tx>
            <v>AAL</v>
          </tx>
          <spPr>
            <a:ln>
              <a:prstDash val="solid"/>
            </a:ln>
          </spPr>
          <cat>
            <strRef>
              <f>'00 Dashboard'!$D$62:$D$65</f>
              <strCache>
                <ptCount val="0"/>
              </strCache>
            </strRef>
          </cat>
          <val>
            <numRef>
              <f>'00 Dashboard'!$E$62:$E$65</f>
              <numCache>
                <formatCode>General</formatCode>
                <ptCount val="0"/>
              </numCache>
            </numRef>
          </val>
        </ser>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w="9525">
      <a:solidFill>
        <a:srgbClr val="D9D9D9"/>
      </a:solidFill>
      <a:prstDash val="solid"/>
    </a:ln>
  </spPr>
</chartSpace>
</file>

<file path=xl/charts/chart3.xml><?xml version="1.0" encoding="utf-8"?>
<chartSpace xmlns:a="http://schemas.openxmlformats.org/drawingml/2006/main" xmlns="http://schemas.openxmlformats.org/drawingml/2006/chart">
  <chart>
    <title>
      <tx>
        <rich>
          <a:bodyPr/>
          <a:lstStyle/>
          <a:p>
            <a:r>
              <a:t>Threat actor AAL contribution</a:t>
            </a:r>
          </a:p>
        </rich>
      </tx>
    </title>
    <plotArea>
      <barChart>
        <barDir val="bar"/>
        <grouping val="clustered"/>
        <varyColors val="0"/>
        <ser>
          <idx val="0"/>
          <order val="0"/>
          <tx>
            <v>AAL</v>
          </tx>
          <spPr>
            <a:ln>
              <a:prstDash val="solid"/>
            </a:ln>
          </spPr>
          <cat>
            <strRef>
              <f>'00 Dashboard'!$G$62:$G$65</f>
              <strCache>
                <ptCount val="0"/>
              </strCache>
            </strRef>
          </cat>
          <val>
            <numRef>
              <f>'00 Dashboard'!$H$62:$H$65</f>
              <numCache>
                <formatCode>General</formatCode>
                <ptCount val="0"/>
              </numCache>
            </numRef>
          </val>
        </ser>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w="9525">
      <a:solidFill>
        <a:srgbClr val="D9D9D9"/>
      </a:solidFill>
      <a:prstDash val="solid"/>
    </a:ln>
  </spPr>
</chartSpace>
</file>

<file path=xl/charts/chart4.xml><?xml version="1.0" encoding="utf-8"?>
<chartSpace xmlns:a="http://schemas.openxmlformats.org/drawingml/2006/main" xmlns="http://schemas.openxmlformats.org/drawingml/2006/chart">
  <chart>
    <title>
      <tx>
        <rich>
          <a:bodyPr/>
          <a:lstStyle/>
          <a:p>
            <a:r>
              <a:t>AAL contribution by route</a:t>
            </a:r>
          </a:p>
        </rich>
      </tx>
    </title>
    <plotArea>
      <barChart>
        <barDir val="bar"/>
        <grouping val="clustered"/>
        <varyColors val="0"/>
        <ser>
          <idx val="0"/>
          <order val="0"/>
          <tx>
            <v>AAL</v>
          </tx>
          <spPr>
            <a:ln>
              <a:prstDash val="solid"/>
            </a:ln>
          </spPr>
          <cat>
            <strRef>
              <f>'00 Risk Drivers'!$J$62:$J$67</f>
              <strCache>
                <ptCount val="0"/>
              </strCache>
            </strRef>
          </cat>
          <val>
            <numRef>
              <f>'00 Risk Drivers'!$K$62:$K$67</f>
              <numCache>
                <formatCode>General</formatCode>
                <ptCount val="0"/>
              </numCache>
            </numRef>
          </val>
        </ser>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w="9525">
      <a:solidFill>
        <a:srgbClr val="D9D9D9"/>
      </a:solidFill>
      <a:prstDash val="solid"/>
    </a:ln>
  </spPr>
</chartSpace>
</file>

<file path=xl/charts/chart5.xml><?xml version="1.0" encoding="utf-8"?>
<chartSpace xmlns:a="http://schemas.openxmlformats.org/drawingml/2006/main" xmlns="http://schemas.openxmlformats.org/drawingml/2006/chart">
  <chart>
    <title>
      <tx>
        <rich>
          <a:bodyPr/>
          <a:lstStyle/>
          <a:p>
            <a:r>
              <a:t>Event loss by category</a:t>
            </a:r>
          </a:p>
        </rich>
      </tx>
    </title>
    <plotArea>
      <barChart>
        <barDir val="bar"/>
        <grouping val="clustered"/>
        <varyColors val="0"/>
        <ser>
          <idx val="0"/>
          <order val="0"/>
          <tx>
            <v>Amount</v>
          </tx>
          <spPr>
            <a:ln>
              <a:prstDash val="solid"/>
            </a:ln>
          </spPr>
          <cat>
            <strRef>
              <f>'00 Loss Analysis'!$J$62:$J$67</f>
              <strCache>
                <ptCount val="0"/>
              </strCache>
            </strRef>
          </cat>
          <val>
            <numRef>
              <f>'00 Loss Analysis'!$K$62:$K$67</f>
              <numCache>
                <formatCode>General</formatCode>
                <ptCount val="0"/>
              </numCache>
            </numRef>
          </val>
        </ser>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w="9525">
      <a:solidFill>
        <a:srgbClr val="D9D9D9"/>
      </a:solidFill>
      <a:prstDash val="solid"/>
    </a:ln>
  </spPr>
</chartSpace>
</file>

<file path=xl/charts/chart6.xml><?xml version="1.0" encoding="utf-8"?>
<chartSpace xmlns:a="http://schemas.openxmlformats.org/drawingml/2006/main" xmlns="http://schemas.openxmlformats.org/drawingml/2006/chart">
  <chart>
    <title>
      <tx>
        <rich>
          <a:bodyPr/>
          <a:lstStyle/>
          <a:p>
            <a:r>
              <a:t>Top control opportunities</a:t>
            </a:r>
          </a:p>
        </rich>
      </tx>
    </title>
    <plotArea>
      <barChart>
        <barDir val="bar"/>
        <grouping val="clustered"/>
        <varyColors val="0"/>
        <ser>
          <idx val="0"/>
          <order val="0"/>
          <tx>
            <v>AAL reduction</v>
          </tx>
          <spPr>
            <a:ln>
              <a:prstDash val="solid"/>
            </a:ln>
          </spPr>
          <cat>
            <strRef>
              <f>'00 What-If'!$J$62:$J$71</f>
              <strCache>
                <ptCount val="0"/>
              </strCache>
            </strRef>
          </cat>
          <val>
            <numRef>
              <f>'00 What-If'!$K$62:$K$71</f>
              <numCache>
                <formatCode>General</formatCode>
                <ptCount val="0"/>
              </numCache>
            </numRef>
          </val>
        </ser>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w="9525">
      <a:solidFill>
        <a:srgbClr val="D9D9D9"/>
      </a:solidFill>
      <a:prstDash val="solid"/>
    </a:ln>
  </spPr>
</chartSpace>
</file>

<file path=xl/charts/chart7.xml><?xml version="1.0" encoding="utf-8"?>
<chartSpace xmlns:a="http://schemas.openxmlformats.org/drawingml/2006/main" xmlns="http://schemas.openxmlformats.org/drawingml/2006/chart">
  <chart>
    <title>
      <tx>
        <rich>
          <a:bodyPr/>
          <a:lstStyle/>
          <a:p>
            <a:r>
              <a:t>Aggregate loss and selected limit</a:t>
            </a:r>
          </a:p>
        </rich>
      </tx>
    </title>
    <plotArea>
      <lineChart>
        <grouping val="standard"/>
        <ser>
          <idx val="0"/>
          <order val="0"/>
          <tx>
            <v>Selected loss</v>
          </tx>
          <spPr>
            <a:ln>
              <a:prstDash val="solid"/>
            </a:ln>
          </spPr>
          <marker>
            <symbol val="none"/>
            <spPr>
              <a:ln>
                <a:prstDash val="solid"/>
              </a:ln>
            </spPr>
          </marker>
          <cat>
            <strRef>
              <f>'00 Risk Transfer'!$J$62:$J$71</f>
              <strCache>
                <ptCount val="0"/>
              </strCache>
            </strRef>
          </cat>
          <val>
            <numRef>
              <f>'00 Risk Transfer'!$K$62:$K$71</f>
              <numCache>
                <formatCode>General</formatCode>
                <ptCount val="0"/>
              </numCache>
            </numRef>
          </val>
        </ser>
        <ser>
          <idx val="1"/>
          <order val="1"/>
          <tx>
            <v>Illustrative limit</v>
          </tx>
          <spPr>
            <a:ln>
              <a:prstDash val="solid"/>
            </a:ln>
          </spPr>
          <marker>
            <symbol val="none"/>
            <spPr>
              <a:ln>
                <a:prstDash val="solid"/>
              </a:ln>
            </spPr>
          </marker>
          <cat>
            <strRef>
              <f>'00 Risk Transfer'!$J$62:$J$71</f>
              <strCache>
                <ptCount val="0"/>
              </strCache>
            </strRef>
          </cat>
          <val>
            <numRef>
              <f>'00 Risk Transfer'!$L$62:$L$71</f>
              <numCache>
                <formatCode>General</formatCode>
                <ptCount val="0"/>
              </numCache>
            </numRef>
          </val>
        </ser>
        <axId val="48650112"/>
        <axId val="48672768"/>
      </line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s>
</file>

<file path=xl/drawings/_rels/drawing5.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16</row>
      <rowOff>0</rowOff>
    </from>
    <to>
      <col>8</col>
      <colOff>0</colOff>
      <row>34</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16</row>
      <rowOff>0</rowOff>
    </from>
    <to>
      <col>14</col>
      <colOff>0</colOff>
      <row>25</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9</col>
      <colOff>0</colOff>
      <row>25</row>
      <rowOff>0</rowOff>
    </from>
    <to>
      <col>14</col>
      <colOff>0</colOff>
      <row>34</row>
      <rowOff>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9</col>
      <colOff>0</colOff>
      <row>13</row>
      <rowOff>0</rowOff>
    </from>
    <to>
      <col>14</col>
      <colOff>0</colOff>
      <row>25</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0</colOff>
      <row>13</row>
      <rowOff>0</rowOff>
    </from>
    <to>
      <col>14</col>
      <colOff>0</colOff>
      <row>28</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9</col>
      <colOff>0</colOff>
      <row>13</row>
      <rowOff>0</rowOff>
    </from>
    <to>
      <col>14</col>
      <colOff>0</colOff>
      <row>29</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0</colOff>
      <row>14</row>
      <rowOff>0</rowOff>
    </from>
    <to>
      <col>14</col>
      <colOff>0</colOff>
      <row>29</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3.xml.rels><Relationships xmlns="http://schemas.openxmlformats.org/package/2006/relationships"><Relationship Type="http://schemas.openxmlformats.org/officeDocument/2006/relationships/drawing" Target="/xl/drawings/drawing1.xml" Id="rId1" /></Relationships>
</file>

<file path=xl/worksheets/_rels/sheet24.xml.rels><Relationships xmlns="http://schemas.openxmlformats.org/package/2006/relationships"><Relationship Type="http://schemas.openxmlformats.org/officeDocument/2006/relationships/drawing" Target="/xl/drawings/drawing2.xml" Id="rId1" /></Relationships>
</file>

<file path=xl/worksheets/_rels/sheet25.xml.rels><Relationships xmlns="http://schemas.openxmlformats.org/package/2006/relationships"><Relationship Type="http://schemas.openxmlformats.org/officeDocument/2006/relationships/drawing" Target="/xl/drawings/drawing3.xml" Id="rId1" /></Relationships>
</file>

<file path=xl/worksheets/_rels/sheet26.xml.rels><Relationships xmlns="http://schemas.openxmlformats.org/package/2006/relationships"><Relationship Type="http://schemas.openxmlformats.org/officeDocument/2006/relationships/drawing" Target="/xl/drawings/drawing4.xml" Id="rId1" /></Relationships>
</file>

<file path=xl/worksheets/_rels/sheet27.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L35"/>
  <sheetViews>
    <sheetView showGridLines="0" workbookViewId="0">
      <selection activeCell="A1" sqref="A1"/>
    </sheetView>
  </sheetViews>
  <sheetFormatPr baseColWidth="8" defaultRowHeight="15"/>
  <cols>
    <col width="7.78000020980835" customWidth="1" style="242" min="1" max="1"/>
    <col width="53.33000183105469" customWidth="1" style="242" min="2" max="2"/>
    <col width="28.88999938964844" customWidth="1" style="242" min="3" max="3"/>
    <col width="11.10999965667725" customWidth="1" style="242" min="4" max="4"/>
    <col width="11.10999965667725" customWidth="1" style="242" min="5" max="5"/>
    <col width="11.10999965667725" customWidth="1" style="242" min="6" max="6"/>
    <col width="11.10999965667725" customWidth="1" style="242" min="7" max="7"/>
    <col width="11.10999965667725" customWidth="1" style="242" min="8" max="8"/>
    <col width="11.10999965667725" customWidth="1" style="242" min="9" max="9"/>
    <col width="11.10999965667725" customWidth="1" style="242" min="10" max="10"/>
    <col width="11.10999965667725" customWidth="1" style="242" min="11" max="11"/>
    <col width="11.10999965667725" customWidth="1" style="242" min="12" max="12"/>
  </cols>
  <sheetData>
    <row r="1" ht="27" customHeight="1" s="242">
      <c r="A1" s="244" t="inlineStr">
        <is>
          <t>Guided IT Cyber Risk Quantification — v1.1.1</t>
        </is>
      </c>
    </row>
    <row r="2" ht="34" customHeight="1" s="242">
      <c r="A2" s="247" t="inlineStr">
        <is>
          <t>Organisation-level IT-CRQ model with modular, pack-driven workbook geometry.</t>
        </is>
      </c>
    </row>
    <row r="4">
      <c r="A4" s="249" t="inlineStr">
        <is>
          <t>SHEET TYPE: MODEL DOCUMENTATION</t>
        </is>
      </c>
    </row>
    <row r="6">
      <c r="A6" s="251" t="inlineStr">
        <is>
          <t>Purpose</t>
        </is>
      </c>
    </row>
    <row r="7" ht="30" customHeight="1" s="242">
      <c r="A7" s="252" t="inlineStr">
        <is>
          <t>Quantify annual financial loss for an organisation across four actors, four loss scenarios and six composite attack routes.</t>
        </is>
      </c>
    </row>
    <row r="9">
      <c r="A9" s="251" t="inlineStr">
        <is>
          <t>Calculation / decision logic</t>
        </is>
      </c>
    </row>
    <row r="10" ht="30" customHeight="1" s="242">
      <c r="A10" s="252" t="inlineStr">
        <is>
          <t>Campaign frequency is separated from conditional attack-path success. Enterprise ATT&amp;CK techniques are filtered by actor, scenario and route; controls adjust stage-through probabilities relative to a reference profile. Scenario losses use transparent P50/P99 impact drivers and a Monte Carlo annual-loss simulation.</t>
        </is>
      </c>
    </row>
    <row r="12">
      <c r="A12" s="251" t="inlineStr">
        <is>
          <t>Outputs / downstream use</t>
        </is>
      </c>
    </row>
    <row r="13" ht="30" customHeight="1" s="242">
      <c r="A13" s="252" t="inlineStr">
        <is>
          <t>AAL, VaR, TVaR, AEP/OEP loss-exceedance curves, actor/scenario decompositions, control what-if reductions and an interactive dashboard suite.</t>
        </is>
      </c>
    </row>
    <row r="15">
      <c r="A15" s="251" t="inlineStr">
        <is>
          <t>Workbook convention</t>
        </is>
      </c>
    </row>
    <row r="16" ht="30" customHeight="1" s="242">
      <c r="A16" s="252" t="inlineStr">
        <is>
          <t>Yellow cells with blue font are editable. Engine results and resolved pack values are not manually editable.</t>
        </is>
      </c>
    </row>
    <row r="20" ht="22" customHeight="1" s="242">
      <c r="A20" s="249" t="inlineStr">
        <is>
          <t>MODEL FLOW</t>
        </is>
      </c>
    </row>
    <row r="21">
      <c r="A21" s="272" t="inlineStr">
        <is>
          <t>1</t>
        </is>
      </c>
      <c r="B21" s="273" t="inlineStr">
        <is>
          <t>Select sector and organisation inputs</t>
        </is>
      </c>
      <c r="C21" s="274" t="inlineStr">
        <is>
          <t>03 Organisation Inputs</t>
        </is>
      </c>
    </row>
    <row r="22">
      <c r="A22" s="275" t="inlineStr">
        <is>
          <t>2</t>
        </is>
      </c>
      <c r="B22" s="276" t="inlineStr">
        <is>
          <t>Choose whether to apply IT Exposure Adjustment Model recommendations</t>
        </is>
      </c>
      <c r="C22" s="277" t="inlineStr">
        <is>
          <t>03 and 04</t>
        </is>
      </c>
    </row>
    <row r="23">
      <c r="A23" s="275" t="inlineStr">
        <is>
          <t>3</t>
        </is>
      </c>
      <c r="B23" s="276" t="inlineStr">
        <is>
          <t>Assess NIST CSF 2.0-aligned control families</t>
        </is>
      </c>
      <c r="C23" s="277" t="inlineStr">
        <is>
          <t>05 Control Assessment</t>
        </is>
      </c>
    </row>
    <row r="24">
      <c r="A24" s="275" t="inlineStr">
        <is>
          <t>4</t>
        </is>
      </c>
      <c r="B24" s="276" t="inlineStr">
        <is>
          <t>Review organisation-scale impact inputs and pack-derived BIA drivers</t>
        </is>
      </c>
      <c r="C24" s="277" t="inlineStr">
        <is>
          <t>06 Impact and BIA</t>
        </is>
      </c>
    </row>
    <row r="25">
      <c r="A25" s="275" t="inlineStr">
        <is>
          <t>5</t>
        </is>
      </c>
      <c r="B25" s="276" t="inlineStr">
        <is>
          <t>Python loads and validates the selected sector-pack workbook</t>
        </is>
      </c>
      <c r="C25" s="277" t="inlineStr">
        <is>
          <t>09 Sector Pack Registry</t>
        </is>
      </c>
    </row>
    <row r="26">
      <c r="A26" s="275" t="inlineStr">
        <is>
          <t>6</t>
        </is>
      </c>
      <c r="B26" s="276" t="inlineStr">
        <is>
          <t>Engine evaluates actor × scenario × route × TTP relevance and composite stages</t>
        </is>
      </c>
      <c r="C26" s="277" t="inlineStr">
        <is>
          <t>10–12</t>
        </is>
      </c>
    </row>
    <row r="27">
      <c r="A27" s="275" t="inlineStr">
        <is>
          <t>7</t>
        </is>
      </c>
      <c r="B27" s="276" t="inlineStr">
        <is>
          <t>Engine simulates annual aggregate and occurrence losses</t>
        </is>
      </c>
      <c r="C27" s="277" t="inlineStr">
        <is>
          <t>13–19</t>
        </is>
      </c>
    </row>
    <row r="28">
      <c r="A28" s="278" t="inlineStr">
        <is>
          <t>8</t>
        </is>
      </c>
      <c r="B28" s="279" t="inlineStr">
        <is>
          <t>Review interactive dashboards, executive results, curves, what-ifs and validation</t>
        </is>
      </c>
      <c r="C28" s="280" t="inlineStr">
        <is>
          <t>00 Dashboard suite; 02, 15–22</t>
        </is>
      </c>
    </row>
    <row r="30" ht="22" customHeight="1" s="242">
      <c r="A30" s="282" t="inlineStr">
        <is>
          <t>IMPORTANT LIMITATIONS</t>
        </is>
      </c>
    </row>
    <row r="31" ht="39" customHeight="1" s="242">
      <c r="A31" s="423" t="inlineStr">
        <is>
          <t>Frequency and sector calibration values are development working priors and require approval before external reliance.</t>
        </is>
      </c>
      <c r="B31" s="438" t="n"/>
      <c r="C31" s="438" t="n"/>
      <c r="D31" s="438" t="n"/>
      <c r="E31" s="438" t="n"/>
      <c r="F31" s="438" t="n"/>
      <c r="G31" s="438" t="n"/>
      <c r="H31" s="438" t="n"/>
      <c r="I31" s="438" t="n"/>
      <c r="J31" s="438" t="n"/>
      <c r="K31" s="438" t="n"/>
      <c r="L31" s="439" t="n"/>
    </row>
    <row r="32" ht="31.5" customHeight="1" s="242">
      <c r="A32" s="429" t="inlineStr">
        <is>
          <t>The model excludes pure intellectual-property theft as a loss scenario.</t>
        </is>
      </c>
      <c r="B32" s="440" t="n"/>
      <c r="C32" s="440" t="n"/>
      <c r="D32" s="440" t="n"/>
      <c r="E32" s="440" t="n"/>
      <c r="F32" s="440" t="n"/>
      <c r="G32" s="440" t="n"/>
      <c r="H32" s="440" t="n"/>
      <c r="I32" s="440" t="n"/>
      <c r="J32" s="440" t="n"/>
      <c r="K32" s="440" t="n"/>
      <c r="L32" s="441" t="n"/>
    </row>
    <row r="33" ht="40.5" customHeight="1" s="242">
      <c r="A33" s="429" t="inlineStr">
        <is>
          <t>Ransomware, DDoS, phishing, account takeover and supply-chain compromise are mechanisms/routes, not separate financial-loss scenarios.</t>
        </is>
      </c>
      <c r="B33" s="440" t="n"/>
      <c r="C33" s="440" t="n"/>
      <c r="D33" s="440" t="n"/>
      <c r="E33" s="440" t="n"/>
      <c r="F33" s="440" t="n"/>
      <c r="G33" s="440" t="n"/>
      <c r="H33" s="440" t="n"/>
      <c r="I33" s="440" t="n"/>
      <c r="J33" s="440" t="n"/>
      <c r="K33" s="440" t="n"/>
      <c r="L33" s="441" t="n"/>
    </row>
    <row r="34" ht="36" customHeight="1" s="242">
      <c r="A34" s="429" t="inlineStr">
        <is>
          <t>When the exposure-adjustment switch is No, all exposure-model factors are neutral; organisation route-applicability inputs still apply.</t>
        </is>
      </c>
      <c r="B34" s="440" t="n"/>
      <c r="C34" s="440" t="n"/>
      <c r="D34" s="440" t="n"/>
      <c r="E34" s="440" t="n"/>
      <c r="F34" s="440" t="n"/>
      <c r="G34" s="440" t="n"/>
      <c r="H34" s="440" t="n"/>
      <c r="I34" s="440" t="n"/>
      <c r="J34" s="440" t="n"/>
      <c r="K34" s="440" t="n"/>
      <c r="L34" s="441" t="n"/>
    </row>
    <row r="35" ht="43.5" customHeight="1" s="242">
      <c r="A35" s="435" t="inlineStr">
        <is>
          <t>Asset and vulnerability records are not ingested by this CRQ workbook. A separate evidence model recommends governed route/stage factors for sheet 04.</t>
        </is>
      </c>
      <c r="B35" s="442" t="n"/>
      <c r="C35" s="442" t="n"/>
      <c r="D35" s="442" t="n"/>
      <c r="E35" s="442" t="n"/>
      <c r="F35" s="442" t="n"/>
      <c r="G35" s="442" t="n"/>
      <c r="H35" s="442" t="n"/>
      <c r="I35" s="442" t="n"/>
      <c r="J35" s="442" t="n"/>
      <c r="K35" s="442" t="n"/>
      <c r="L35" s="443" t="n"/>
    </row>
  </sheetData>
  <mergeCells count="18">
    <mergeCell ref="A20:L20"/>
    <mergeCell ref="A30:L30"/>
    <mergeCell ref="A2:L2"/>
    <mergeCell ref="A16:L16"/>
    <mergeCell ref="A15:L15"/>
    <mergeCell ref="A7:L7"/>
    <mergeCell ref="A10:L10"/>
    <mergeCell ref="A12:L12"/>
    <mergeCell ref="A33:L33"/>
    <mergeCell ref="A1:L1"/>
    <mergeCell ref="A32:L32"/>
    <mergeCell ref="A13:L13"/>
    <mergeCell ref="A31:L31"/>
    <mergeCell ref="A6:L6"/>
    <mergeCell ref="A9:L9"/>
    <mergeCell ref="A34:L34"/>
    <mergeCell ref="A35:L35"/>
    <mergeCell ref="A4:L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48"/>
  <sheetViews>
    <sheetView showGridLines="0" workbookViewId="0">
      <selection activeCell="A1" sqref="A1"/>
    </sheetView>
  </sheetViews>
  <sheetFormatPr baseColWidth="8" defaultRowHeight="15"/>
  <cols>
    <col width="27.78000068664551" customWidth="1" style="242" min="1" max="1"/>
    <col width="14.4399995803833" customWidth="1" style="242" min="2" max="2"/>
    <col width="14.4399995803833" customWidth="1" style="242" min="3" max="3"/>
    <col width="47.77999877929688" customWidth="1" style="242" min="4" max="4"/>
    <col width="13.32999992370605" customWidth="1" style="242" min="5" max="5"/>
    <col width="13.32999992370605" customWidth="1" style="242" min="6" max="6"/>
    <col width="11.67000007629395" customWidth="1" style="242" min="7" max="7"/>
    <col width="11.67000007629395" customWidth="1" style="242" min="8" max="8"/>
    <col width="11.67000007629395" customWidth="1" style="242" min="9" max="9"/>
    <col width="11.67000007629395" customWidth="1" style="242" min="10" max="10"/>
  </cols>
  <sheetData>
    <row r="1" ht="27" customHeight="1" s="242">
      <c r="A1" s="284" t="inlineStr">
        <is>
          <t>02 — Executive Risk Summary</t>
        </is>
      </c>
    </row>
    <row r="2" ht="34" customHeight="1" s="242">
      <c r="A2" s="247" t="inlineStr">
        <is>
          <t>Python-populated organisation-level risk metrics, decompositions and run context.</t>
        </is>
      </c>
    </row>
    <row r="5" ht="22" customHeight="1" s="242">
      <c r="A5" s="285" t="inlineStr">
        <is>
          <t>FINANCIAL RISK</t>
        </is>
      </c>
    </row>
    <row r="6">
      <c r="A6" s="292" t="inlineStr">
        <is>
          <t>Metric</t>
        </is>
      </c>
      <c r="B6" s="293" t="inlineStr">
        <is>
          <t>Best Estimate</t>
        </is>
      </c>
      <c r="C6" s="293" t="inlineStr">
        <is>
          <t>Prudent</t>
        </is>
      </c>
      <c r="D6" s="294" t="inlineStr">
        <is>
          <t>Meaning</t>
        </is>
      </c>
    </row>
    <row r="7">
      <c r="A7" s="272" t="inlineStr">
        <is>
          <t>AAL</t>
        </is>
      </c>
      <c r="B7" s="295" t="n">
        <v>1059877.254455533</v>
      </c>
      <c r="C7" s="295" t="n">
        <v>1311679.360640564</v>
      </c>
      <c r="D7" s="274" t="inlineStr">
        <is>
          <t>Mean annual aggregate financial loss.</t>
        </is>
      </c>
    </row>
    <row r="8">
      <c r="A8" s="275" t="inlineStr">
        <is>
          <t>VaR 95%</t>
        </is>
      </c>
      <c r="B8" s="296" t="n">
        <v>5487402.480652438</v>
      </c>
      <c r="C8" s="296" t="n">
        <v>7125947.960562246</v>
      </c>
      <c r="D8" s="277" t="inlineStr">
        <is>
          <t>95th percentile annual aggregate loss.</t>
        </is>
      </c>
    </row>
    <row r="9">
      <c r="A9" s="275" t="inlineStr">
        <is>
          <t>TVaR 95%</t>
        </is>
      </c>
      <c r="B9" s="296" t="n">
        <v>18021076.13779292</v>
      </c>
      <c r="C9" s="296" t="n">
        <v>20885314.89666507</v>
      </c>
      <c r="D9" s="277" t="inlineStr">
        <is>
          <t>Mean annual loss in the worst 5% of years.</t>
        </is>
      </c>
    </row>
    <row r="10">
      <c r="A10" s="275" t="inlineStr">
        <is>
          <t>VaR 99%</t>
        </is>
      </c>
      <c r="B10" s="296" t="n">
        <v>22824448.16996593</v>
      </c>
      <c r="C10" s="296" t="n">
        <v>26218158.96702391</v>
      </c>
      <c r="D10" s="277" t="inlineStr">
        <is>
          <t>99th percentile annual aggregate loss.</t>
        </is>
      </c>
    </row>
    <row r="11">
      <c r="A11" s="275" t="inlineStr">
        <is>
          <t>TVaR 99%</t>
        </is>
      </c>
      <c r="B11" s="296" t="n">
        <v>46179340.41586891</v>
      </c>
      <c r="C11" s="296" t="n">
        <v>51675144.84348448</v>
      </c>
      <c r="D11" s="277" t="inlineStr">
        <is>
          <t>Mean annual loss in the worst 1% of years.</t>
        </is>
      </c>
    </row>
    <row r="12">
      <c r="A12" s="275" t="inlineStr">
        <is>
          <t>Selected TVaR</t>
        </is>
      </c>
      <c r="B12" s="296" t="n">
        <v>46179340.41586891</v>
      </c>
      <c r="C12" s="296" t="n">
        <v>51675144.84348448</v>
      </c>
      <c r="D12" s="277" t="inlineStr">
        <is>
          <t>Tail metric selected on 08.</t>
        </is>
      </c>
    </row>
    <row r="13">
      <c r="A13" s="275" t="inlineStr">
        <is>
          <t>Insurance retention</t>
        </is>
      </c>
      <c r="B13" s="296" t="n">
        <v>0</v>
      </c>
      <c r="C13" s="296" t="n">
        <v>0</v>
      </c>
      <c r="D13" s="277" t="inlineStr">
        <is>
          <t>Organisation-selected retention.</t>
        </is>
      </c>
    </row>
    <row r="14">
      <c r="A14" s="278" t="inlineStr">
        <is>
          <t>Tail loss above retention</t>
        </is>
      </c>
      <c r="B14" s="297" t="n">
        <v>46179340.41586891</v>
      </c>
      <c r="C14" s="297" t="n">
        <v>51675144.84348448</v>
      </c>
      <c r="D14" s="280" t="inlineStr">
        <is>
          <t>Selected TVaR less retention, floored at zero.</t>
        </is>
      </c>
    </row>
    <row r="16" ht="22" customHeight="1" s="242">
      <c r="A16" s="285" t="inlineStr">
        <is>
          <t>EVENT AND RUN CONTEXT</t>
        </is>
      </c>
    </row>
    <row r="17">
      <c r="A17" s="292" t="inlineStr">
        <is>
          <t>Metric</t>
        </is>
      </c>
      <c r="B17" s="293" t="inlineStr">
        <is>
          <t>Best Estimate</t>
        </is>
      </c>
      <c r="C17" s="293" t="inlineStr">
        <is>
          <t>Prudent</t>
        </is>
      </c>
      <c r="D17" s="294" t="inlineStr">
        <is>
          <t>Meaning</t>
        </is>
      </c>
    </row>
    <row r="18">
      <c r="A18" s="272" t="inlineStr">
        <is>
          <t>P(any successful event)</t>
        </is>
      </c>
      <c r="B18" s="273" t="n">
        <v>0.114878</v>
      </c>
      <c r="C18" s="273" t="n">
        <v>0.140772</v>
      </c>
      <c r="D18" s="274" t="n"/>
    </row>
    <row r="19">
      <c r="A19" s="275" t="inlineStr">
        <is>
          <t>Successful events / year</t>
        </is>
      </c>
      <c r="B19" s="276" t="n">
        <v>0.1209438605701399</v>
      </c>
      <c r="C19" s="276" t="n">
        <v>0.1511798257126749</v>
      </c>
      <c r="D19" s="277" t="n"/>
    </row>
    <row r="20">
      <c r="A20" s="275" t="inlineStr">
        <is>
          <t>Material campaigns / year</t>
        </is>
      </c>
      <c r="B20" s="276" t="n">
        <v>1</v>
      </c>
      <c r="C20" s="276" t="n">
        <v>1.25</v>
      </c>
      <c r="D20" s="277" t="n"/>
    </row>
    <row r="21">
      <c r="A21" s="275" t="inlineStr">
        <is>
          <t>Use exposure adjustments?</t>
        </is>
      </c>
      <c r="B21" s="276" t="inlineStr">
        <is>
          <t>No</t>
        </is>
      </c>
      <c r="C21" s="276" t="inlineStr">
        <is>
          <t>No</t>
        </is>
      </c>
      <c r="D21" s="277" t="n"/>
    </row>
    <row r="22">
      <c r="A22" s="275" t="inlineStr">
        <is>
          <t>Sector</t>
        </is>
      </c>
      <c r="B22" s="276" t="inlineStr">
        <is>
          <t>Financial Services</t>
        </is>
      </c>
      <c r="C22" s="276" t="inlineStr">
        <is>
          <t>Financial Services</t>
        </is>
      </c>
      <c r="D22" s="277" t="n"/>
    </row>
    <row r="23">
      <c r="A23" s="275" t="inlineStr">
        <is>
          <t>Resolved pack ID</t>
        </is>
      </c>
      <c r="B23" s="276" t="inlineStr">
        <is>
          <t>FS-v1.1.1</t>
        </is>
      </c>
      <c r="C23" s="276" t="inlineStr">
        <is>
          <t>FS-v1.1.1</t>
        </is>
      </c>
      <c r="D23" s="277" t="n"/>
    </row>
    <row r="24">
      <c r="A24" s="275" t="inlineStr">
        <is>
          <t>Pack status</t>
        </is>
      </c>
      <c r="B24" s="276" t="inlineStr">
        <is>
          <t>Development — working priors; calibration required</t>
        </is>
      </c>
      <c r="C24" s="276" t="inlineStr">
        <is>
          <t>Development — working priors; calibration required</t>
        </is>
      </c>
      <c r="D24" s="277" t="n"/>
    </row>
    <row r="25">
      <c r="A25" s="275" t="inlineStr">
        <is>
          <t>Simulation years</t>
        </is>
      </c>
      <c r="B25" s="276" t="n">
        <v>500000</v>
      </c>
      <c r="C25" s="276" t="n">
        <v>500000</v>
      </c>
      <c r="D25" s="277" t="n"/>
    </row>
    <row r="26">
      <c r="A26" s="278" t="inlineStr">
        <is>
          <t>Last run</t>
        </is>
      </c>
      <c r="B26" s="279" t="inlineStr">
        <is>
          <t>2026-08-21 10:19 UTC</t>
        </is>
      </c>
      <c r="C26" s="279" t="inlineStr">
        <is>
          <t>2026-08-21 10:19 UTC</t>
        </is>
      </c>
      <c r="D26" s="280" t="n"/>
    </row>
    <row r="28" ht="22" customHeight="1" s="242">
      <c r="A28" s="285" t="inlineStr">
        <is>
          <t>THREAT-ACTOR DECOMPOSITION</t>
        </is>
      </c>
    </row>
    <row r="29">
      <c r="A29" s="292" t="inlineStr">
        <is>
          <t>Threat actor</t>
        </is>
      </c>
      <c r="B29" s="293" t="inlineStr">
        <is>
          <t>AAL</t>
        </is>
      </c>
      <c r="C29" s="293" t="inlineStr">
        <is>
          <t>Attempts / yr</t>
        </is>
      </c>
      <c r="D29" s="293" t="inlineStr">
        <is>
          <t>Events / yr</t>
        </is>
      </c>
      <c r="E29" s="293" t="inlineStr">
        <is>
          <t>P(success)</t>
        </is>
      </c>
      <c r="F29" s="293" t="inlineStr">
        <is>
          <t>AAL share</t>
        </is>
      </c>
      <c r="G29" s="293" t="inlineStr">
        <is>
          <t>1-in-20 AEP</t>
        </is>
      </c>
      <c r="H29" s="294" t="inlineStr">
        <is>
          <t>1-in-100 AEP</t>
        </is>
      </c>
    </row>
    <row r="30">
      <c r="A30" s="272" t="inlineStr">
        <is>
          <t>Nation-state</t>
        </is>
      </c>
      <c r="B30" s="298" t="n">
        <v>119201.1446964419</v>
      </c>
      <c r="C30" s="301" t="n">
        <v>0.15</v>
      </c>
      <c r="D30" s="301" t="n">
        <v>0.01363250901961794</v>
      </c>
      <c r="E30" s="304" t="n">
        <v>0.09088339346411957</v>
      </c>
      <c r="F30" s="304" t="n">
        <v>0.09087674036300274</v>
      </c>
      <c r="G30" s="298" t="n">
        <v>0</v>
      </c>
      <c r="H30" s="307" t="n">
        <v>2412035.617793122</v>
      </c>
    </row>
    <row r="31">
      <c r="A31" s="275" t="inlineStr">
        <is>
          <t>Cybercriminal</t>
        </is>
      </c>
      <c r="B31" s="299" t="n">
        <v>651035.5348534692</v>
      </c>
      <c r="C31" s="302" t="n">
        <v>0.8500000000000001</v>
      </c>
      <c r="D31" s="302" t="n">
        <v>0.07670219102501317</v>
      </c>
      <c r="E31" s="305" t="n">
        <v>0.09023787179413313</v>
      </c>
      <c r="F31" s="305" t="n">
        <v>0.4963374086602488</v>
      </c>
      <c r="G31" s="299" t="n">
        <v>2309382.945993542</v>
      </c>
      <c r="H31" s="308" t="n">
        <v>16138274.54115757</v>
      </c>
    </row>
    <row r="32">
      <c r="A32" s="275" t="inlineStr">
        <is>
          <t>Malicious insider</t>
        </is>
      </c>
      <c r="B32" s="299" t="n">
        <v>301385.8387835206</v>
      </c>
      <c r="C32" s="302" t="n">
        <v>0.125</v>
      </c>
      <c r="D32" s="302" t="n">
        <v>0.03627994304049179</v>
      </c>
      <c r="E32" s="305" t="n">
        <v>0.2902395443239343</v>
      </c>
      <c r="F32" s="305" t="n">
        <v>0.2297709698171493</v>
      </c>
      <c r="G32" s="299" t="n">
        <v>0</v>
      </c>
      <c r="H32" s="308" t="n">
        <v>8325961.937160157</v>
      </c>
    </row>
    <row r="33">
      <c r="A33" s="278" t="inlineStr">
        <is>
          <t>Hacktivist</t>
        </is>
      </c>
      <c r="B33" s="300" t="n">
        <v>240056.8423071318</v>
      </c>
      <c r="C33" s="303" t="n">
        <v>0.125</v>
      </c>
      <c r="D33" s="303" t="n">
        <v>0.024565182627552</v>
      </c>
      <c r="E33" s="306" t="n">
        <v>0.1965214610204159</v>
      </c>
      <c r="F33" s="306" t="n">
        <v>0.1830148811595992</v>
      </c>
      <c r="G33" s="300" t="n">
        <v>0</v>
      </c>
      <c r="H33" s="309" t="n">
        <v>6353896.742187921</v>
      </c>
    </row>
    <row r="35" ht="22" customHeight="1" s="242">
      <c r="A35" s="285" t="inlineStr">
        <is>
          <t>SCENARIO DECOMPOSITION</t>
        </is>
      </c>
    </row>
    <row r="36">
      <c r="A36" s="292" t="inlineStr">
        <is>
          <t>Scenario</t>
        </is>
      </c>
      <c r="B36" s="293" t="inlineStr">
        <is>
          <t>AAL</t>
        </is>
      </c>
      <c r="C36" s="293" t="inlineStr">
        <is>
          <t>Attempts / yr</t>
        </is>
      </c>
      <c r="D36" s="293" t="inlineStr">
        <is>
          <t>Events / yr</t>
        </is>
      </c>
      <c r="E36" s="293" t="inlineStr">
        <is>
          <t>P(success)</t>
        </is>
      </c>
      <c r="F36" s="293" t="inlineStr">
        <is>
          <t>AAL share</t>
        </is>
      </c>
      <c r="G36" s="293" t="inlineStr">
        <is>
          <t>1-in-20 AEP</t>
        </is>
      </c>
      <c r="H36" s="294" t="inlineStr">
        <is>
          <t>1-in-100 AEP</t>
        </is>
      </c>
    </row>
    <row r="37">
      <c r="A37" s="272" t="inlineStr">
        <is>
          <t>Critical business-service disruption</t>
        </is>
      </c>
      <c r="B37" s="298" t="n">
        <v>575998.2123608057</v>
      </c>
      <c r="C37" s="301" t="n">
        <v>0.4112500000000001</v>
      </c>
      <c r="D37" s="301" t="n">
        <v>0.05175330590972895</v>
      </c>
      <c r="E37" s="304" t="n">
        <v>0.1258439049476692</v>
      </c>
      <c r="F37" s="304" t="n">
        <v>0.4391303466721584</v>
      </c>
      <c r="G37" s="298" t="n">
        <v>421378.5425899314</v>
      </c>
      <c r="H37" s="307" t="n">
        <v>15039968.980985</v>
      </c>
    </row>
    <row r="38">
      <c r="A38" s="275" t="inlineStr">
        <is>
          <t>Sensitive-data compromise</t>
        </is>
      </c>
      <c r="B38" s="299" t="n">
        <v>292163.9879803411</v>
      </c>
      <c r="C38" s="302" t="n">
        <v>0.32125</v>
      </c>
      <c r="D38" s="302" t="n">
        <v>0.0257816506642052</v>
      </c>
      <c r="E38" s="305" t="n">
        <v>0.08025416549168933</v>
      </c>
      <c r="F38" s="305" t="n">
        <v>0.2227404019208335</v>
      </c>
      <c r="G38" s="299" t="n">
        <v>0</v>
      </c>
      <c r="H38" s="308" t="n">
        <v>8461016.095281372</v>
      </c>
    </row>
    <row r="39">
      <c r="A39" s="275" t="inlineStr">
        <is>
          <t>Data or transaction-integrity compromise</t>
        </is>
      </c>
      <c r="B39" s="299" t="n">
        <v>183681.8782473958</v>
      </c>
      <c r="C39" s="302" t="n">
        <v>0.17125</v>
      </c>
      <c r="D39" s="302" t="n">
        <v>0.01978966204504157</v>
      </c>
      <c r="E39" s="305" t="n">
        <v>0.1155600703360092</v>
      </c>
      <c r="F39" s="305" t="n">
        <v>0.1400356548704815</v>
      </c>
      <c r="G39" s="299" t="n">
        <v>0</v>
      </c>
      <c r="H39" s="308" t="n">
        <v>5108821.525497334</v>
      </c>
    </row>
    <row r="40">
      <c r="A40" s="278" t="inlineStr">
        <is>
          <t>Cyber-enabled theft or fraud</t>
        </is>
      </c>
      <c r="B40" s="300" t="n">
        <v>259835.2820520208</v>
      </c>
      <c r="C40" s="303" t="n">
        <v>0.34625</v>
      </c>
      <c r="D40" s="303" t="n">
        <v>0.05385520709369917</v>
      </c>
      <c r="E40" s="306" t="n">
        <v>0.1555385042417305</v>
      </c>
      <c r="F40" s="306" t="n">
        <v>0.1980935965365265</v>
      </c>
      <c r="G40" s="300" t="n">
        <v>355893.8290772875</v>
      </c>
      <c r="H40" s="309" t="n">
        <v>6844977.241671136</v>
      </c>
    </row>
    <row r="42" ht="22" customHeight="1" s="242">
      <c r="A42" s="285" t="inlineStr">
        <is>
          <t>TOP CONTROL WHAT-IFS</t>
        </is>
      </c>
    </row>
    <row r="43">
      <c r="A43" s="292" t="inlineStr">
        <is>
          <t>Control</t>
        </is>
      </c>
      <c r="B43" s="293" t="inlineStr">
        <is>
          <t>Current maturity</t>
        </is>
      </c>
      <c r="C43" s="293" t="inlineStr">
        <is>
          <t>What-if maturity</t>
        </is>
      </c>
      <c r="D43" s="293" t="inlineStr">
        <is>
          <t>Current AAL</t>
        </is>
      </c>
      <c r="E43" s="293" t="inlineStr">
        <is>
          <t>What-if AAL</t>
        </is>
      </c>
      <c r="F43" s="294" t="inlineStr">
        <is>
          <t>AAL reduction</t>
        </is>
      </c>
    </row>
    <row r="44">
      <c r="A44" s="272" t="inlineStr">
        <is>
          <t>Privileged access management</t>
        </is>
      </c>
      <c r="B44" s="273" t="inlineStr">
        <is>
          <t>Developing</t>
        </is>
      </c>
      <c r="C44" s="273" t="inlineStr">
        <is>
          <t>Managed</t>
        </is>
      </c>
      <c r="D44" s="298" t="n">
        <v>1308717.568109714</v>
      </c>
      <c r="E44" s="298" t="n">
        <v>1200150.233771676</v>
      </c>
      <c r="F44" s="307" t="n">
        <v>108567.3343380382</v>
      </c>
    </row>
    <row r="45">
      <c r="A45" s="275" t="inlineStr">
        <is>
          <t>DDoS protection and service resilience</t>
        </is>
      </c>
      <c r="B45" s="276" t="inlineStr">
        <is>
          <t>Developing</t>
        </is>
      </c>
      <c r="C45" s="276" t="inlineStr">
        <is>
          <t>Managed</t>
        </is>
      </c>
      <c r="D45" s="299" t="n">
        <v>1308717.568109714</v>
      </c>
      <c r="E45" s="299" t="n">
        <v>1214101.664743152</v>
      </c>
      <c r="F45" s="308" t="n">
        <v>94615.90336656268</v>
      </c>
    </row>
    <row r="46">
      <c r="A46" s="275" t="inlineStr">
        <is>
          <t>Payment and fraud controls</t>
        </is>
      </c>
      <c r="B46" s="276" t="inlineStr">
        <is>
          <t>Developing</t>
        </is>
      </c>
      <c r="C46" s="276" t="inlineStr">
        <is>
          <t>Managed</t>
        </is>
      </c>
      <c r="D46" s="299" t="n">
        <v>1308717.568109714</v>
      </c>
      <c r="E46" s="299" t="n">
        <v>1228605.390562024</v>
      </c>
      <c r="F46" s="308" t="n">
        <v>80112.17754769069</v>
      </c>
    </row>
    <row r="47">
      <c r="A47" s="275" t="inlineStr">
        <is>
          <t>Data protection and DLP</t>
        </is>
      </c>
      <c r="B47" s="276" t="inlineStr">
        <is>
          <t>Developing</t>
        </is>
      </c>
      <c r="C47" s="276" t="inlineStr">
        <is>
          <t>Managed</t>
        </is>
      </c>
      <c r="D47" s="299" t="n">
        <v>1308717.568109714</v>
      </c>
      <c r="E47" s="299" t="n">
        <v>1232570.974224569</v>
      </c>
      <c r="F47" s="308" t="n">
        <v>76146.59388514492</v>
      </c>
    </row>
    <row r="48">
      <c r="A48" s="278" t="inlineStr">
        <is>
          <t>Identity, authentication and MFA</t>
        </is>
      </c>
      <c r="B48" s="279" t="inlineStr">
        <is>
          <t>Developing</t>
        </is>
      </c>
      <c r="C48" s="279" t="inlineStr">
        <is>
          <t>Managed</t>
        </is>
      </c>
      <c r="D48" s="300" t="n">
        <v>1308717.568109714</v>
      </c>
      <c r="E48" s="300" t="n">
        <v>1236947.178422538</v>
      </c>
      <c r="F48" s="309" t="n">
        <v>71770.38968717586</v>
      </c>
    </row>
  </sheetData>
  <mergeCells count="7">
    <mergeCell ref="A2:L2"/>
    <mergeCell ref="A16:L16"/>
    <mergeCell ref="A42:L42"/>
    <mergeCell ref="A1:L1"/>
    <mergeCell ref="A28:L28"/>
    <mergeCell ref="A5:L5"/>
    <mergeCell ref="A35:L3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37"/>
  <sheetViews>
    <sheetView showGridLines="0" workbookViewId="0">
      <selection activeCell="A1" sqref="A1"/>
    </sheetView>
  </sheetViews>
  <sheetFormatPr baseColWidth="8" defaultRowHeight="15"/>
  <cols>
    <col width="24.44000053405762" customWidth="1" style="242" min="1" max="1"/>
    <col width="30" customWidth="1" style="242" min="2" max="2"/>
    <col width="25.55999946594238" customWidth="1" style="242" min="3" max="3"/>
    <col width="16.67000007629395" customWidth="1" style="242" min="4" max="4"/>
    <col width="40" customWidth="1" style="242" min="5" max="5"/>
    <col width="25.55999946594238" customWidth="1" style="242" min="6" max="6"/>
  </cols>
  <sheetData>
    <row r="1" ht="27" customHeight="1" s="242">
      <c r="A1" s="311" t="inlineStr">
        <is>
          <t>03 — Organisation and Run Inputs</t>
        </is>
      </c>
    </row>
    <row r="2" ht="34" customHeight="1" s="242">
      <c r="A2" s="247" t="inlineStr">
        <is>
          <t>Select the sector, organisation scale and whether upstream IT Exposure Adjustment Model recommendations are applied.</t>
        </is>
      </c>
    </row>
    <row r="15">
      <c r="A15" s="319" t="inlineStr">
        <is>
          <t>Input</t>
        </is>
      </c>
      <c r="B15" s="320" t="inlineStr">
        <is>
          <t>Question</t>
        </is>
      </c>
      <c r="C15" s="320" t="inlineStr">
        <is>
          <t>Value</t>
        </is>
      </c>
      <c r="D15" s="320" t="inlineStr">
        <is>
          <t>Type</t>
        </is>
      </c>
      <c r="E15" s="320" t="inlineStr">
        <is>
          <t>How used</t>
        </is>
      </c>
      <c r="F15" s="321" t="inlineStr">
        <is>
          <t>Basis / evidence</t>
        </is>
      </c>
    </row>
    <row r="16">
      <c r="A16" s="272" t="inlineStr">
        <is>
          <t>ASSESSMENT_ID</t>
        </is>
      </c>
      <c r="B16" s="273" t="inlineStr">
        <is>
          <t>Assessment reference</t>
        </is>
      </c>
      <c r="C16" s="325" t="inlineStr">
        <is>
          <t>IT-CRQ-001</t>
        </is>
      </c>
      <c r="D16" s="273" t="inlineStr">
        <is>
          <t>Text</t>
        </is>
      </c>
      <c r="E16" s="273" t="inlineStr">
        <is>
          <t>Reporting and traceability</t>
        </is>
      </c>
      <c r="F16" s="274" t="inlineStr">
        <is>
          <t>Client</t>
        </is>
      </c>
    </row>
    <row r="17">
      <c r="A17" s="275" t="inlineStr">
        <is>
          <t>ORGANISATION</t>
        </is>
      </c>
      <c r="B17" s="276" t="inlineStr">
        <is>
          <t>Organisation</t>
        </is>
      </c>
      <c r="C17" s="326" t="inlineStr">
        <is>
          <t>Example Financial Institution</t>
        </is>
      </c>
      <c r="D17" s="276" t="inlineStr">
        <is>
          <t>Text</t>
        </is>
      </c>
      <c r="E17" s="276" t="inlineStr">
        <is>
          <t>Organisation-level unit of analysis</t>
        </is>
      </c>
      <c r="F17" s="277" t="inlineStr">
        <is>
          <t>Client</t>
        </is>
      </c>
    </row>
    <row r="18">
      <c r="A18" s="275" t="inlineStr">
        <is>
          <t>COUNTRY_REGION</t>
        </is>
      </c>
      <c r="B18" s="276" t="inlineStr">
        <is>
          <t>Country / region</t>
        </is>
      </c>
      <c r="C18" s="326" t="inlineStr">
        <is>
          <t>UAE / GCC</t>
        </is>
      </c>
      <c r="D18" s="276" t="inlineStr">
        <is>
          <t>Text</t>
        </is>
      </c>
      <c r="E18" s="276" t="inlineStr">
        <is>
          <t>Reporting context; explicit multiplier is on 07</t>
        </is>
      </c>
      <c r="F18" s="277" t="inlineStr">
        <is>
          <t>Client</t>
        </is>
      </c>
    </row>
    <row r="19">
      <c r="A19" s="275" t="inlineStr">
        <is>
          <t>SECTOR</t>
        </is>
      </c>
      <c r="B19" s="276" t="inlineStr">
        <is>
          <t>Sector</t>
        </is>
      </c>
      <c r="C19" s="326" t="inlineStr">
        <is>
          <t>Financial Services</t>
        </is>
      </c>
      <c r="D19" s="276" t="inlineStr">
        <is>
          <t>Dropdown</t>
        </is>
      </c>
      <c r="E19" s="276" t="inlineStr">
        <is>
          <t>Resolves the separate sector-pack workbook</t>
        </is>
      </c>
      <c r="F19" s="277" t="inlineStr">
        <is>
          <t>09 Sector Pack Registry</t>
        </is>
      </c>
    </row>
    <row r="20">
      <c r="A20" s="275" t="inlineStr">
        <is>
          <t>CURRENCY</t>
        </is>
      </c>
      <c r="B20" s="276" t="inlineStr">
        <is>
          <t>Reporting currency</t>
        </is>
      </c>
      <c r="C20" s="326" t="inlineStr">
        <is>
          <t>USD</t>
        </is>
      </c>
      <c r="D20" s="276" t="inlineStr">
        <is>
          <t>Dropdown</t>
        </is>
      </c>
      <c r="E20" s="276" t="inlineStr">
        <is>
          <t>Financial result labels</t>
        </is>
      </c>
      <c r="F20" s="277" t="inlineStr">
        <is>
          <t>Client</t>
        </is>
      </c>
    </row>
    <row r="21">
      <c r="A21" s="275" t="inlineStr">
        <is>
          <t>ANNUAL_REVENUE_AT_RISK</t>
        </is>
      </c>
      <c r="B21" s="276" t="inlineStr">
        <is>
          <t>Annual revenue at risk</t>
        </is>
      </c>
      <c r="C21" s="328" t="n">
        <v>1000000000</v>
      </c>
      <c r="D21" s="276" t="inlineStr">
        <is>
          <t>Currency/year</t>
        </is>
      </c>
      <c r="E21" s="276" t="inlineStr">
        <is>
          <t>Business interruption and revenue-scaled drivers</t>
        </is>
      </c>
      <c r="F21" s="277" t="inlineStr">
        <is>
          <t>Client Finance</t>
        </is>
      </c>
    </row>
    <row r="22">
      <c r="A22" s="275" t="inlineStr">
        <is>
          <t>ANNUAL_PAYMENT_VALUE</t>
        </is>
      </c>
      <c r="B22" s="276" t="inlineStr">
        <is>
          <t>Annual payment / transaction value</t>
        </is>
      </c>
      <c r="C22" s="328" t="n">
        <v>5000000000</v>
      </c>
      <c r="D22" s="276" t="inlineStr">
        <is>
          <t>Currency/year</t>
        </is>
      </c>
      <c r="E22" s="276" t="inlineStr">
        <is>
          <t>Funds-at-risk model for integrity and fraud scenarios</t>
        </is>
      </c>
      <c r="F22" s="277" t="inlineStr">
        <is>
          <t>Client Finance</t>
        </is>
      </c>
    </row>
    <row r="23">
      <c r="A23" s="275" t="inlineStr">
        <is>
          <t>BI_LOSS_FACTOR</t>
        </is>
      </c>
      <c r="B23" s="276" t="inlineStr">
        <is>
          <t>Business-interruption loss factor</t>
        </is>
      </c>
      <c r="C23" s="329" t="n">
        <v>1</v>
      </c>
      <c r="D23" s="276" t="inlineStr">
        <is>
          <t>Percentage</t>
        </is>
      </c>
      <c r="E23" s="276" t="inlineStr">
        <is>
          <t>Share of revenue at risk treated as avoidable loss</t>
        </is>
      </c>
      <c r="F23" s="277" t="inlineStr">
        <is>
          <t>Client Finance</t>
        </is>
      </c>
    </row>
    <row r="24">
      <c r="A24" s="275" t="inlineStr">
        <is>
          <t>EMPLOYEES</t>
        </is>
      </c>
      <c r="B24" s="276" t="inlineStr">
        <is>
          <t>Employees</t>
        </is>
      </c>
      <c r="C24" s="326" t="n">
        <v>10000</v>
      </c>
      <c r="D24" s="276" t="inlineStr">
        <is>
          <t>Count</t>
        </is>
      </c>
      <c r="E24" s="276" t="inlineStr">
        <is>
          <t>Organisation context</t>
        </is>
      </c>
      <c r="F24" s="277" t="inlineStr">
        <is>
          <t>Client</t>
        </is>
      </c>
    </row>
    <row r="25">
      <c r="A25" s="275" t="inlineStr">
        <is>
          <t>CUSTOMERS</t>
        </is>
      </c>
      <c r="B25" s="276" t="inlineStr">
        <is>
          <t>Customers / accounts</t>
        </is>
      </c>
      <c r="C25" s="326" t="n">
        <v>2000000</v>
      </c>
      <c r="D25" s="276" t="inlineStr">
        <is>
          <t>Count</t>
        </is>
      </c>
      <c r="E25" s="276" t="inlineStr">
        <is>
          <t>Potential notification and monitoring scale</t>
        </is>
      </c>
      <c r="F25" s="277" t="inlineStr">
        <is>
          <t>Client</t>
        </is>
      </c>
    </row>
    <row r="26">
      <c r="A26" s="275" t="inlineStr">
        <is>
          <t>SENSITIVE_RECORDS</t>
        </is>
      </c>
      <c r="B26" s="276" t="inlineStr">
        <is>
          <t>Sensitive records</t>
        </is>
      </c>
      <c r="C26" s="326" t="n">
        <v>5000000</v>
      </c>
      <c r="D26" s="276" t="inlineStr">
        <is>
          <t>Count</t>
        </is>
      </c>
      <c r="E26" s="276" t="inlineStr">
        <is>
          <t>Data-compromise scaling</t>
        </is>
      </c>
      <c r="F26" s="277" t="inlineStr">
        <is>
          <t>Client</t>
        </is>
      </c>
    </row>
    <row r="27">
      <c r="A27" s="275" t="inlineStr">
        <is>
          <t>CRITICAL_ENDPOINTS</t>
        </is>
      </c>
      <c r="B27" s="276" t="inlineStr">
        <is>
          <t>Critical endpoints</t>
        </is>
      </c>
      <c r="C27" s="326" t="n">
        <v>5000</v>
      </c>
      <c r="D27" s="276" t="inlineStr">
        <is>
          <t>Count</t>
        </is>
      </c>
      <c r="E27" s="276" t="inlineStr">
        <is>
          <t>Recovery-cost scaling</t>
        </is>
      </c>
      <c r="F27" s="277" t="inlineStr">
        <is>
          <t>Client</t>
        </is>
      </c>
    </row>
    <row r="28">
      <c r="A28" s="275" t="inlineStr">
        <is>
          <t>CRITICAL_SERVERS</t>
        </is>
      </c>
      <c r="B28" s="276" t="inlineStr">
        <is>
          <t>Critical servers / workloads</t>
        </is>
      </c>
      <c r="C28" s="326" t="n">
        <v>500</v>
      </c>
      <c r="D28" s="276" t="inlineStr">
        <is>
          <t>Count</t>
        </is>
      </c>
      <c r="E28" s="276" t="inlineStr">
        <is>
          <t>Recovery-cost scaling</t>
        </is>
      </c>
      <c r="F28" s="277" t="inlineStr">
        <is>
          <t>Client</t>
        </is>
      </c>
    </row>
    <row r="29">
      <c r="A29" s="275" t="inlineStr">
        <is>
          <t>USE_EXPOSURE_MODEL</t>
        </is>
      </c>
      <c r="B29" s="276" t="inlineStr">
        <is>
          <t>Use IT Exposure Adjustment Model inputs?</t>
        </is>
      </c>
      <c r="C29" s="326" t="inlineStr">
        <is>
          <t>No</t>
        </is>
      </c>
      <c r="D29" s="276" t="inlineStr">
        <is>
          <t>Yes / No dropdown</t>
        </is>
      </c>
      <c r="E29" s="276" t="inlineStr">
        <is>
          <t>Controls whether sheet 04 recommendations are applied</t>
        </is>
      </c>
      <c r="F29" s="277" t="inlineStr">
        <is>
          <t>User decision</t>
        </is>
      </c>
    </row>
    <row r="30">
      <c r="A30" s="275" t="inlineStr">
        <is>
          <t>SIMULATION_YEARS</t>
        </is>
      </c>
      <c r="B30" s="276" t="inlineStr">
        <is>
          <t>Monte Carlo organisation-years</t>
        </is>
      </c>
      <c r="C30" s="326" t="n">
        <v>500000</v>
      </c>
      <c r="D30" s="276" t="inlineStr">
        <is>
          <t>Count</t>
        </is>
      </c>
      <c r="E30" s="276" t="inlineStr">
        <is>
          <t>Annual-loss simulation size</t>
        </is>
      </c>
      <c r="F30" s="277" t="inlineStr">
        <is>
          <t>Model setting</t>
        </is>
      </c>
    </row>
    <row r="31">
      <c r="A31" s="278" t="inlineStr">
        <is>
          <t>RANDOM_SEED</t>
        </is>
      </c>
      <c r="B31" s="279" t="inlineStr">
        <is>
          <t>Random seed</t>
        </is>
      </c>
      <c r="C31" s="327" t="n">
        <v>20260821</v>
      </c>
      <c r="D31" s="279" t="inlineStr">
        <is>
          <t>Integer</t>
        </is>
      </c>
      <c r="E31" s="279" t="inlineStr">
        <is>
          <t>Reproducible simulation</t>
        </is>
      </c>
      <c r="F31" s="280" t="inlineStr">
        <is>
          <t>Model setting</t>
        </is>
      </c>
    </row>
    <row r="33" ht="22" customHeight="1" s="242">
      <c r="A33" s="330" t="inlineStr">
        <is>
          <t>RESOLVED SECTOR PACK</t>
        </is>
      </c>
    </row>
    <row r="34">
      <c r="A34" s="272" t="inlineStr">
        <is>
          <t>PACK_ID</t>
        </is>
      </c>
      <c r="B34" s="273" t="inlineStr">
        <is>
          <t>Resolved pack ID</t>
        </is>
      </c>
      <c r="C34" s="273" t="inlineStr">
        <is>
          <t>FS-v1.1.1</t>
        </is>
      </c>
      <c r="D34" s="273" t="inlineStr">
        <is>
          <t>Engine output</t>
        </is>
      </c>
      <c r="E34" s="273" t="inlineStr">
        <is>
          <t>Traceability</t>
        </is>
      </c>
      <c r="F34" s="274" t="inlineStr">
        <is>
          <t>Separate sector-pack workbook</t>
        </is>
      </c>
    </row>
    <row r="35">
      <c r="A35" s="275" t="inlineStr">
        <is>
          <t>PACK_VERSION</t>
        </is>
      </c>
      <c r="B35" s="276" t="inlineStr">
        <is>
          <t>Resolved pack version</t>
        </is>
      </c>
      <c r="C35" s="276" t="inlineStr">
        <is>
          <t>1.1.1</t>
        </is>
      </c>
      <c r="D35" s="276" t="inlineStr">
        <is>
          <t>Engine output</t>
        </is>
      </c>
      <c r="E35" s="276" t="inlineStr">
        <is>
          <t>Compatibility</t>
        </is>
      </c>
      <c r="F35" s="277" t="inlineStr">
        <is>
          <t>Separate sector-pack workbook</t>
        </is>
      </c>
    </row>
    <row r="36">
      <c r="A36" s="275" t="inlineStr">
        <is>
          <t>PACK_STATUS</t>
        </is>
      </c>
      <c r="B36" s="276" t="inlineStr">
        <is>
          <t>Pack calibration status</t>
        </is>
      </c>
      <c r="C36" s="276" t="inlineStr">
        <is>
          <t>Development — working priors; calibration required</t>
        </is>
      </c>
      <c r="D36" s="276" t="inlineStr">
        <is>
          <t>Engine output</t>
        </is>
      </c>
      <c r="E36" s="276" t="inlineStr">
        <is>
          <t>Governance</t>
        </is>
      </c>
      <c r="F36" s="277" t="inlineStr">
        <is>
          <t>Separate sector-pack workbook</t>
        </is>
      </c>
    </row>
    <row r="37">
      <c r="A37" s="278" t="inlineStr">
        <is>
          <t>MODEL_STATUS</t>
        </is>
      </c>
      <c r="B37" s="279" t="inlineStr">
        <is>
          <t>Last validation status</t>
        </is>
      </c>
      <c r="C37" s="279" t="inlineStr">
        <is>
          <t>PASS</t>
        </is>
      </c>
      <c r="D37" s="279" t="inlineStr">
        <is>
          <t>Engine output</t>
        </is>
      </c>
      <c r="E37" s="279" t="inlineStr">
        <is>
          <t>Model governance</t>
        </is>
      </c>
      <c r="F37" s="280" t="inlineStr">
        <is>
          <t>22 Validation Tests</t>
        </is>
      </c>
    </row>
  </sheetData>
  <mergeCells count="3">
    <mergeCell ref="A33:F33"/>
    <mergeCell ref="A2:L2"/>
    <mergeCell ref="A1:L1"/>
  </mergeCells>
  <dataValidations count="3">
    <dataValidation sqref="C19" showDropDown="0" showInputMessage="0" showErrorMessage="0" allowBlank="0" type="list">
      <formula1>'09 Sector Pack Registry'!$A$16:$A$40</formula1>
    </dataValidation>
    <dataValidation sqref="C20" showDropDown="0" showInputMessage="0" showErrorMessage="0" allowBlank="0" type="list">
      <formula1>"USD,GBP,EUR,AED"</formula1>
    </dataValidation>
    <dataValidation sqref="C29" showDropDown="0" showInputMessage="0" showErrorMessage="0" allowBlank="0" type="list">
      <formula1>"Yes,No"</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V115"/>
  <sheetViews>
    <sheetView showGridLines="0" workbookViewId="0">
      <selection activeCell="A1" sqref="A1"/>
    </sheetView>
  </sheetViews>
  <sheetFormatPr baseColWidth="8" defaultRowHeight="15"/>
  <cols>
    <col width="8.890000343322754" customWidth="1" style="242" min="1" max="1"/>
    <col width="27.78000068664551" customWidth="1" style="242" min="2" max="2"/>
    <col width="13.89000034332275" customWidth="1" style="242" min="3" max="3"/>
    <col width="13.89000034332275" customWidth="1" style="242" min="4" max="4"/>
    <col width="11.67000007629395" customWidth="1" style="242" min="5" max="5"/>
    <col width="9.439999580383301" customWidth="1" style="242" min="6" max="6"/>
    <col width="9.439999580383301" customWidth="1" style="242" min="7" max="7"/>
    <col width="9.439999580383301" customWidth="1" style="242" min="8" max="8"/>
    <col width="9.439999580383301" customWidth="1" style="242" min="9" max="9"/>
    <col width="9.439999580383301" customWidth="1" style="242" min="10" max="10"/>
    <col width="10.5600004196167" customWidth="1" style="242" min="11" max="11"/>
    <col width="12.22000026702881" customWidth="1" style="242" min="12" max="12"/>
    <col width="14.4399995803833" customWidth="1" style="242" min="13" max="13"/>
    <col width="12.22000026702881" customWidth="1" style="242" min="14" max="14"/>
    <col width="43.33000183105469" customWidth="1" style="242" min="15" max="15"/>
    <col width="11.67000007629395" customWidth="1" style="242" min="16" max="16"/>
    <col width="9.439999580383301" customWidth="1" style="242" min="17" max="17"/>
    <col width="9.439999580383301" customWidth="1" style="242" min="18" max="18"/>
    <col width="9.439999580383301" customWidth="1" style="242" min="19" max="19"/>
    <col width="9.439999580383301" customWidth="1" style="242" min="20" max="20"/>
    <col width="9.439999580383301" customWidth="1" style="242" min="21" max="21"/>
    <col width="10.5600004196167" customWidth="1" style="242" min="22" max="22"/>
  </cols>
  <sheetData>
    <row r="1" ht="27" customHeight="1" s="242">
      <c r="A1" s="331" t="inlineStr">
        <is>
          <t>04 — IT Exposure Adjustment Inputs</t>
        </is>
      </c>
    </row>
    <row r="2" ht="34" customHeight="1" s="242">
      <c r="A2" s="247" t="inlineStr">
        <is>
          <t>Optional upstream recommendations. The CRQ workbook does not ingest raw asset or vulnerability records.</t>
        </is>
      </c>
    </row>
    <row r="4" ht="34" customHeight="1" s="242">
      <c r="A4" s="334" t="inlineStr">
        <is>
          <t>When USE_EXPOSURE_MODEL = No, model feasibility and all recommended factors are ignored and treated as neutral 1.00. Organisation route applicability remains active in both modes.</t>
        </is>
      </c>
    </row>
    <row r="15">
      <c r="A15" s="341" t="inlineStr">
        <is>
          <t>Route ID</t>
        </is>
      </c>
      <c r="B15" s="342" t="inlineStr">
        <is>
          <t>Attack route</t>
        </is>
      </c>
      <c r="C15" s="342" t="inlineStr">
        <is>
          <t>Organisation applicable?</t>
        </is>
      </c>
      <c r="D15" s="342" t="inlineStr">
        <is>
          <t>Evidence-model feasible?</t>
        </is>
      </c>
      <c r="E15" s="342" t="inlineStr">
        <is>
          <t>Opportunity factor</t>
        </is>
      </c>
      <c r="F15" s="342" t="inlineStr">
        <is>
          <t>S1 factor</t>
        </is>
      </c>
      <c r="G15" s="342" t="inlineStr">
        <is>
          <t>S2 factor</t>
        </is>
      </c>
      <c r="H15" s="342" t="inlineStr">
        <is>
          <t>S3 factor</t>
        </is>
      </c>
      <c r="I15" s="342" t="inlineStr">
        <is>
          <t>S4 factor</t>
        </is>
      </c>
      <c r="J15" s="342" t="inlineStr">
        <is>
          <t>S5 factor</t>
        </is>
      </c>
      <c r="K15" s="342" t="inlineStr">
        <is>
          <t>Impact factor</t>
        </is>
      </c>
      <c r="L15" s="342" t="inlineStr">
        <is>
          <t>Confidence</t>
        </is>
      </c>
      <c r="M15" s="342" t="inlineStr">
        <is>
          <t>Recommendation ID</t>
        </is>
      </c>
      <c r="N15" s="342" t="inlineStr">
        <is>
          <t>Evidence date</t>
        </is>
      </c>
      <c r="O15" s="342" t="inlineStr">
        <is>
          <t>Rationale</t>
        </is>
      </c>
      <c r="P15" s="342" t="inlineStr">
        <is>
          <t>Used opportunity</t>
        </is>
      </c>
      <c r="Q15" s="342" t="inlineStr">
        <is>
          <t>Used S1</t>
        </is>
      </c>
      <c r="R15" s="342" t="inlineStr">
        <is>
          <t>Used S2</t>
        </is>
      </c>
      <c r="S15" s="342" t="inlineStr">
        <is>
          <t>Used S3</t>
        </is>
      </c>
      <c r="T15" s="342" t="inlineStr">
        <is>
          <t>Used S4</t>
        </is>
      </c>
      <c r="U15" s="342" t="inlineStr">
        <is>
          <t>Used S5</t>
        </is>
      </c>
      <c r="V15" s="343" t="inlineStr">
        <is>
          <t>Used impact</t>
        </is>
      </c>
    </row>
    <row r="16">
      <c r="A16" s="272" t="inlineStr">
        <is>
          <t>R_ID</t>
        </is>
      </c>
      <c r="B16" s="273" t="inlineStr">
        <is>
          <t>Identity and credential compromise</t>
        </is>
      </c>
      <c r="C16" s="325" t="inlineStr">
        <is>
          <t>Yes</t>
        </is>
      </c>
      <c r="D16" s="325" t="inlineStr">
        <is>
          <t>Unknown</t>
        </is>
      </c>
      <c r="E16" s="344" t="n">
        <v>1</v>
      </c>
      <c r="F16" s="344" t="n">
        <v>1</v>
      </c>
      <c r="G16" s="344" t="n">
        <v>1</v>
      </c>
      <c r="H16" s="344" t="n">
        <v>1</v>
      </c>
      <c r="I16" s="344" t="n">
        <v>1</v>
      </c>
      <c r="J16" s="344" t="n">
        <v>1</v>
      </c>
      <c r="K16" s="344" t="n">
        <v>1</v>
      </c>
      <c r="L16" s="325" t="inlineStr">
        <is>
          <t>Not assessed</t>
        </is>
      </c>
      <c r="M16" s="325" t="n"/>
      <c r="N16" s="325" t="n"/>
      <c r="O16" s="325" t="inlineStr">
        <is>
          <t>No exposure-model recommendation loaded.</t>
        </is>
      </c>
      <c r="P16" s="346" t="n">
        <v>1</v>
      </c>
      <c r="Q16" s="346" t="n">
        <v>1</v>
      </c>
      <c r="R16" s="346" t="n">
        <v>1</v>
      </c>
      <c r="S16" s="346" t="n">
        <v>1</v>
      </c>
      <c r="T16" s="346" t="n">
        <v>1</v>
      </c>
      <c r="U16" s="346" t="n">
        <v>1</v>
      </c>
      <c r="V16" s="347" t="n">
        <v>1</v>
      </c>
    </row>
    <row r="17">
      <c r="A17" s="272" t="inlineStr">
        <is>
          <t>R_USER</t>
        </is>
      </c>
      <c r="B17" s="273" t="inlineStr">
        <is>
          <t>User endpoint and social engineering</t>
        </is>
      </c>
      <c r="C17" s="325" t="inlineStr">
        <is>
          <t>Yes</t>
        </is>
      </c>
      <c r="D17" s="325" t="inlineStr">
        <is>
          <t>Unknown</t>
        </is>
      </c>
      <c r="E17" s="344" t="n">
        <v>1</v>
      </c>
      <c r="F17" s="344" t="n">
        <v>1</v>
      </c>
      <c r="G17" s="344" t="n">
        <v>1</v>
      </c>
      <c r="H17" s="344" t="n">
        <v>1</v>
      </c>
      <c r="I17" s="344" t="n">
        <v>1</v>
      </c>
      <c r="J17" s="344" t="n">
        <v>1</v>
      </c>
      <c r="K17" s="344" t="n">
        <v>1</v>
      </c>
      <c r="L17" s="325" t="inlineStr">
        <is>
          <t>Not assessed</t>
        </is>
      </c>
      <c r="M17" s="325" t="n"/>
      <c r="N17" s="325" t="n"/>
      <c r="O17" s="325" t="inlineStr">
        <is>
          <t>No exposure-model recommendation loaded.</t>
        </is>
      </c>
      <c r="P17" s="346" t="n">
        <v>1</v>
      </c>
      <c r="Q17" s="346" t="n">
        <v>1</v>
      </c>
      <c r="R17" s="346" t="n">
        <v>1</v>
      </c>
      <c r="S17" s="346" t="n">
        <v>1</v>
      </c>
      <c r="T17" s="346" t="n">
        <v>1</v>
      </c>
      <c r="U17" s="346" t="n">
        <v>1</v>
      </c>
      <c r="V17" s="347" t="n">
        <v>1</v>
      </c>
    </row>
    <row r="18">
      <c r="A18" s="272" t="inlineStr">
        <is>
          <t>R_EXP</t>
        </is>
      </c>
      <c r="B18" s="273" t="inlineStr">
        <is>
          <t>Public-facing application exploitation</t>
        </is>
      </c>
      <c r="C18" s="325" t="inlineStr">
        <is>
          <t>Yes</t>
        </is>
      </c>
      <c r="D18" s="325" t="inlineStr">
        <is>
          <t>Unknown</t>
        </is>
      </c>
      <c r="E18" s="344" t="n">
        <v>1</v>
      </c>
      <c r="F18" s="344" t="n">
        <v>1</v>
      </c>
      <c r="G18" s="344" t="n">
        <v>1</v>
      </c>
      <c r="H18" s="344" t="n">
        <v>1</v>
      </c>
      <c r="I18" s="344" t="n">
        <v>1</v>
      </c>
      <c r="J18" s="344" t="n">
        <v>1</v>
      </c>
      <c r="K18" s="344" t="n">
        <v>1</v>
      </c>
      <c r="L18" s="325" t="inlineStr">
        <is>
          <t>Not assessed</t>
        </is>
      </c>
      <c r="M18" s="325" t="n"/>
      <c r="N18" s="325" t="n"/>
      <c r="O18" s="325" t="inlineStr">
        <is>
          <t>No exposure-model recommendation loaded.</t>
        </is>
      </c>
      <c r="P18" s="346" t="n">
        <v>1</v>
      </c>
      <c r="Q18" s="346" t="n">
        <v>1</v>
      </c>
      <c r="R18" s="346" t="n">
        <v>1</v>
      </c>
      <c r="S18" s="346" t="n">
        <v>1</v>
      </c>
      <c r="T18" s="346" t="n">
        <v>1</v>
      </c>
      <c r="U18" s="346" t="n">
        <v>1</v>
      </c>
      <c r="V18" s="347" t="n">
        <v>1</v>
      </c>
    </row>
    <row r="19">
      <c r="A19" s="272" t="inlineStr">
        <is>
          <t>R_TP</t>
        </is>
      </c>
      <c r="B19" s="273" t="inlineStr">
        <is>
          <t>Third-party or software supply chain</t>
        </is>
      </c>
      <c r="C19" s="325" t="inlineStr">
        <is>
          <t>Yes</t>
        </is>
      </c>
      <c r="D19" s="325" t="inlineStr">
        <is>
          <t>Unknown</t>
        </is>
      </c>
      <c r="E19" s="344" t="n">
        <v>1</v>
      </c>
      <c r="F19" s="344" t="n">
        <v>1</v>
      </c>
      <c r="G19" s="344" t="n">
        <v>1</v>
      </c>
      <c r="H19" s="344" t="n">
        <v>1</v>
      </c>
      <c r="I19" s="344" t="n">
        <v>1</v>
      </c>
      <c r="J19" s="344" t="n">
        <v>1</v>
      </c>
      <c r="K19" s="344" t="n">
        <v>1</v>
      </c>
      <c r="L19" s="325" t="inlineStr">
        <is>
          <t>Not assessed</t>
        </is>
      </c>
      <c r="M19" s="325" t="n"/>
      <c r="N19" s="325" t="n"/>
      <c r="O19" s="325" t="inlineStr">
        <is>
          <t>No exposure-model recommendation loaded.</t>
        </is>
      </c>
      <c r="P19" s="346" t="n">
        <v>1</v>
      </c>
      <c r="Q19" s="346" t="n">
        <v>1</v>
      </c>
      <c r="R19" s="346" t="n">
        <v>1</v>
      </c>
      <c r="S19" s="346" t="n">
        <v>1</v>
      </c>
      <c r="T19" s="346" t="n">
        <v>1</v>
      </c>
      <c r="U19" s="346" t="n">
        <v>1</v>
      </c>
      <c r="V19" s="347" t="n">
        <v>1</v>
      </c>
    </row>
    <row r="20">
      <c r="A20" s="272" t="inlineStr">
        <is>
          <t>R_DDOS</t>
        </is>
      </c>
      <c r="B20" s="273" t="inlineStr">
        <is>
          <t>Direct availability or DDoS</t>
        </is>
      </c>
      <c r="C20" s="325" t="inlineStr">
        <is>
          <t>Yes</t>
        </is>
      </c>
      <c r="D20" s="325" t="inlineStr">
        <is>
          <t>Unknown</t>
        </is>
      </c>
      <c r="E20" s="344" t="n">
        <v>1</v>
      </c>
      <c r="F20" s="344" t="n">
        <v>1</v>
      </c>
      <c r="G20" s="344" t="n">
        <v>1</v>
      </c>
      <c r="H20" s="344" t="n">
        <v>1</v>
      </c>
      <c r="I20" s="344" t="n">
        <v>1</v>
      </c>
      <c r="J20" s="344" t="n">
        <v>1</v>
      </c>
      <c r="K20" s="344" t="n">
        <v>1</v>
      </c>
      <c r="L20" s="325" t="inlineStr">
        <is>
          <t>Not assessed</t>
        </is>
      </c>
      <c r="M20" s="325" t="n"/>
      <c r="N20" s="325" t="n"/>
      <c r="O20" s="325" t="inlineStr">
        <is>
          <t>No exposure-model recommendation loaded.</t>
        </is>
      </c>
      <c r="P20" s="346" t="n">
        <v>1</v>
      </c>
      <c r="Q20" s="346" t="n">
        <v>1</v>
      </c>
      <c r="R20" s="346" t="n">
        <v>1</v>
      </c>
      <c r="S20" s="346" t="n">
        <v>1</v>
      </c>
      <c r="T20" s="346" t="n">
        <v>1</v>
      </c>
      <c r="U20" s="346" t="n">
        <v>1</v>
      </c>
      <c r="V20" s="347" t="n">
        <v>1</v>
      </c>
    </row>
    <row r="21">
      <c r="A21" s="272" t="inlineStr">
        <is>
          <t>R_INS</t>
        </is>
      </c>
      <c r="B21" s="273" t="inlineStr">
        <is>
          <t>Insider or trusted access</t>
        </is>
      </c>
      <c r="C21" s="325" t="inlineStr">
        <is>
          <t>Yes</t>
        </is>
      </c>
      <c r="D21" s="325" t="inlineStr">
        <is>
          <t>Unknown</t>
        </is>
      </c>
      <c r="E21" s="344" t="n">
        <v>1</v>
      </c>
      <c r="F21" s="344" t="n">
        <v>1</v>
      </c>
      <c r="G21" s="344" t="n">
        <v>1</v>
      </c>
      <c r="H21" s="344" t="n">
        <v>1</v>
      </c>
      <c r="I21" s="344" t="n">
        <v>1</v>
      </c>
      <c r="J21" s="344" t="n">
        <v>1</v>
      </c>
      <c r="K21" s="344" t="n">
        <v>1</v>
      </c>
      <c r="L21" s="325" t="inlineStr">
        <is>
          <t>Not assessed</t>
        </is>
      </c>
      <c r="M21" s="325" t="n"/>
      <c r="N21" s="325" t="n"/>
      <c r="O21" s="325" t="inlineStr">
        <is>
          <t>No exposure-model recommendation loaded.</t>
        </is>
      </c>
      <c r="P21" s="346" t="n">
        <v>1</v>
      </c>
      <c r="Q21" s="346" t="n">
        <v>1</v>
      </c>
      <c r="R21" s="346" t="n">
        <v>1</v>
      </c>
      <c r="S21" s="346" t="n">
        <v>1</v>
      </c>
      <c r="T21" s="346" t="n">
        <v>1</v>
      </c>
      <c r="U21" s="346" t="n">
        <v>1</v>
      </c>
      <c r="V21" s="347" t="n">
        <v>1</v>
      </c>
    </row>
    <row r="22">
      <c r="A22" s="275" t="n"/>
      <c r="B22" s="276" t="n"/>
      <c r="C22" s="326" t="n"/>
      <c r="D22" s="326" t="n"/>
      <c r="E22" s="326" t="n"/>
      <c r="F22" s="326" t="n"/>
      <c r="G22" s="326" t="n"/>
      <c r="H22" s="326" t="n"/>
      <c r="I22" s="326" t="n"/>
      <c r="J22" s="326" t="n"/>
      <c r="K22" s="326" t="n"/>
      <c r="L22" s="326" t="n"/>
      <c r="M22" s="326" t="n"/>
      <c r="N22" s="326" t="n"/>
      <c r="O22" s="326" t="n"/>
      <c r="P22" s="276" t="n"/>
      <c r="Q22" s="276" t="n"/>
      <c r="R22" s="276" t="n"/>
      <c r="S22" s="276" t="n"/>
      <c r="T22" s="276" t="n"/>
      <c r="U22" s="276" t="n"/>
      <c r="V22" s="277" t="n"/>
    </row>
    <row r="23">
      <c r="A23" s="275" t="n"/>
      <c r="B23" s="276" t="n"/>
      <c r="C23" s="326" t="n"/>
      <c r="D23" s="326" t="n"/>
      <c r="E23" s="326" t="n"/>
      <c r="F23" s="326" t="n"/>
      <c r="G23" s="326" t="n"/>
      <c r="H23" s="326" t="n"/>
      <c r="I23" s="326" t="n"/>
      <c r="J23" s="326" t="n"/>
      <c r="K23" s="326" t="n"/>
      <c r="L23" s="326" t="n"/>
      <c r="M23" s="326" t="n"/>
      <c r="N23" s="326" t="n"/>
      <c r="O23" s="326" t="n"/>
      <c r="P23" s="276" t="n"/>
      <c r="Q23" s="276" t="n"/>
      <c r="R23" s="276" t="n"/>
      <c r="S23" s="276" t="n"/>
      <c r="T23" s="276" t="n"/>
      <c r="U23" s="276" t="n"/>
      <c r="V23" s="277" t="n"/>
    </row>
    <row r="24">
      <c r="A24" s="275" t="n"/>
      <c r="B24" s="276" t="n"/>
      <c r="C24" s="326" t="n"/>
      <c r="D24" s="326" t="n"/>
      <c r="E24" s="326" t="n"/>
      <c r="F24" s="326" t="n"/>
      <c r="G24" s="326" t="n"/>
      <c r="H24" s="326" t="n"/>
      <c r="I24" s="326" t="n"/>
      <c r="J24" s="326" t="n"/>
      <c r="K24" s="326" t="n"/>
      <c r="L24" s="326" t="n"/>
      <c r="M24" s="326" t="n"/>
      <c r="N24" s="326" t="n"/>
      <c r="O24" s="326" t="n"/>
      <c r="P24" s="276" t="n"/>
      <c r="Q24" s="276" t="n"/>
      <c r="R24" s="276" t="n"/>
      <c r="S24" s="276" t="n"/>
      <c r="T24" s="276" t="n"/>
      <c r="U24" s="276" t="n"/>
      <c r="V24" s="277" t="n"/>
    </row>
    <row r="25">
      <c r="A25" s="275" t="n"/>
      <c r="B25" s="276" t="n"/>
      <c r="C25" s="326" t="n"/>
      <c r="D25" s="326" t="n"/>
      <c r="E25" s="326" t="n"/>
      <c r="F25" s="326" t="n"/>
      <c r="G25" s="326" t="n"/>
      <c r="H25" s="326" t="n"/>
      <c r="I25" s="326" t="n"/>
      <c r="J25" s="326" t="n"/>
      <c r="K25" s="326" t="n"/>
      <c r="L25" s="326" t="n"/>
      <c r="M25" s="326" t="n"/>
      <c r="N25" s="326" t="n"/>
      <c r="O25" s="326" t="n"/>
      <c r="P25" s="276" t="n"/>
      <c r="Q25" s="276" t="n"/>
      <c r="R25" s="276" t="n"/>
      <c r="S25" s="276" t="n"/>
      <c r="T25" s="276" t="n"/>
      <c r="U25" s="276" t="n"/>
      <c r="V25" s="277" t="n"/>
    </row>
    <row r="26">
      <c r="A26" s="275" t="n"/>
      <c r="B26" s="276" t="n"/>
      <c r="C26" s="326" t="n"/>
      <c r="D26" s="326" t="n"/>
      <c r="E26" s="326" t="n"/>
      <c r="F26" s="326" t="n"/>
      <c r="G26" s="326" t="n"/>
      <c r="H26" s="326" t="n"/>
      <c r="I26" s="326" t="n"/>
      <c r="J26" s="326" t="n"/>
      <c r="K26" s="326" t="n"/>
      <c r="L26" s="326" t="n"/>
      <c r="M26" s="326" t="n"/>
      <c r="N26" s="326" t="n"/>
      <c r="O26" s="326" t="n"/>
      <c r="P26" s="276" t="n"/>
      <c r="Q26" s="276" t="n"/>
      <c r="R26" s="276" t="n"/>
      <c r="S26" s="276" t="n"/>
      <c r="T26" s="276" t="n"/>
      <c r="U26" s="276" t="n"/>
      <c r="V26" s="277" t="n"/>
    </row>
    <row r="27">
      <c r="A27" s="275" t="n"/>
      <c r="B27" s="276" t="n"/>
      <c r="C27" s="326" t="n"/>
      <c r="D27" s="326" t="n"/>
      <c r="E27" s="326" t="n"/>
      <c r="F27" s="326" t="n"/>
      <c r="G27" s="326" t="n"/>
      <c r="H27" s="326" t="n"/>
      <c r="I27" s="326" t="n"/>
      <c r="J27" s="326" t="n"/>
      <c r="K27" s="326" t="n"/>
      <c r="L27" s="326" t="n"/>
      <c r="M27" s="326" t="n"/>
      <c r="N27" s="326" t="n"/>
      <c r="O27" s="326" t="n"/>
      <c r="P27" s="276" t="n"/>
      <c r="Q27" s="276" t="n"/>
      <c r="R27" s="276" t="n"/>
      <c r="S27" s="276" t="n"/>
      <c r="T27" s="276" t="n"/>
      <c r="U27" s="276" t="n"/>
      <c r="V27" s="277" t="n"/>
    </row>
    <row r="28">
      <c r="A28" s="275" t="n"/>
      <c r="B28" s="276" t="n"/>
      <c r="C28" s="326" t="n"/>
      <c r="D28" s="326" t="n"/>
      <c r="E28" s="326" t="n"/>
      <c r="F28" s="326" t="n"/>
      <c r="G28" s="326" t="n"/>
      <c r="H28" s="326" t="n"/>
      <c r="I28" s="326" t="n"/>
      <c r="J28" s="326" t="n"/>
      <c r="K28" s="326" t="n"/>
      <c r="L28" s="326" t="n"/>
      <c r="M28" s="326" t="n"/>
      <c r="N28" s="326" t="n"/>
      <c r="O28" s="326" t="n"/>
      <c r="P28" s="276" t="n"/>
      <c r="Q28" s="276" t="n"/>
      <c r="R28" s="276" t="n"/>
      <c r="S28" s="276" t="n"/>
      <c r="T28" s="276" t="n"/>
      <c r="U28" s="276" t="n"/>
      <c r="V28" s="277" t="n"/>
    </row>
    <row r="29">
      <c r="A29" s="275" t="n"/>
      <c r="B29" s="276" t="n"/>
      <c r="C29" s="326" t="n"/>
      <c r="D29" s="326" t="n"/>
      <c r="E29" s="326" t="n"/>
      <c r="F29" s="326" t="n"/>
      <c r="G29" s="326" t="n"/>
      <c r="H29" s="326" t="n"/>
      <c r="I29" s="326" t="n"/>
      <c r="J29" s="326" t="n"/>
      <c r="K29" s="326" t="n"/>
      <c r="L29" s="326" t="n"/>
      <c r="M29" s="326" t="n"/>
      <c r="N29" s="326" t="n"/>
      <c r="O29" s="326" t="n"/>
      <c r="P29" s="276" t="n"/>
      <c r="Q29" s="276" t="n"/>
      <c r="R29" s="276" t="n"/>
      <c r="S29" s="276" t="n"/>
      <c r="T29" s="276" t="n"/>
      <c r="U29" s="276" t="n"/>
      <c r="V29" s="277" t="n"/>
    </row>
    <row r="30">
      <c r="A30" s="275" t="n"/>
      <c r="B30" s="276" t="n"/>
      <c r="C30" s="326" t="n"/>
      <c r="D30" s="326" t="n"/>
      <c r="E30" s="326" t="n"/>
      <c r="F30" s="326" t="n"/>
      <c r="G30" s="326" t="n"/>
      <c r="H30" s="326" t="n"/>
      <c r="I30" s="326" t="n"/>
      <c r="J30" s="326" t="n"/>
      <c r="K30" s="326" t="n"/>
      <c r="L30" s="326" t="n"/>
      <c r="M30" s="326" t="n"/>
      <c r="N30" s="326" t="n"/>
      <c r="O30" s="326" t="n"/>
      <c r="P30" s="276" t="n"/>
      <c r="Q30" s="276" t="n"/>
      <c r="R30" s="276" t="n"/>
      <c r="S30" s="276" t="n"/>
      <c r="T30" s="276" t="n"/>
      <c r="U30" s="276" t="n"/>
      <c r="V30" s="277" t="n"/>
    </row>
    <row r="31">
      <c r="A31" s="275" t="n"/>
      <c r="B31" s="276" t="n"/>
      <c r="C31" s="326" t="n"/>
      <c r="D31" s="326" t="n"/>
      <c r="E31" s="326" t="n"/>
      <c r="F31" s="326" t="n"/>
      <c r="G31" s="326" t="n"/>
      <c r="H31" s="326" t="n"/>
      <c r="I31" s="326" t="n"/>
      <c r="J31" s="326" t="n"/>
      <c r="K31" s="326" t="n"/>
      <c r="L31" s="326" t="n"/>
      <c r="M31" s="326" t="n"/>
      <c r="N31" s="326" t="n"/>
      <c r="O31" s="326" t="n"/>
      <c r="P31" s="276" t="n"/>
      <c r="Q31" s="276" t="n"/>
      <c r="R31" s="276" t="n"/>
      <c r="S31" s="276" t="n"/>
      <c r="T31" s="276" t="n"/>
      <c r="U31" s="276" t="n"/>
      <c r="V31" s="277" t="n"/>
    </row>
    <row r="32">
      <c r="A32" s="275" t="n"/>
      <c r="B32" s="276" t="n"/>
      <c r="C32" s="326" t="n"/>
      <c r="D32" s="326" t="n"/>
      <c r="E32" s="326" t="n"/>
      <c r="F32" s="326" t="n"/>
      <c r="G32" s="326" t="n"/>
      <c r="H32" s="326" t="n"/>
      <c r="I32" s="326" t="n"/>
      <c r="J32" s="326" t="n"/>
      <c r="K32" s="326" t="n"/>
      <c r="L32" s="326" t="n"/>
      <c r="M32" s="326" t="n"/>
      <c r="N32" s="326" t="n"/>
      <c r="O32" s="326" t="n"/>
      <c r="P32" s="276" t="n"/>
      <c r="Q32" s="276" t="n"/>
      <c r="R32" s="276" t="n"/>
      <c r="S32" s="276" t="n"/>
      <c r="T32" s="276" t="n"/>
      <c r="U32" s="276" t="n"/>
      <c r="V32" s="277" t="n"/>
    </row>
    <row r="33">
      <c r="A33" s="275" t="n"/>
      <c r="B33" s="276" t="n"/>
      <c r="C33" s="326" t="n"/>
      <c r="D33" s="326" t="n"/>
      <c r="E33" s="326" t="n"/>
      <c r="F33" s="326" t="n"/>
      <c r="G33" s="326" t="n"/>
      <c r="H33" s="326" t="n"/>
      <c r="I33" s="326" t="n"/>
      <c r="J33" s="326" t="n"/>
      <c r="K33" s="326" t="n"/>
      <c r="L33" s="326" t="n"/>
      <c r="M33" s="326" t="n"/>
      <c r="N33" s="326" t="n"/>
      <c r="O33" s="326" t="n"/>
      <c r="P33" s="276" t="n"/>
      <c r="Q33" s="276" t="n"/>
      <c r="R33" s="276" t="n"/>
      <c r="S33" s="276" t="n"/>
      <c r="T33" s="276" t="n"/>
      <c r="U33" s="276" t="n"/>
      <c r="V33" s="277" t="n"/>
    </row>
    <row r="34">
      <c r="A34" s="275" t="n"/>
      <c r="B34" s="276" t="n"/>
      <c r="C34" s="326" t="n"/>
      <c r="D34" s="326" t="n"/>
      <c r="E34" s="326" t="n"/>
      <c r="F34" s="326" t="n"/>
      <c r="G34" s="326" t="n"/>
      <c r="H34" s="326" t="n"/>
      <c r="I34" s="326" t="n"/>
      <c r="J34" s="326" t="n"/>
      <c r="K34" s="326" t="n"/>
      <c r="L34" s="326" t="n"/>
      <c r="M34" s="326" t="n"/>
      <c r="N34" s="326" t="n"/>
      <c r="O34" s="326" t="n"/>
      <c r="P34" s="276" t="n"/>
      <c r="Q34" s="276" t="n"/>
      <c r="R34" s="276" t="n"/>
      <c r="S34" s="276" t="n"/>
      <c r="T34" s="276" t="n"/>
      <c r="U34" s="276" t="n"/>
      <c r="V34" s="277" t="n"/>
    </row>
    <row r="35">
      <c r="A35" s="275" t="n"/>
      <c r="B35" s="276" t="n"/>
      <c r="C35" s="326" t="n"/>
      <c r="D35" s="326" t="n"/>
      <c r="E35" s="326" t="n"/>
      <c r="F35" s="326" t="n"/>
      <c r="G35" s="326" t="n"/>
      <c r="H35" s="326" t="n"/>
      <c r="I35" s="326" t="n"/>
      <c r="J35" s="326" t="n"/>
      <c r="K35" s="326" t="n"/>
      <c r="L35" s="326" t="n"/>
      <c r="M35" s="326" t="n"/>
      <c r="N35" s="326" t="n"/>
      <c r="O35" s="326" t="n"/>
      <c r="P35" s="276" t="n"/>
      <c r="Q35" s="276" t="n"/>
      <c r="R35" s="276" t="n"/>
      <c r="S35" s="276" t="n"/>
      <c r="T35" s="276" t="n"/>
      <c r="U35" s="276" t="n"/>
      <c r="V35" s="277" t="n"/>
    </row>
    <row r="36">
      <c r="A36" s="275" t="n"/>
      <c r="B36" s="276" t="n"/>
      <c r="C36" s="326" t="n"/>
      <c r="D36" s="326" t="n"/>
      <c r="E36" s="326" t="n"/>
      <c r="F36" s="326" t="n"/>
      <c r="G36" s="326" t="n"/>
      <c r="H36" s="326" t="n"/>
      <c r="I36" s="326" t="n"/>
      <c r="J36" s="326" t="n"/>
      <c r="K36" s="326" t="n"/>
      <c r="L36" s="326" t="n"/>
      <c r="M36" s="326" t="n"/>
      <c r="N36" s="326" t="n"/>
      <c r="O36" s="326" t="n"/>
      <c r="P36" s="276" t="n"/>
      <c r="Q36" s="276" t="n"/>
      <c r="R36" s="276" t="n"/>
      <c r="S36" s="276" t="n"/>
      <c r="T36" s="276" t="n"/>
      <c r="U36" s="276" t="n"/>
      <c r="V36" s="277" t="n"/>
    </row>
    <row r="37">
      <c r="A37" s="275" t="n"/>
      <c r="B37" s="276" t="n"/>
      <c r="C37" s="326" t="n"/>
      <c r="D37" s="326" t="n"/>
      <c r="E37" s="326" t="n"/>
      <c r="F37" s="326" t="n"/>
      <c r="G37" s="326" t="n"/>
      <c r="H37" s="326" t="n"/>
      <c r="I37" s="326" t="n"/>
      <c r="J37" s="326" t="n"/>
      <c r="K37" s="326" t="n"/>
      <c r="L37" s="326" t="n"/>
      <c r="M37" s="326" t="n"/>
      <c r="N37" s="326" t="n"/>
      <c r="O37" s="326" t="n"/>
      <c r="P37" s="276" t="n"/>
      <c r="Q37" s="276" t="n"/>
      <c r="R37" s="276" t="n"/>
      <c r="S37" s="276" t="n"/>
      <c r="T37" s="276" t="n"/>
      <c r="U37" s="276" t="n"/>
      <c r="V37" s="277" t="n"/>
    </row>
    <row r="38">
      <c r="A38" s="275" t="n"/>
      <c r="B38" s="276" t="n"/>
      <c r="C38" s="326" t="n"/>
      <c r="D38" s="326" t="n"/>
      <c r="E38" s="326" t="n"/>
      <c r="F38" s="326" t="n"/>
      <c r="G38" s="326" t="n"/>
      <c r="H38" s="326" t="n"/>
      <c r="I38" s="326" t="n"/>
      <c r="J38" s="326" t="n"/>
      <c r="K38" s="326" t="n"/>
      <c r="L38" s="326" t="n"/>
      <c r="M38" s="326" t="n"/>
      <c r="N38" s="326" t="n"/>
      <c r="O38" s="326" t="n"/>
      <c r="P38" s="276" t="n"/>
      <c r="Q38" s="276" t="n"/>
      <c r="R38" s="276" t="n"/>
      <c r="S38" s="276" t="n"/>
      <c r="T38" s="276" t="n"/>
      <c r="U38" s="276" t="n"/>
      <c r="V38" s="277" t="n"/>
    </row>
    <row r="39">
      <c r="A39" s="275" t="n"/>
      <c r="B39" s="276" t="n"/>
      <c r="C39" s="326" t="n"/>
      <c r="D39" s="326" t="n"/>
      <c r="E39" s="326" t="n"/>
      <c r="F39" s="326" t="n"/>
      <c r="G39" s="326" t="n"/>
      <c r="H39" s="326" t="n"/>
      <c r="I39" s="326" t="n"/>
      <c r="J39" s="326" t="n"/>
      <c r="K39" s="326" t="n"/>
      <c r="L39" s="326" t="n"/>
      <c r="M39" s="326" t="n"/>
      <c r="N39" s="326" t="n"/>
      <c r="O39" s="326" t="n"/>
      <c r="P39" s="276" t="n"/>
      <c r="Q39" s="276" t="n"/>
      <c r="R39" s="276" t="n"/>
      <c r="S39" s="276" t="n"/>
      <c r="T39" s="276" t="n"/>
      <c r="U39" s="276" t="n"/>
      <c r="V39" s="277" t="n"/>
    </row>
    <row r="40">
      <c r="A40" s="275" t="n"/>
      <c r="B40" s="276" t="n"/>
      <c r="C40" s="326" t="n"/>
      <c r="D40" s="326" t="n"/>
      <c r="E40" s="326" t="n"/>
      <c r="F40" s="326" t="n"/>
      <c r="G40" s="326" t="n"/>
      <c r="H40" s="326" t="n"/>
      <c r="I40" s="326" t="n"/>
      <c r="J40" s="326" t="n"/>
      <c r="K40" s="326" t="n"/>
      <c r="L40" s="326" t="n"/>
      <c r="M40" s="326" t="n"/>
      <c r="N40" s="326" t="n"/>
      <c r="O40" s="326" t="n"/>
      <c r="P40" s="276" t="n"/>
      <c r="Q40" s="276" t="n"/>
      <c r="R40" s="276" t="n"/>
      <c r="S40" s="276" t="n"/>
      <c r="T40" s="276" t="n"/>
      <c r="U40" s="276" t="n"/>
      <c r="V40" s="277" t="n"/>
    </row>
    <row r="41">
      <c r="A41" s="275" t="n"/>
      <c r="B41" s="276" t="n"/>
      <c r="C41" s="326" t="n"/>
      <c r="D41" s="326" t="n"/>
      <c r="E41" s="326" t="n"/>
      <c r="F41" s="326" t="n"/>
      <c r="G41" s="326" t="n"/>
      <c r="H41" s="326" t="n"/>
      <c r="I41" s="326" t="n"/>
      <c r="J41" s="326" t="n"/>
      <c r="K41" s="326" t="n"/>
      <c r="L41" s="326" t="n"/>
      <c r="M41" s="326" t="n"/>
      <c r="N41" s="326" t="n"/>
      <c r="O41" s="326" t="n"/>
      <c r="P41" s="276" t="n"/>
      <c r="Q41" s="276" t="n"/>
      <c r="R41" s="276" t="n"/>
      <c r="S41" s="276" t="n"/>
      <c r="T41" s="276" t="n"/>
      <c r="U41" s="276" t="n"/>
      <c r="V41" s="277" t="n"/>
    </row>
    <row r="42">
      <c r="A42" s="275" t="n"/>
      <c r="B42" s="276" t="n"/>
      <c r="C42" s="326" t="n"/>
      <c r="D42" s="326" t="n"/>
      <c r="E42" s="326" t="n"/>
      <c r="F42" s="326" t="n"/>
      <c r="G42" s="326" t="n"/>
      <c r="H42" s="326" t="n"/>
      <c r="I42" s="326" t="n"/>
      <c r="J42" s="326" t="n"/>
      <c r="K42" s="326" t="n"/>
      <c r="L42" s="326" t="n"/>
      <c r="M42" s="326" t="n"/>
      <c r="N42" s="326" t="n"/>
      <c r="O42" s="326" t="n"/>
      <c r="P42" s="276" t="n"/>
      <c r="Q42" s="276" t="n"/>
      <c r="R42" s="276" t="n"/>
      <c r="S42" s="276" t="n"/>
      <c r="T42" s="276" t="n"/>
      <c r="U42" s="276" t="n"/>
      <c r="V42" s="277" t="n"/>
    </row>
    <row r="43">
      <c r="A43" s="275" t="n"/>
      <c r="B43" s="276" t="n"/>
      <c r="C43" s="326" t="n"/>
      <c r="D43" s="326" t="n"/>
      <c r="E43" s="326" t="n"/>
      <c r="F43" s="326" t="n"/>
      <c r="G43" s="326" t="n"/>
      <c r="H43" s="326" t="n"/>
      <c r="I43" s="326" t="n"/>
      <c r="J43" s="326" t="n"/>
      <c r="K43" s="326" t="n"/>
      <c r="L43" s="326" t="n"/>
      <c r="M43" s="326" t="n"/>
      <c r="N43" s="326" t="n"/>
      <c r="O43" s="326" t="n"/>
      <c r="P43" s="276" t="n"/>
      <c r="Q43" s="276" t="n"/>
      <c r="R43" s="276" t="n"/>
      <c r="S43" s="276" t="n"/>
      <c r="T43" s="276" t="n"/>
      <c r="U43" s="276" t="n"/>
      <c r="V43" s="277" t="n"/>
    </row>
    <row r="44">
      <c r="A44" s="275" t="n"/>
      <c r="B44" s="276" t="n"/>
      <c r="C44" s="326" t="n"/>
      <c r="D44" s="326" t="n"/>
      <c r="E44" s="326" t="n"/>
      <c r="F44" s="326" t="n"/>
      <c r="G44" s="326" t="n"/>
      <c r="H44" s="326" t="n"/>
      <c r="I44" s="326" t="n"/>
      <c r="J44" s="326" t="n"/>
      <c r="K44" s="326" t="n"/>
      <c r="L44" s="326" t="n"/>
      <c r="M44" s="326" t="n"/>
      <c r="N44" s="326" t="n"/>
      <c r="O44" s="326" t="n"/>
      <c r="P44" s="276" t="n"/>
      <c r="Q44" s="276" t="n"/>
      <c r="R44" s="276" t="n"/>
      <c r="S44" s="276" t="n"/>
      <c r="T44" s="276" t="n"/>
      <c r="U44" s="276" t="n"/>
      <c r="V44" s="277" t="n"/>
    </row>
    <row r="45">
      <c r="A45" s="275" t="n"/>
      <c r="B45" s="276" t="n"/>
      <c r="C45" s="326" t="n"/>
      <c r="D45" s="326" t="n"/>
      <c r="E45" s="326" t="n"/>
      <c r="F45" s="326" t="n"/>
      <c r="G45" s="326" t="n"/>
      <c r="H45" s="326" t="n"/>
      <c r="I45" s="326" t="n"/>
      <c r="J45" s="326" t="n"/>
      <c r="K45" s="326" t="n"/>
      <c r="L45" s="326" t="n"/>
      <c r="M45" s="326" t="n"/>
      <c r="N45" s="326" t="n"/>
      <c r="O45" s="326" t="n"/>
      <c r="P45" s="276" t="n"/>
      <c r="Q45" s="276" t="n"/>
      <c r="R45" s="276" t="n"/>
      <c r="S45" s="276" t="n"/>
      <c r="T45" s="276" t="n"/>
      <c r="U45" s="276" t="n"/>
      <c r="V45" s="277" t="n"/>
    </row>
    <row r="46">
      <c r="A46" s="275" t="n"/>
      <c r="B46" s="276" t="n"/>
      <c r="C46" s="326" t="n"/>
      <c r="D46" s="326" t="n"/>
      <c r="E46" s="326" t="n"/>
      <c r="F46" s="326" t="n"/>
      <c r="G46" s="326" t="n"/>
      <c r="H46" s="326" t="n"/>
      <c r="I46" s="326" t="n"/>
      <c r="J46" s="326" t="n"/>
      <c r="K46" s="326" t="n"/>
      <c r="L46" s="326" t="n"/>
      <c r="M46" s="326" t="n"/>
      <c r="N46" s="326" t="n"/>
      <c r="O46" s="326" t="n"/>
      <c r="P46" s="276" t="n"/>
      <c r="Q46" s="276" t="n"/>
      <c r="R46" s="276" t="n"/>
      <c r="S46" s="276" t="n"/>
      <c r="T46" s="276" t="n"/>
      <c r="U46" s="276" t="n"/>
      <c r="V46" s="277" t="n"/>
    </row>
    <row r="47">
      <c r="A47" s="275" t="n"/>
      <c r="B47" s="276" t="n"/>
      <c r="C47" s="326" t="n"/>
      <c r="D47" s="326" t="n"/>
      <c r="E47" s="326" t="n"/>
      <c r="F47" s="326" t="n"/>
      <c r="G47" s="326" t="n"/>
      <c r="H47" s="326" t="n"/>
      <c r="I47" s="326" t="n"/>
      <c r="J47" s="326" t="n"/>
      <c r="K47" s="326" t="n"/>
      <c r="L47" s="326" t="n"/>
      <c r="M47" s="326" t="n"/>
      <c r="N47" s="326" t="n"/>
      <c r="O47" s="326" t="n"/>
      <c r="P47" s="276" t="n"/>
      <c r="Q47" s="276" t="n"/>
      <c r="R47" s="276" t="n"/>
      <c r="S47" s="276" t="n"/>
      <c r="T47" s="276" t="n"/>
      <c r="U47" s="276" t="n"/>
      <c r="V47" s="277" t="n"/>
    </row>
    <row r="48">
      <c r="A48" s="275" t="n"/>
      <c r="B48" s="276" t="n"/>
      <c r="C48" s="326" t="n"/>
      <c r="D48" s="326" t="n"/>
      <c r="E48" s="326" t="n"/>
      <c r="F48" s="326" t="n"/>
      <c r="G48" s="326" t="n"/>
      <c r="H48" s="326" t="n"/>
      <c r="I48" s="326" t="n"/>
      <c r="J48" s="326" t="n"/>
      <c r="K48" s="326" t="n"/>
      <c r="L48" s="326" t="n"/>
      <c r="M48" s="326" t="n"/>
      <c r="N48" s="326" t="n"/>
      <c r="O48" s="326" t="n"/>
      <c r="P48" s="276" t="n"/>
      <c r="Q48" s="276" t="n"/>
      <c r="R48" s="276" t="n"/>
      <c r="S48" s="276" t="n"/>
      <c r="T48" s="276" t="n"/>
      <c r="U48" s="276" t="n"/>
      <c r="V48" s="277" t="n"/>
    </row>
    <row r="49">
      <c r="A49" s="275" t="n"/>
      <c r="B49" s="276" t="n"/>
      <c r="C49" s="326" t="n"/>
      <c r="D49" s="326" t="n"/>
      <c r="E49" s="326" t="n"/>
      <c r="F49" s="326" t="n"/>
      <c r="G49" s="326" t="n"/>
      <c r="H49" s="326" t="n"/>
      <c r="I49" s="326" t="n"/>
      <c r="J49" s="326" t="n"/>
      <c r="K49" s="326" t="n"/>
      <c r="L49" s="326" t="n"/>
      <c r="M49" s="326" t="n"/>
      <c r="N49" s="326" t="n"/>
      <c r="O49" s="326" t="n"/>
      <c r="P49" s="276" t="n"/>
      <c r="Q49" s="276" t="n"/>
      <c r="R49" s="276" t="n"/>
      <c r="S49" s="276" t="n"/>
      <c r="T49" s="276" t="n"/>
      <c r="U49" s="276" t="n"/>
      <c r="V49" s="277" t="n"/>
    </row>
    <row r="50">
      <c r="A50" s="275" t="n"/>
      <c r="B50" s="276" t="n"/>
      <c r="C50" s="326" t="n"/>
      <c r="D50" s="326" t="n"/>
      <c r="E50" s="326" t="n"/>
      <c r="F50" s="326" t="n"/>
      <c r="G50" s="326" t="n"/>
      <c r="H50" s="326" t="n"/>
      <c r="I50" s="326" t="n"/>
      <c r="J50" s="326" t="n"/>
      <c r="K50" s="326" t="n"/>
      <c r="L50" s="326" t="n"/>
      <c r="M50" s="326" t="n"/>
      <c r="N50" s="326" t="n"/>
      <c r="O50" s="326" t="n"/>
      <c r="P50" s="276" t="n"/>
      <c r="Q50" s="276" t="n"/>
      <c r="R50" s="276" t="n"/>
      <c r="S50" s="276" t="n"/>
      <c r="T50" s="276" t="n"/>
      <c r="U50" s="276" t="n"/>
      <c r="V50" s="277" t="n"/>
    </row>
    <row r="51">
      <c r="A51" s="275" t="n"/>
      <c r="B51" s="276" t="n"/>
      <c r="C51" s="326" t="n"/>
      <c r="D51" s="326" t="n"/>
      <c r="E51" s="326" t="n"/>
      <c r="F51" s="326" t="n"/>
      <c r="G51" s="326" t="n"/>
      <c r="H51" s="326" t="n"/>
      <c r="I51" s="326" t="n"/>
      <c r="J51" s="326" t="n"/>
      <c r="K51" s="326" t="n"/>
      <c r="L51" s="326" t="n"/>
      <c r="M51" s="326" t="n"/>
      <c r="N51" s="326" t="n"/>
      <c r="O51" s="326" t="n"/>
      <c r="P51" s="276" t="n"/>
      <c r="Q51" s="276" t="n"/>
      <c r="R51" s="276" t="n"/>
      <c r="S51" s="276" t="n"/>
      <c r="T51" s="276" t="n"/>
      <c r="U51" s="276" t="n"/>
      <c r="V51" s="277" t="n"/>
    </row>
    <row r="52">
      <c r="A52" s="275" t="n"/>
      <c r="B52" s="276" t="n"/>
      <c r="C52" s="326" t="n"/>
      <c r="D52" s="326" t="n"/>
      <c r="E52" s="326" t="n"/>
      <c r="F52" s="326" t="n"/>
      <c r="G52" s="326" t="n"/>
      <c r="H52" s="326" t="n"/>
      <c r="I52" s="326" t="n"/>
      <c r="J52" s="326" t="n"/>
      <c r="K52" s="326" t="n"/>
      <c r="L52" s="326" t="n"/>
      <c r="M52" s="326" t="n"/>
      <c r="N52" s="326" t="n"/>
      <c r="O52" s="326" t="n"/>
      <c r="P52" s="276" t="n"/>
      <c r="Q52" s="276" t="n"/>
      <c r="R52" s="276" t="n"/>
      <c r="S52" s="276" t="n"/>
      <c r="T52" s="276" t="n"/>
      <c r="U52" s="276" t="n"/>
      <c r="V52" s="277" t="n"/>
    </row>
    <row r="53">
      <c r="A53" s="275" t="n"/>
      <c r="B53" s="276" t="n"/>
      <c r="C53" s="326" t="n"/>
      <c r="D53" s="326" t="n"/>
      <c r="E53" s="326" t="n"/>
      <c r="F53" s="326" t="n"/>
      <c r="G53" s="326" t="n"/>
      <c r="H53" s="326" t="n"/>
      <c r="I53" s="326" t="n"/>
      <c r="J53" s="326" t="n"/>
      <c r="K53" s="326" t="n"/>
      <c r="L53" s="326" t="n"/>
      <c r="M53" s="326" t="n"/>
      <c r="N53" s="326" t="n"/>
      <c r="O53" s="326" t="n"/>
      <c r="P53" s="276" t="n"/>
      <c r="Q53" s="276" t="n"/>
      <c r="R53" s="276" t="n"/>
      <c r="S53" s="276" t="n"/>
      <c r="T53" s="276" t="n"/>
      <c r="U53" s="276" t="n"/>
      <c r="V53" s="277" t="n"/>
    </row>
    <row r="54">
      <c r="A54" s="275" t="n"/>
      <c r="B54" s="276" t="n"/>
      <c r="C54" s="326" t="n"/>
      <c r="D54" s="326" t="n"/>
      <c r="E54" s="326" t="n"/>
      <c r="F54" s="326" t="n"/>
      <c r="G54" s="326" t="n"/>
      <c r="H54" s="326" t="n"/>
      <c r="I54" s="326" t="n"/>
      <c r="J54" s="326" t="n"/>
      <c r="K54" s="326" t="n"/>
      <c r="L54" s="326" t="n"/>
      <c r="M54" s="326" t="n"/>
      <c r="N54" s="326" t="n"/>
      <c r="O54" s="326" t="n"/>
      <c r="P54" s="276" t="n"/>
      <c r="Q54" s="276" t="n"/>
      <c r="R54" s="276" t="n"/>
      <c r="S54" s="276" t="n"/>
      <c r="T54" s="276" t="n"/>
      <c r="U54" s="276" t="n"/>
      <c r="V54" s="277" t="n"/>
    </row>
    <row r="55">
      <c r="A55" s="275" t="n"/>
      <c r="B55" s="276" t="n"/>
      <c r="C55" s="326" t="n"/>
      <c r="D55" s="326" t="n"/>
      <c r="E55" s="326" t="n"/>
      <c r="F55" s="326" t="n"/>
      <c r="G55" s="326" t="n"/>
      <c r="H55" s="326" t="n"/>
      <c r="I55" s="326" t="n"/>
      <c r="J55" s="326" t="n"/>
      <c r="K55" s="326" t="n"/>
      <c r="L55" s="326" t="n"/>
      <c r="M55" s="326" t="n"/>
      <c r="N55" s="326" t="n"/>
      <c r="O55" s="326" t="n"/>
      <c r="P55" s="276" t="n"/>
      <c r="Q55" s="276" t="n"/>
      <c r="R55" s="276" t="n"/>
      <c r="S55" s="276" t="n"/>
      <c r="T55" s="276" t="n"/>
      <c r="U55" s="276" t="n"/>
      <c r="V55" s="277" t="n"/>
    </row>
    <row r="56">
      <c r="A56" s="275" t="n"/>
      <c r="B56" s="276" t="n"/>
      <c r="C56" s="326" t="n"/>
      <c r="D56" s="326" t="n"/>
      <c r="E56" s="326" t="n"/>
      <c r="F56" s="326" t="n"/>
      <c r="G56" s="326" t="n"/>
      <c r="H56" s="326" t="n"/>
      <c r="I56" s="326" t="n"/>
      <c r="J56" s="326" t="n"/>
      <c r="K56" s="326" t="n"/>
      <c r="L56" s="326" t="n"/>
      <c r="M56" s="326" t="n"/>
      <c r="N56" s="326" t="n"/>
      <c r="O56" s="326" t="n"/>
      <c r="P56" s="276" t="n"/>
      <c r="Q56" s="276" t="n"/>
      <c r="R56" s="276" t="n"/>
      <c r="S56" s="276" t="n"/>
      <c r="T56" s="276" t="n"/>
      <c r="U56" s="276" t="n"/>
      <c r="V56" s="277" t="n"/>
    </row>
    <row r="57">
      <c r="A57" s="275" t="n"/>
      <c r="B57" s="276" t="n"/>
      <c r="C57" s="326" t="n"/>
      <c r="D57" s="326" t="n"/>
      <c r="E57" s="326" t="n"/>
      <c r="F57" s="326" t="n"/>
      <c r="G57" s="326" t="n"/>
      <c r="H57" s="326" t="n"/>
      <c r="I57" s="326" t="n"/>
      <c r="J57" s="326" t="n"/>
      <c r="K57" s="326" t="n"/>
      <c r="L57" s="326" t="n"/>
      <c r="M57" s="326" t="n"/>
      <c r="N57" s="326" t="n"/>
      <c r="O57" s="326" t="n"/>
      <c r="P57" s="276" t="n"/>
      <c r="Q57" s="276" t="n"/>
      <c r="R57" s="276" t="n"/>
      <c r="S57" s="276" t="n"/>
      <c r="T57" s="276" t="n"/>
      <c r="U57" s="276" t="n"/>
      <c r="V57" s="277" t="n"/>
    </row>
    <row r="58">
      <c r="A58" s="275" t="n"/>
      <c r="B58" s="276" t="n"/>
      <c r="C58" s="326" t="n"/>
      <c r="D58" s="326" t="n"/>
      <c r="E58" s="326" t="n"/>
      <c r="F58" s="326" t="n"/>
      <c r="G58" s="326" t="n"/>
      <c r="H58" s="326" t="n"/>
      <c r="I58" s="326" t="n"/>
      <c r="J58" s="326" t="n"/>
      <c r="K58" s="326" t="n"/>
      <c r="L58" s="326" t="n"/>
      <c r="M58" s="326" t="n"/>
      <c r="N58" s="326" t="n"/>
      <c r="O58" s="326" t="n"/>
      <c r="P58" s="276" t="n"/>
      <c r="Q58" s="276" t="n"/>
      <c r="R58" s="276" t="n"/>
      <c r="S58" s="276" t="n"/>
      <c r="T58" s="276" t="n"/>
      <c r="U58" s="276" t="n"/>
      <c r="V58" s="277" t="n"/>
    </row>
    <row r="59">
      <c r="A59" s="275" t="n"/>
      <c r="B59" s="276" t="n"/>
      <c r="C59" s="326" t="n"/>
      <c r="D59" s="326" t="n"/>
      <c r="E59" s="326" t="n"/>
      <c r="F59" s="326" t="n"/>
      <c r="G59" s="326" t="n"/>
      <c r="H59" s="326" t="n"/>
      <c r="I59" s="326" t="n"/>
      <c r="J59" s="326" t="n"/>
      <c r="K59" s="326" t="n"/>
      <c r="L59" s="326" t="n"/>
      <c r="M59" s="326" t="n"/>
      <c r="N59" s="326" t="n"/>
      <c r="O59" s="326" t="n"/>
      <c r="P59" s="276" t="n"/>
      <c r="Q59" s="276" t="n"/>
      <c r="R59" s="276" t="n"/>
      <c r="S59" s="276" t="n"/>
      <c r="T59" s="276" t="n"/>
      <c r="U59" s="276" t="n"/>
      <c r="V59" s="277" t="n"/>
    </row>
    <row r="60">
      <c r="A60" s="275" t="n"/>
      <c r="B60" s="276" t="n"/>
      <c r="C60" s="326" t="n"/>
      <c r="D60" s="326" t="n"/>
      <c r="E60" s="326" t="n"/>
      <c r="F60" s="326" t="n"/>
      <c r="G60" s="326" t="n"/>
      <c r="H60" s="326" t="n"/>
      <c r="I60" s="326" t="n"/>
      <c r="J60" s="326" t="n"/>
      <c r="K60" s="326" t="n"/>
      <c r="L60" s="326" t="n"/>
      <c r="M60" s="326" t="n"/>
      <c r="N60" s="326" t="n"/>
      <c r="O60" s="326" t="n"/>
      <c r="P60" s="276" t="n"/>
      <c r="Q60" s="276" t="n"/>
      <c r="R60" s="276" t="n"/>
      <c r="S60" s="276" t="n"/>
      <c r="T60" s="276" t="n"/>
      <c r="U60" s="276" t="n"/>
      <c r="V60" s="277" t="n"/>
    </row>
    <row r="61">
      <c r="A61" s="275" t="n"/>
      <c r="B61" s="276" t="n"/>
      <c r="C61" s="326" t="n"/>
      <c r="D61" s="326" t="n"/>
      <c r="E61" s="326" t="n"/>
      <c r="F61" s="326" t="n"/>
      <c r="G61" s="326" t="n"/>
      <c r="H61" s="326" t="n"/>
      <c r="I61" s="326" t="n"/>
      <c r="J61" s="326" t="n"/>
      <c r="K61" s="326" t="n"/>
      <c r="L61" s="326" t="n"/>
      <c r="M61" s="326" t="n"/>
      <c r="N61" s="326" t="n"/>
      <c r="O61" s="326" t="n"/>
      <c r="P61" s="276" t="n"/>
      <c r="Q61" s="276" t="n"/>
      <c r="R61" s="276" t="n"/>
      <c r="S61" s="276" t="n"/>
      <c r="T61" s="276" t="n"/>
      <c r="U61" s="276" t="n"/>
      <c r="V61" s="277" t="n"/>
    </row>
    <row r="62">
      <c r="A62" s="275" t="n"/>
      <c r="B62" s="276" t="n"/>
      <c r="C62" s="326" t="n"/>
      <c r="D62" s="326" t="n"/>
      <c r="E62" s="326" t="n"/>
      <c r="F62" s="326" t="n"/>
      <c r="G62" s="326" t="n"/>
      <c r="H62" s="326" t="n"/>
      <c r="I62" s="326" t="n"/>
      <c r="J62" s="326" t="n"/>
      <c r="K62" s="326" t="n"/>
      <c r="L62" s="326" t="n"/>
      <c r="M62" s="326" t="n"/>
      <c r="N62" s="326" t="n"/>
      <c r="O62" s="326" t="n"/>
      <c r="P62" s="276" t="n"/>
      <c r="Q62" s="276" t="n"/>
      <c r="R62" s="276" t="n"/>
      <c r="S62" s="276" t="n"/>
      <c r="T62" s="276" t="n"/>
      <c r="U62" s="276" t="n"/>
      <c r="V62" s="277" t="n"/>
    </row>
    <row r="63">
      <c r="A63" s="275" t="n"/>
      <c r="B63" s="276" t="n"/>
      <c r="C63" s="326" t="n"/>
      <c r="D63" s="326" t="n"/>
      <c r="E63" s="326" t="n"/>
      <c r="F63" s="326" t="n"/>
      <c r="G63" s="326" t="n"/>
      <c r="H63" s="326" t="n"/>
      <c r="I63" s="326" t="n"/>
      <c r="J63" s="326" t="n"/>
      <c r="K63" s="326" t="n"/>
      <c r="L63" s="326" t="n"/>
      <c r="M63" s="326" t="n"/>
      <c r="N63" s="326" t="n"/>
      <c r="O63" s="326" t="n"/>
      <c r="P63" s="276" t="n"/>
      <c r="Q63" s="276" t="n"/>
      <c r="R63" s="276" t="n"/>
      <c r="S63" s="276" t="n"/>
      <c r="T63" s="276" t="n"/>
      <c r="U63" s="276" t="n"/>
      <c r="V63" s="277" t="n"/>
    </row>
    <row r="64">
      <c r="A64" s="275" t="n"/>
      <c r="B64" s="276" t="n"/>
      <c r="C64" s="326" t="n"/>
      <c r="D64" s="326" t="n"/>
      <c r="E64" s="326" t="n"/>
      <c r="F64" s="326" t="n"/>
      <c r="G64" s="326" t="n"/>
      <c r="H64" s="326" t="n"/>
      <c r="I64" s="326" t="n"/>
      <c r="J64" s="326" t="n"/>
      <c r="K64" s="326" t="n"/>
      <c r="L64" s="326" t="n"/>
      <c r="M64" s="326" t="n"/>
      <c r="N64" s="326" t="n"/>
      <c r="O64" s="326" t="n"/>
      <c r="P64" s="276" t="n"/>
      <c r="Q64" s="276" t="n"/>
      <c r="R64" s="276" t="n"/>
      <c r="S64" s="276" t="n"/>
      <c r="T64" s="276" t="n"/>
      <c r="U64" s="276" t="n"/>
      <c r="V64" s="277" t="n"/>
    </row>
    <row r="65">
      <c r="A65" s="275" t="n"/>
      <c r="B65" s="276" t="n"/>
      <c r="C65" s="326" t="n"/>
      <c r="D65" s="326" t="n"/>
      <c r="E65" s="326" t="n"/>
      <c r="F65" s="326" t="n"/>
      <c r="G65" s="326" t="n"/>
      <c r="H65" s="326" t="n"/>
      <c r="I65" s="326" t="n"/>
      <c r="J65" s="326" t="n"/>
      <c r="K65" s="326" t="n"/>
      <c r="L65" s="326" t="n"/>
      <c r="M65" s="326" t="n"/>
      <c r="N65" s="326" t="n"/>
      <c r="O65" s="326" t="n"/>
      <c r="P65" s="276" t="n"/>
      <c r="Q65" s="276" t="n"/>
      <c r="R65" s="276" t="n"/>
      <c r="S65" s="276" t="n"/>
      <c r="T65" s="276" t="n"/>
      <c r="U65" s="276" t="n"/>
      <c r="V65" s="277" t="n"/>
    </row>
    <row r="66">
      <c r="A66" s="275" t="n"/>
      <c r="B66" s="276" t="n"/>
      <c r="C66" s="326" t="n"/>
      <c r="D66" s="326" t="n"/>
      <c r="E66" s="326" t="n"/>
      <c r="F66" s="326" t="n"/>
      <c r="G66" s="326" t="n"/>
      <c r="H66" s="326" t="n"/>
      <c r="I66" s="326" t="n"/>
      <c r="J66" s="326" t="n"/>
      <c r="K66" s="326" t="n"/>
      <c r="L66" s="326" t="n"/>
      <c r="M66" s="326" t="n"/>
      <c r="N66" s="326" t="n"/>
      <c r="O66" s="326" t="n"/>
      <c r="P66" s="276" t="n"/>
      <c r="Q66" s="276" t="n"/>
      <c r="R66" s="276" t="n"/>
      <c r="S66" s="276" t="n"/>
      <c r="T66" s="276" t="n"/>
      <c r="U66" s="276" t="n"/>
      <c r="V66" s="277" t="n"/>
    </row>
    <row r="67">
      <c r="A67" s="275" t="n"/>
      <c r="B67" s="276" t="n"/>
      <c r="C67" s="326" t="n"/>
      <c r="D67" s="326" t="n"/>
      <c r="E67" s="326" t="n"/>
      <c r="F67" s="326" t="n"/>
      <c r="G67" s="326" t="n"/>
      <c r="H67" s="326" t="n"/>
      <c r="I67" s="326" t="n"/>
      <c r="J67" s="326" t="n"/>
      <c r="K67" s="326" t="n"/>
      <c r="L67" s="326" t="n"/>
      <c r="M67" s="326" t="n"/>
      <c r="N67" s="326" t="n"/>
      <c r="O67" s="326" t="n"/>
      <c r="P67" s="276" t="n"/>
      <c r="Q67" s="276" t="n"/>
      <c r="R67" s="276" t="n"/>
      <c r="S67" s="276" t="n"/>
      <c r="T67" s="276" t="n"/>
      <c r="U67" s="276" t="n"/>
      <c r="V67" s="277" t="n"/>
    </row>
    <row r="68">
      <c r="A68" s="275" t="n"/>
      <c r="B68" s="276" t="n"/>
      <c r="C68" s="326" t="n"/>
      <c r="D68" s="326" t="n"/>
      <c r="E68" s="326" t="n"/>
      <c r="F68" s="326" t="n"/>
      <c r="G68" s="326" t="n"/>
      <c r="H68" s="326" t="n"/>
      <c r="I68" s="326" t="n"/>
      <c r="J68" s="326" t="n"/>
      <c r="K68" s="326" t="n"/>
      <c r="L68" s="326" t="n"/>
      <c r="M68" s="326" t="n"/>
      <c r="N68" s="326" t="n"/>
      <c r="O68" s="326" t="n"/>
      <c r="P68" s="276" t="n"/>
      <c r="Q68" s="276" t="n"/>
      <c r="R68" s="276" t="n"/>
      <c r="S68" s="276" t="n"/>
      <c r="T68" s="276" t="n"/>
      <c r="U68" s="276" t="n"/>
      <c r="V68" s="277" t="n"/>
    </row>
    <row r="69">
      <c r="A69" s="275" t="n"/>
      <c r="B69" s="276" t="n"/>
      <c r="C69" s="326" t="n"/>
      <c r="D69" s="326" t="n"/>
      <c r="E69" s="326" t="n"/>
      <c r="F69" s="326" t="n"/>
      <c r="G69" s="326" t="n"/>
      <c r="H69" s="326" t="n"/>
      <c r="I69" s="326" t="n"/>
      <c r="J69" s="326" t="n"/>
      <c r="K69" s="326" t="n"/>
      <c r="L69" s="326" t="n"/>
      <c r="M69" s="326" t="n"/>
      <c r="N69" s="326" t="n"/>
      <c r="O69" s="326" t="n"/>
      <c r="P69" s="276" t="n"/>
      <c r="Q69" s="276" t="n"/>
      <c r="R69" s="276" t="n"/>
      <c r="S69" s="276" t="n"/>
      <c r="T69" s="276" t="n"/>
      <c r="U69" s="276" t="n"/>
      <c r="V69" s="277" t="n"/>
    </row>
    <row r="70">
      <c r="A70" s="275" t="n"/>
      <c r="B70" s="276" t="n"/>
      <c r="C70" s="326" t="n"/>
      <c r="D70" s="326" t="n"/>
      <c r="E70" s="326" t="n"/>
      <c r="F70" s="326" t="n"/>
      <c r="G70" s="326" t="n"/>
      <c r="H70" s="326" t="n"/>
      <c r="I70" s="326" t="n"/>
      <c r="J70" s="326" t="n"/>
      <c r="K70" s="326" t="n"/>
      <c r="L70" s="326" t="n"/>
      <c r="M70" s="326" t="n"/>
      <c r="N70" s="326" t="n"/>
      <c r="O70" s="326" t="n"/>
      <c r="P70" s="276" t="n"/>
      <c r="Q70" s="276" t="n"/>
      <c r="R70" s="276" t="n"/>
      <c r="S70" s="276" t="n"/>
      <c r="T70" s="276" t="n"/>
      <c r="U70" s="276" t="n"/>
      <c r="V70" s="277" t="n"/>
    </row>
    <row r="71">
      <c r="A71" s="275" t="n"/>
      <c r="B71" s="276" t="n"/>
      <c r="C71" s="326" t="n"/>
      <c r="D71" s="326" t="n"/>
      <c r="E71" s="326" t="n"/>
      <c r="F71" s="326" t="n"/>
      <c r="G71" s="326" t="n"/>
      <c r="H71" s="326" t="n"/>
      <c r="I71" s="326" t="n"/>
      <c r="J71" s="326" t="n"/>
      <c r="K71" s="326" t="n"/>
      <c r="L71" s="326" t="n"/>
      <c r="M71" s="326" t="n"/>
      <c r="N71" s="326" t="n"/>
      <c r="O71" s="326" t="n"/>
      <c r="P71" s="276" t="n"/>
      <c r="Q71" s="276" t="n"/>
      <c r="R71" s="276" t="n"/>
      <c r="S71" s="276" t="n"/>
      <c r="T71" s="276" t="n"/>
      <c r="U71" s="276" t="n"/>
      <c r="V71" s="277" t="n"/>
    </row>
    <row r="72">
      <c r="A72" s="275" t="n"/>
      <c r="B72" s="276" t="n"/>
      <c r="C72" s="326" t="n"/>
      <c r="D72" s="326" t="n"/>
      <c r="E72" s="326" t="n"/>
      <c r="F72" s="326" t="n"/>
      <c r="G72" s="326" t="n"/>
      <c r="H72" s="326" t="n"/>
      <c r="I72" s="326" t="n"/>
      <c r="J72" s="326" t="n"/>
      <c r="K72" s="326" t="n"/>
      <c r="L72" s="326" t="n"/>
      <c r="M72" s="326" t="n"/>
      <c r="N72" s="326" t="n"/>
      <c r="O72" s="326" t="n"/>
      <c r="P72" s="276" t="n"/>
      <c r="Q72" s="276" t="n"/>
      <c r="R72" s="276" t="n"/>
      <c r="S72" s="276" t="n"/>
      <c r="T72" s="276" t="n"/>
      <c r="U72" s="276" t="n"/>
      <c r="V72" s="277" t="n"/>
    </row>
    <row r="73">
      <c r="A73" s="275" t="n"/>
      <c r="B73" s="276" t="n"/>
      <c r="C73" s="326" t="n"/>
      <c r="D73" s="326" t="n"/>
      <c r="E73" s="326" t="n"/>
      <c r="F73" s="326" t="n"/>
      <c r="G73" s="326" t="n"/>
      <c r="H73" s="326" t="n"/>
      <c r="I73" s="326" t="n"/>
      <c r="J73" s="326" t="n"/>
      <c r="K73" s="326" t="n"/>
      <c r="L73" s="326" t="n"/>
      <c r="M73" s="326" t="n"/>
      <c r="N73" s="326" t="n"/>
      <c r="O73" s="326" t="n"/>
      <c r="P73" s="276" t="n"/>
      <c r="Q73" s="276" t="n"/>
      <c r="R73" s="276" t="n"/>
      <c r="S73" s="276" t="n"/>
      <c r="T73" s="276" t="n"/>
      <c r="U73" s="276" t="n"/>
      <c r="V73" s="277" t="n"/>
    </row>
    <row r="74">
      <c r="A74" s="275" t="n"/>
      <c r="B74" s="276" t="n"/>
      <c r="C74" s="326" t="n"/>
      <c r="D74" s="326" t="n"/>
      <c r="E74" s="326" t="n"/>
      <c r="F74" s="326" t="n"/>
      <c r="G74" s="326" t="n"/>
      <c r="H74" s="326" t="n"/>
      <c r="I74" s="326" t="n"/>
      <c r="J74" s="326" t="n"/>
      <c r="K74" s="326" t="n"/>
      <c r="L74" s="326" t="n"/>
      <c r="M74" s="326" t="n"/>
      <c r="N74" s="326" t="n"/>
      <c r="O74" s="326" t="n"/>
      <c r="P74" s="276" t="n"/>
      <c r="Q74" s="276" t="n"/>
      <c r="R74" s="276" t="n"/>
      <c r="S74" s="276" t="n"/>
      <c r="T74" s="276" t="n"/>
      <c r="U74" s="276" t="n"/>
      <c r="V74" s="277" t="n"/>
    </row>
    <row r="75">
      <c r="A75" s="275" t="n"/>
      <c r="B75" s="276" t="n"/>
      <c r="C75" s="326" t="n"/>
      <c r="D75" s="326" t="n"/>
      <c r="E75" s="326" t="n"/>
      <c r="F75" s="326" t="n"/>
      <c r="G75" s="326" t="n"/>
      <c r="H75" s="326" t="n"/>
      <c r="I75" s="326" t="n"/>
      <c r="J75" s="326" t="n"/>
      <c r="K75" s="326" t="n"/>
      <c r="L75" s="326" t="n"/>
      <c r="M75" s="326" t="n"/>
      <c r="N75" s="326" t="n"/>
      <c r="O75" s="326" t="n"/>
      <c r="P75" s="276" t="n"/>
      <c r="Q75" s="276" t="n"/>
      <c r="R75" s="276" t="n"/>
      <c r="S75" s="276" t="n"/>
      <c r="T75" s="276" t="n"/>
      <c r="U75" s="276" t="n"/>
      <c r="V75" s="277" t="n"/>
    </row>
    <row r="76">
      <c r="A76" s="275" t="n"/>
      <c r="B76" s="276" t="n"/>
      <c r="C76" s="326" t="n"/>
      <c r="D76" s="326" t="n"/>
      <c r="E76" s="326" t="n"/>
      <c r="F76" s="326" t="n"/>
      <c r="G76" s="326" t="n"/>
      <c r="H76" s="326" t="n"/>
      <c r="I76" s="326" t="n"/>
      <c r="J76" s="326" t="n"/>
      <c r="K76" s="326" t="n"/>
      <c r="L76" s="326" t="n"/>
      <c r="M76" s="326" t="n"/>
      <c r="N76" s="326" t="n"/>
      <c r="O76" s="326" t="n"/>
      <c r="P76" s="276" t="n"/>
      <c r="Q76" s="276" t="n"/>
      <c r="R76" s="276" t="n"/>
      <c r="S76" s="276" t="n"/>
      <c r="T76" s="276" t="n"/>
      <c r="U76" s="276" t="n"/>
      <c r="V76" s="277" t="n"/>
    </row>
    <row r="77">
      <c r="A77" s="275" t="n"/>
      <c r="B77" s="276" t="n"/>
      <c r="C77" s="326" t="n"/>
      <c r="D77" s="326" t="n"/>
      <c r="E77" s="326" t="n"/>
      <c r="F77" s="326" t="n"/>
      <c r="G77" s="326" t="n"/>
      <c r="H77" s="326" t="n"/>
      <c r="I77" s="326" t="n"/>
      <c r="J77" s="326" t="n"/>
      <c r="K77" s="326" t="n"/>
      <c r="L77" s="326" t="n"/>
      <c r="M77" s="326" t="n"/>
      <c r="N77" s="326" t="n"/>
      <c r="O77" s="326" t="n"/>
      <c r="P77" s="276" t="n"/>
      <c r="Q77" s="276" t="n"/>
      <c r="R77" s="276" t="n"/>
      <c r="S77" s="276" t="n"/>
      <c r="T77" s="276" t="n"/>
      <c r="U77" s="276" t="n"/>
      <c r="V77" s="277" t="n"/>
    </row>
    <row r="78">
      <c r="A78" s="275" t="n"/>
      <c r="B78" s="276" t="n"/>
      <c r="C78" s="326" t="n"/>
      <c r="D78" s="326" t="n"/>
      <c r="E78" s="326" t="n"/>
      <c r="F78" s="326" t="n"/>
      <c r="G78" s="326" t="n"/>
      <c r="H78" s="326" t="n"/>
      <c r="I78" s="326" t="n"/>
      <c r="J78" s="326" t="n"/>
      <c r="K78" s="326" t="n"/>
      <c r="L78" s="326" t="n"/>
      <c r="M78" s="326" t="n"/>
      <c r="N78" s="326" t="n"/>
      <c r="O78" s="326" t="n"/>
      <c r="P78" s="276" t="n"/>
      <c r="Q78" s="276" t="n"/>
      <c r="R78" s="276" t="n"/>
      <c r="S78" s="276" t="n"/>
      <c r="T78" s="276" t="n"/>
      <c r="U78" s="276" t="n"/>
      <c r="V78" s="277" t="n"/>
    </row>
    <row r="79">
      <c r="A79" s="275" t="n"/>
      <c r="B79" s="276" t="n"/>
      <c r="C79" s="326" t="n"/>
      <c r="D79" s="326" t="n"/>
      <c r="E79" s="326" t="n"/>
      <c r="F79" s="326" t="n"/>
      <c r="G79" s="326" t="n"/>
      <c r="H79" s="326" t="n"/>
      <c r="I79" s="326" t="n"/>
      <c r="J79" s="326" t="n"/>
      <c r="K79" s="326" t="n"/>
      <c r="L79" s="326" t="n"/>
      <c r="M79" s="326" t="n"/>
      <c r="N79" s="326" t="n"/>
      <c r="O79" s="326" t="n"/>
      <c r="P79" s="276" t="n"/>
      <c r="Q79" s="276" t="n"/>
      <c r="R79" s="276" t="n"/>
      <c r="S79" s="276" t="n"/>
      <c r="T79" s="276" t="n"/>
      <c r="U79" s="276" t="n"/>
      <c r="V79" s="277" t="n"/>
    </row>
    <row r="80">
      <c r="A80" s="275" t="n"/>
      <c r="B80" s="276" t="n"/>
      <c r="C80" s="326" t="n"/>
      <c r="D80" s="326" t="n"/>
      <c r="E80" s="326" t="n"/>
      <c r="F80" s="326" t="n"/>
      <c r="G80" s="326" t="n"/>
      <c r="H80" s="326" t="n"/>
      <c r="I80" s="326" t="n"/>
      <c r="J80" s="326" t="n"/>
      <c r="K80" s="326" t="n"/>
      <c r="L80" s="326" t="n"/>
      <c r="M80" s="326" t="n"/>
      <c r="N80" s="326" t="n"/>
      <c r="O80" s="326" t="n"/>
      <c r="P80" s="276" t="n"/>
      <c r="Q80" s="276" t="n"/>
      <c r="R80" s="276" t="n"/>
      <c r="S80" s="276" t="n"/>
      <c r="T80" s="276" t="n"/>
      <c r="U80" s="276" t="n"/>
      <c r="V80" s="277" t="n"/>
    </row>
    <row r="81">
      <c r="A81" s="275" t="n"/>
      <c r="B81" s="276" t="n"/>
      <c r="C81" s="326" t="n"/>
      <c r="D81" s="326" t="n"/>
      <c r="E81" s="326" t="n"/>
      <c r="F81" s="326" t="n"/>
      <c r="G81" s="326" t="n"/>
      <c r="H81" s="326" t="n"/>
      <c r="I81" s="326" t="n"/>
      <c r="J81" s="326" t="n"/>
      <c r="K81" s="326" t="n"/>
      <c r="L81" s="326" t="n"/>
      <c r="M81" s="326" t="n"/>
      <c r="N81" s="326" t="n"/>
      <c r="O81" s="326" t="n"/>
      <c r="P81" s="276" t="n"/>
      <c r="Q81" s="276" t="n"/>
      <c r="R81" s="276" t="n"/>
      <c r="S81" s="276" t="n"/>
      <c r="T81" s="276" t="n"/>
      <c r="U81" s="276" t="n"/>
      <c r="V81" s="277" t="n"/>
    </row>
    <row r="82">
      <c r="A82" s="275" t="n"/>
      <c r="B82" s="276" t="n"/>
      <c r="C82" s="326" t="n"/>
      <c r="D82" s="326" t="n"/>
      <c r="E82" s="326" t="n"/>
      <c r="F82" s="326" t="n"/>
      <c r="G82" s="326" t="n"/>
      <c r="H82" s="326" t="n"/>
      <c r="I82" s="326" t="n"/>
      <c r="J82" s="326" t="n"/>
      <c r="K82" s="326" t="n"/>
      <c r="L82" s="326" t="n"/>
      <c r="M82" s="326" t="n"/>
      <c r="N82" s="326" t="n"/>
      <c r="O82" s="326" t="n"/>
      <c r="P82" s="276" t="n"/>
      <c r="Q82" s="276" t="n"/>
      <c r="R82" s="276" t="n"/>
      <c r="S82" s="276" t="n"/>
      <c r="T82" s="276" t="n"/>
      <c r="U82" s="276" t="n"/>
      <c r="V82" s="277" t="n"/>
    </row>
    <row r="83">
      <c r="A83" s="275" t="n"/>
      <c r="B83" s="276" t="n"/>
      <c r="C83" s="326" t="n"/>
      <c r="D83" s="326" t="n"/>
      <c r="E83" s="326" t="n"/>
      <c r="F83" s="326" t="n"/>
      <c r="G83" s="326" t="n"/>
      <c r="H83" s="326" t="n"/>
      <c r="I83" s="326" t="n"/>
      <c r="J83" s="326" t="n"/>
      <c r="K83" s="326" t="n"/>
      <c r="L83" s="326" t="n"/>
      <c r="M83" s="326" t="n"/>
      <c r="N83" s="326" t="n"/>
      <c r="O83" s="326" t="n"/>
      <c r="P83" s="276" t="n"/>
      <c r="Q83" s="276" t="n"/>
      <c r="R83" s="276" t="n"/>
      <c r="S83" s="276" t="n"/>
      <c r="T83" s="276" t="n"/>
      <c r="U83" s="276" t="n"/>
      <c r="V83" s="277" t="n"/>
    </row>
    <row r="84">
      <c r="A84" s="275" t="n"/>
      <c r="B84" s="276" t="n"/>
      <c r="C84" s="326" t="n"/>
      <c r="D84" s="326" t="n"/>
      <c r="E84" s="326" t="n"/>
      <c r="F84" s="326" t="n"/>
      <c r="G84" s="326" t="n"/>
      <c r="H84" s="326" t="n"/>
      <c r="I84" s="326" t="n"/>
      <c r="J84" s="326" t="n"/>
      <c r="K84" s="326" t="n"/>
      <c r="L84" s="326" t="n"/>
      <c r="M84" s="326" t="n"/>
      <c r="N84" s="326" t="n"/>
      <c r="O84" s="326" t="n"/>
      <c r="P84" s="276" t="n"/>
      <c r="Q84" s="276" t="n"/>
      <c r="R84" s="276" t="n"/>
      <c r="S84" s="276" t="n"/>
      <c r="T84" s="276" t="n"/>
      <c r="U84" s="276" t="n"/>
      <c r="V84" s="277" t="n"/>
    </row>
    <row r="85">
      <c r="A85" s="275" t="n"/>
      <c r="B85" s="276" t="n"/>
      <c r="C85" s="326" t="n"/>
      <c r="D85" s="326" t="n"/>
      <c r="E85" s="326" t="n"/>
      <c r="F85" s="326" t="n"/>
      <c r="G85" s="326" t="n"/>
      <c r="H85" s="326" t="n"/>
      <c r="I85" s="326" t="n"/>
      <c r="J85" s="326" t="n"/>
      <c r="K85" s="326" t="n"/>
      <c r="L85" s="326" t="n"/>
      <c r="M85" s="326" t="n"/>
      <c r="N85" s="326" t="n"/>
      <c r="O85" s="326" t="n"/>
      <c r="P85" s="276" t="n"/>
      <c r="Q85" s="276" t="n"/>
      <c r="R85" s="276" t="n"/>
      <c r="S85" s="276" t="n"/>
      <c r="T85" s="276" t="n"/>
      <c r="U85" s="276" t="n"/>
      <c r="V85" s="277" t="n"/>
    </row>
    <row r="86">
      <c r="A86" s="275" t="n"/>
      <c r="B86" s="276" t="n"/>
      <c r="C86" s="326" t="n"/>
      <c r="D86" s="326" t="n"/>
      <c r="E86" s="326" t="n"/>
      <c r="F86" s="326" t="n"/>
      <c r="G86" s="326" t="n"/>
      <c r="H86" s="326" t="n"/>
      <c r="I86" s="326" t="n"/>
      <c r="J86" s="326" t="n"/>
      <c r="K86" s="326" t="n"/>
      <c r="L86" s="326" t="n"/>
      <c r="M86" s="326" t="n"/>
      <c r="N86" s="326" t="n"/>
      <c r="O86" s="326" t="n"/>
      <c r="P86" s="276" t="n"/>
      <c r="Q86" s="276" t="n"/>
      <c r="R86" s="276" t="n"/>
      <c r="S86" s="276" t="n"/>
      <c r="T86" s="276" t="n"/>
      <c r="U86" s="276" t="n"/>
      <c r="V86" s="277" t="n"/>
    </row>
    <row r="87">
      <c r="A87" s="275" t="n"/>
      <c r="B87" s="276" t="n"/>
      <c r="C87" s="326" t="n"/>
      <c r="D87" s="326" t="n"/>
      <c r="E87" s="326" t="n"/>
      <c r="F87" s="326" t="n"/>
      <c r="G87" s="326" t="n"/>
      <c r="H87" s="326" t="n"/>
      <c r="I87" s="326" t="n"/>
      <c r="J87" s="326" t="n"/>
      <c r="K87" s="326" t="n"/>
      <c r="L87" s="326" t="n"/>
      <c r="M87" s="326" t="n"/>
      <c r="N87" s="326" t="n"/>
      <c r="O87" s="326" t="n"/>
      <c r="P87" s="276" t="n"/>
      <c r="Q87" s="276" t="n"/>
      <c r="R87" s="276" t="n"/>
      <c r="S87" s="276" t="n"/>
      <c r="T87" s="276" t="n"/>
      <c r="U87" s="276" t="n"/>
      <c r="V87" s="277" t="n"/>
    </row>
    <row r="88">
      <c r="A88" s="275" t="n"/>
      <c r="B88" s="276" t="n"/>
      <c r="C88" s="326" t="n"/>
      <c r="D88" s="326" t="n"/>
      <c r="E88" s="326" t="n"/>
      <c r="F88" s="326" t="n"/>
      <c r="G88" s="326" t="n"/>
      <c r="H88" s="326" t="n"/>
      <c r="I88" s="326" t="n"/>
      <c r="J88" s="326" t="n"/>
      <c r="K88" s="326" t="n"/>
      <c r="L88" s="326" t="n"/>
      <c r="M88" s="326" t="n"/>
      <c r="N88" s="326" t="n"/>
      <c r="O88" s="326" t="n"/>
      <c r="P88" s="276" t="n"/>
      <c r="Q88" s="276" t="n"/>
      <c r="R88" s="276" t="n"/>
      <c r="S88" s="276" t="n"/>
      <c r="T88" s="276" t="n"/>
      <c r="U88" s="276" t="n"/>
      <c r="V88" s="277" t="n"/>
    </row>
    <row r="89">
      <c r="A89" s="275" t="n"/>
      <c r="B89" s="276" t="n"/>
      <c r="C89" s="326" t="n"/>
      <c r="D89" s="326" t="n"/>
      <c r="E89" s="326" t="n"/>
      <c r="F89" s="326" t="n"/>
      <c r="G89" s="326" t="n"/>
      <c r="H89" s="326" t="n"/>
      <c r="I89" s="326" t="n"/>
      <c r="J89" s="326" t="n"/>
      <c r="K89" s="326" t="n"/>
      <c r="L89" s="326" t="n"/>
      <c r="M89" s="326" t="n"/>
      <c r="N89" s="326" t="n"/>
      <c r="O89" s="326" t="n"/>
      <c r="P89" s="276" t="n"/>
      <c r="Q89" s="276" t="n"/>
      <c r="R89" s="276" t="n"/>
      <c r="S89" s="276" t="n"/>
      <c r="T89" s="276" t="n"/>
      <c r="U89" s="276" t="n"/>
      <c r="V89" s="277" t="n"/>
    </row>
    <row r="90">
      <c r="A90" s="275" t="n"/>
      <c r="B90" s="276" t="n"/>
      <c r="C90" s="326" t="n"/>
      <c r="D90" s="326" t="n"/>
      <c r="E90" s="326" t="n"/>
      <c r="F90" s="326" t="n"/>
      <c r="G90" s="326" t="n"/>
      <c r="H90" s="326" t="n"/>
      <c r="I90" s="326" t="n"/>
      <c r="J90" s="326" t="n"/>
      <c r="K90" s="326" t="n"/>
      <c r="L90" s="326" t="n"/>
      <c r="M90" s="326" t="n"/>
      <c r="N90" s="326" t="n"/>
      <c r="O90" s="326" t="n"/>
      <c r="P90" s="276" t="n"/>
      <c r="Q90" s="276" t="n"/>
      <c r="R90" s="276" t="n"/>
      <c r="S90" s="276" t="n"/>
      <c r="T90" s="276" t="n"/>
      <c r="U90" s="276" t="n"/>
      <c r="V90" s="277" t="n"/>
    </row>
    <row r="91">
      <c r="A91" s="275" t="n"/>
      <c r="B91" s="276" t="n"/>
      <c r="C91" s="326" t="n"/>
      <c r="D91" s="326" t="n"/>
      <c r="E91" s="326" t="n"/>
      <c r="F91" s="326" t="n"/>
      <c r="G91" s="326" t="n"/>
      <c r="H91" s="326" t="n"/>
      <c r="I91" s="326" t="n"/>
      <c r="J91" s="326" t="n"/>
      <c r="K91" s="326" t="n"/>
      <c r="L91" s="326" t="n"/>
      <c r="M91" s="326" t="n"/>
      <c r="N91" s="326" t="n"/>
      <c r="O91" s="326" t="n"/>
      <c r="P91" s="276" t="n"/>
      <c r="Q91" s="276" t="n"/>
      <c r="R91" s="276" t="n"/>
      <c r="S91" s="276" t="n"/>
      <c r="T91" s="276" t="n"/>
      <c r="U91" s="276" t="n"/>
      <c r="V91" s="277" t="n"/>
    </row>
    <row r="92">
      <c r="A92" s="275" t="n"/>
      <c r="B92" s="276" t="n"/>
      <c r="C92" s="326" t="n"/>
      <c r="D92" s="326" t="n"/>
      <c r="E92" s="326" t="n"/>
      <c r="F92" s="326" t="n"/>
      <c r="G92" s="326" t="n"/>
      <c r="H92" s="326" t="n"/>
      <c r="I92" s="326" t="n"/>
      <c r="J92" s="326" t="n"/>
      <c r="K92" s="326" t="n"/>
      <c r="L92" s="326" t="n"/>
      <c r="M92" s="326" t="n"/>
      <c r="N92" s="326" t="n"/>
      <c r="O92" s="326" t="n"/>
      <c r="P92" s="276" t="n"/>
      <c r="Q92" s="276" t="n"/>
      <c r="R92" s="276" t="n"/>
      <c r="S92" s="276" t="n"/>
      <c r="T92" s="276" t="n"/>
      <c r="U92" s="276" t="n"/>
      <c r="V92" s="277" t="n"/>
    </row>
    <row r="93">
      <c r="A93" s="275" t="n"/>
      <c r="B93" s="276" t="n"/>
      <c r="C93" s="326" t="n"/>
      <c r="D93" s="326" t="n"/>
      <c r="E93" s="326" t="n"/>
      <c r="F93" s="326" t="n"/>
      <c r="G93" s="326" t="n"/>
      <c r="H93" s="326" t="n"/>
      <c r="I93" s="326" t="n"/>
      <c r="J93" s="326" t="n"/>
      <c r="K93" s="326" t="n"/>
      <c r="L93" s="326" t="n"/>
      <c r="M93" s="326" t="n"/>
      <c r="N93" s="326" t="n"/>
      <c r="O93" s="326" t="n"/>
      <c r="P93" s="276" t="n"/>
      <c r="Q93" s="276" t="n"/>
      <c r="R93" s="276" t="n"/>
      <c r="S93" s="276" t="n"/>
      <c r="T93" s="276" t="n"/>
      <c r="U93" s="276" t="n"/>
      <c r="V93" s="277" t="n"/>
    </row>
    <row r="94">
      <c r="A94" s="275" t="n"/>
      <c r="B94" s="276" t="n"/>
      <c r="C94" s="326" t="n"/>
      <c r="D94" s="326" t="n"/>
      <c r="E94" s="326" t="n"/>
      <c r="F94" s="326" t="n"/>
      <c r="G94" s="326" t="n"/>
      <c r="H94" s="326" t="n"/>
      <c r="I94" s="326" t="n"/>
      <c r="J94" s="326" t="n"/>
      <c r="K94" s="326" t="n"/>
      <c r="L94" s="326" t="n"/>
      <c r="M94" s="326" t="n"/>
      <c r="N94" s="326" t="n"/>
      <c r="O94" s="326" t="n"/>
      <c r="P94" s="276" t="n"/>
      <c r="Q94" s="276" t="n"/>
      <c r="R94" s="276" t="n"/>
      <c r="S94" s="276" t="n"/>
      <c r="T94" s="276" t="n"/>
      <c r="U94" s="276" t="n"/>
      <c r="V94" s="277" t="n"/>
    </row>
    <row r="95">
      <c r="A95" s="275" t="n"/>
      <c r="B95" s="276" t="n"/>
      <c r="C95" s="326" t="n"/>
      <c r="D95" s="326" t="n"/>
      <c r="E95" s="326" t="n"/>
      <c r="F95" s="326" t="n"/>
      <c r="G95" s="326" t="n"/>
      <c r="H95" s="326" t="n"/>
      <c r="I95" s="326" t="n"/>
      <c r="J95" s="326" t="n"/>
      <c r="K95" s="326" t="n"/>
      <c r="L95" s="326" t="n"/>
      <c r="M95" s="326" t="n"/>
      <c r="N95" s="326" t="n"/>
      <c r="O95" s="326" t="n"/>
      <c r="P95" s="276" t="n"/>
      <c r="Q95" s="276" t="n"/>
      <c r="R95" s="276" t="n"/>
      <c r="S95" s="276" t="n"/>
      <c r="T95" s="276" t="n"/>
      <c r="U95" s="276" t="n"/>
      <c r="V95" s="277" t="n"/>
    </row>
    <row r="96">
      <c r="A96" s="275" t="n"/>
      <c r="B96" s="276" t="n"/>
      <c r="C96" s="326" t="n"/>
      <c r="D96" s="326" t="n"/>
      <c r="E96" s="326" t="n"/>
      <c r="F96" s="326" t="n"/>
      <c r="G96" s="326" t="n"/>
      <c r="H96" s="326" t="n"/>
      <c r="I96" s="326" t="n"/>
      <c r="J96" s="326" t="n"/>
      <c r="K96" s="326" t="n"/>
      <c r="L96" s="326" t="n"/>
      <c r="M96" s="326" t="n"/>
      <c r="N96" s="326" t="n"/>
      <c r="O96" s="326" t="n"/>
      <c r="P96" s="276" t="n"/>
      <c r="Q96" s="276" t="n"/>
      <c r="R96" s="276" t="n"/>
      <c r="S96" s="276" t="n"/>
      <c r="T96" s="276" t="n"/>
      <c r="U96" s="276" t="n"/>
      <c r="V96" s="277" t="n"/>
    </row>
    <row r="97">
      <c r="A97" s="275" t="n"/>
      <c r="B97" s="276" t="n"/>
      <c r="C97" s="326" t="n"/>
      <c r="D97" s="326" t="n"/>
      <c r="E97" s="326" t="n"/>
      <c r="F97" s="326" t="n"/>
      <c r="G97" s="326" t="n"/>
      <c r="H97" s="326" t="n"/>
      <c r="I97" s="326" t="n"/>
      <c r="J97" s="326" t="n"/>
      <c r="K97" s="326" t="n"/>
      <c r="L97" s="326" t="n"/>
      <c r="M97" s="326" t="n"/>
      <c r="N97" s="326" t="n"/>
      <c r="O97" s="326" t="n"/>
      <c r="P97" s="276" t="n"/>
      <c r="Q97" s="276" t="n"/>
      <c r="R97" s="276" t="n"/>
      <c r="S97" s="276" t="n"/>
      <c r="T97" s="276" t="n"/>
      <c r="U97" s="276" t="n"/>
      <c r="V97" s="277" t="n"/>
    </row>
    <row r="98">
      <c r="A98" s="275" t="n"/>
      <c r="B98" s="276" t="n"/>
      <c r="C98" s="326" t="n"/>
      <c r="D98" s="326" t="n"/>
      <c r="E98" s="326" t="n"/>
      <c r="F98" s="326" t="n"/>
      <c r="G98" s="326" t="n"/>
      <c r="H98" s="326" t="n"/>
      <c r="I98" s="326" t="n"/>
      <c r="J98" s="326" t="n"/>
      <c r="K98" s="326" t="n"/>
      <c r="L98" s="326" t="n"/>
      <c r="M98" s="326" t="n"/>
      <c r="N98" s="326" t="n"/>
      <c r="O98" s="326" t="n"/>
      <c r="P98" s="276" t="n"/>
      <c r="Q98" s="276" t="n"/>
      <c r="R98" s="276" t="n"/>
      <c r="S98" s="276" t="n"/>
      <c r="T98" s="276" t="n"/>
      <c r="U98" s="276" t="n"/>
      <c r="V98" s="277" t="n"/>
    </row>
    <row r="99">
      <c r="A99" s="275" t="n"/>
      <c r="B99" s="276" t="n"/>
      <c r="C99" s="326" t="n"/>
      <c r="D99" s="326" t="n"/>
      <c r="E99" s="326" t="n"/>
      <c r="F99" s="326" t="n"/>
      <c r="G99" s="326" t="n"/>
      <c r="H99" s="326" t="n"/>
      <c r="I99" s="326" t="n"/>
      <c r="J99" s="326" t="n"/>
      <c r="K99" s="326" t="n"/>
      <c r="L99" s="326" t="n"/>
      <c r="M99" s="326" t="n"/>
      <c r="N99" s="326" t="n"/>
      <c r="O99" s="326" t="n"/>
      <c r="P99" s="276" t="n"/>
      <c r="Q99" s="276" t="n"/>
      <c r="R99" s="276" t="n"/>
      <c r="S99" s="276" t="n"/>
      <c r="T99" s="276" t="n"/>
      <c r="U99" s="276" t="n"/>
      <c r="V99" s="277" t="n"/>
    </row>
    <row r="100">
      <c r="A100" s="275" t="n"/>
      <c r="B100" s="276" t="n"/>
      <c r="C100" s="326" t="n"/>
      <c r="D100" s="326" t="n"/>
      <c r="E100" s="326" t="n"/>
      <c r="F100" s="326" t="n"/>
      <c r="G100" s="326" t="n"/>
      <c r="H100" s="326" t="n"/>
      <c r="I100" s="326" t="n"/>
      <c r="J100" s="326" t="n"/>
      <c r="K100" s="326" t="n"/>
      <c r="L100" s="326" t="n"/>
      <c r="M100" s="326" t="n"/>
      <c r="N100" s="326" t="n"/>
      <c r="O100" s="326" t="n"/>
      <c r="P100" s="276" t="n"/>
      <c r="Q100" s="276" t="n"/>
      <c r="R100" s="276" t="n"/>
      <c r="S100" s="276" t="n"/>
      <c r="T100" s="276" t="n"/>
      <c r="U100" s="276" t="n"/>
      <c r="V100" s="277" t="n"/>
    </row>
    <row r="101">
      <c r="A101" s="275" t="n"/>
      <c r="B101" s="276" t="n"/>
      <c r="C101" s="326" t="n"/>
      <c r="D101" s="326" t="n"/>
      <c r="E101" s="326" t="n"/>
      <c r="F101" s="326" t="n"/>
      <c r="G101" s="326" t="n"/>
      <c r="H101" s="326" t="n"/>
      <c r="I101" s="326" t="n"/>
      <c r="J101" s="326" t="n"/>
      <c r="K101" s="326" t="n"/>
      <c r="L101" s="326" t="n"/>
      <c r="M101" s="326" t="n"/>
      <c r="N101" s="326" t="n"/>
      <c r="O101" s="326" t="n"/>
      <c r="P101" s="276" t="n"/>
      <c r="Q101" s="276" t="n"/>
      <c r="R101" s="276" t="n"/>
      <c r="S101" s="276" t="n"/>
      <c r="T101" s="276" t="n"/>
      <c r="U101" s="276" t="n"/>
      <c r="V101" s="277" t="n"/>
    </row>
    <row r="102">
      <c r="A102" s="275" t="n"/>
      <c r="B102" s="276" t="n"/>
      <c r="C102" s="326" t="n"/>
      <c r="D102" s="326" t="n"/>
      <c r="E102" s="326" t="n"/>
      <c r="F102" s="326" t="n"/>
      <c r="G102" s="326" t="n"/>
      <c r="H102" s="326" t="n"/>
      <c r="I102" s="326" t="n"/>
      <c r="J102" s="326" t="n"/>
      <c r="K102" s="326" t="n"/>
      <c r="L102" s="326" t="n"/>
      <c r="M102" s="326" t="n"/>
      <c r="N102" s="326" t="n"/>
      <c r="O102" s="326" t="n"/>
      <c r="P102" s="276" t="n"/>
      <c r="Q102" s="276" t="n"/>
      <c r="R102" s="276" t="n"/>
      <c r="S102" s="276" t="n"/>
      <c r="T102" s="276" t="n"/>
      <c r="U102" s="276" t="n"/>
      <c r="V102" s="277" t="n"/>
    </row>
    <row r="103">
      <c r="A103" s="275" t="n"/>
      <c r="B103" s="276" t="n"/>
      <c r="C103" s="326" t="n"/>
      <c r="D103" s="326" t="n"/>
      <c r="E103" s="326" t="n"/>
      <c r="F103" s="326" t="n"/>
      <c r="G103" s="326" t="n"/>
      <c r="H103" s="326" t="n"/>
      <c r="I103" s="326" t="n"/>
      <c r="J103" s="326" t="n"/>
      <c r="K103" s="326" t="n"/>
      <c r="L103" s="326" t="n"/>
      <c r="M103" s="326" t="n"/>
      <c r="N103" s="326" t="n"/>
      <c r="O103" s="326" t="n"/>
      <c r="P103" s="276" t="n"/>
      <c r="Q103" s="276" t="n"/>
      <c r="R103" s="276" t="n"/>
      <c r="S103" s="276" t="n"/>
      <c r="T103" s="276" t="n"/>
      <c r="U103" s="276" t="n"/>
      <c r="V103" s="277" t="n"/>
    </row>
    <row r="104">
      <c r="A104" s="275" t="n"/>
      <c r="B104" s="276" t="n"/>
      <c r="C104" s="326" t="n"/>
      <c r="D104" s="326" t="n"/>
      <c r="E104" s="326" t="n"/>
      <c r="F104" s="326" t="n"/>
      <c r="G104" s="326" t="n"/>
      <c r="H104" s="326" t="n"/>
      <c r="I104" s="326" t="n"/>
      <c r="J104" s="326" t="n"/>
      <c r="K104" s="326" t="n"/>
      <c r="L104" s="326" t="n"/>
      <c r="M104" s="326" t="n"/>
      <c r="N104" s="326" t="n"/>
      <c r="O104" s="326" t="n"/>
      <c r="P104" s="276" t="n"/>
      <c r="Q104" s="276" t="n"/>
      <c r="R104" s="276" t="n"/>
      <c r="S104" s="276" t="n"/>
      <c r="T104" s="276" t="n"/>
      <c r="U104" s="276" t="n"/>
      <c r="V104" s="277" t="n"/>
    </row>
    <row r="105">
      <c r="A105" s="275" t="n"/>
      <c r="B105" s="276" t="n"/>
      <c r="C105" s="326" t="n"/>
      <c r="D105" s="326" t="n"/>
      <c r="E105" s="326" t="n"/>
      <c r="F105" s="326" t="n"/>
      <c r="G105" s="326" t="n"/>
      <c r="H105" s="326" t="n"/>
      <c r="I105" s="326" t="n"/>
      <c r="J105" s="326" t="n"/>
      <c r="K105" s="326" t="n"/>
      <c r="L105" s="326" t="n"/>
      <c r="M105" s="326" t="n"/>
      <c r="N105" s="326" t="n"/>
      <c r="O105" s="326" t="n"/>
      <c r="P105" s="276" t="n"/>
      <c r="Q105" s="276" t="n"/>
      <c r="R105" s="276" t="n"/>
      <c r="S105" s="276" t="n"/>
      <c r="T105" s="276" t="n"/>
      <c r="U105" s="276" t="n"/>
      <c r="V105" s="277" t="n"/>
    </row>
    <row r="106">
      <c r="A106" s="275" t="n"/>
      <c r="B106" s="276" t="n"/>
      <c r="C106" s="326" t="n"/>
      <c r="D106" s="326" t="n"/>
      <c r="E106" s="326" t="n"/>
      <c r="F106" s="326" t="n"/>
      <c r="G106" s="326" t="n"/>
      <c r="H106" s="326" t="n"/>
      <c r="I106" s="326" t="n"/>
      <c r="J106" s="326" t="n"/>
      <c r="K106" s="326" t="n"/>
      <c r="L106" s="326" t="n"/>
      <c r="M106" s="326" t="n"/>
      <c r="N106" s="326" t="n"/>
      <c r="O106" s="326" t="n"/>
      <c r="P106" s="276" t="n"/>
      <c r="Q106" s="276" t="n"/>
      <c r="R106" s="276" t="n"/>
      <c r="S106" s="276" t="n"/>
      <c r="T106" s="276" t="n"/>
      <c r="U106" s="276" t="n"/>
      <c r="V106" s="277" t="n"/>
    </row>
    <row r="107">
      <c r="A107" s="275" t="n"/>
      <c r="B107" s="276" t="n"/>
      <c r="C107" s="326" t="n"/>
      <c r="D107" s="326" t="n"/>
      <c r="E107" s="326" t="n"/>
      <c r="F107" s="326" t="n"/>
      <c r="G107" s="326" t="n"/>
      <c r="H107" s="326" t="n"/>
      <c r="I107" s="326" t="n"/>
      <c r="J107" s="326" t="n"/>
      <c r="K107" s="326" t="n"/>
      <c r="L107" s="326" t="n"/>
      <c r="M107" s="326" t="n"/>
      <c r="N107" s="326" t="n"/>
      <c r="O107" s="326" t="n"/>
      <c r="P107" s="276" t="n"/>
      <c r="Q107" s="276" t="n"/>
      <c r="R107" s="276" t="n"/>
      <c r="S107" s="276" t="n"/>
      <c r="T107" s="276" t="n"/>
      <c r="U107" s="276" t="n"/>
      <c r="V107" s="277" t="n"/>
    </row>
    <row r="108">
      <c r="A108" s="275" t="n"/>
      <c r="B108" s="276" t="n"/>
      <c r="C108" s="326" t="n"/>
      <c r="D108" s="326" t="n"/>
      <c r="E108" s="326" t="n"/>
      <c r="F108" s="326" t="n"/>
      <c r="G108" s="326" t="n"/>
      <c r="H108" s="326" t="n"/>
      <c r="I108" s="326" t="n"/>
      <c r="J108" s="326" t="n"/>
      <c r="K108" s="326" t="n"/>
      <c r="L108" s="326" t="n"/>
      <c r="M108" s="326" t="n"/>
      <c r="N108" s="326" t="n"/>
      <c r="O108" s="326" t="n"/>
      <c r="P108" s="276" t="n"/>
      <c r="Q108" s="276" t="n"/>
      <c r="R108" s="276" t="n"/>
      <c r="S108" s="276" t="n"/>
      <c r="T108" s="276" t="n"/>
      <c r="U108" s="276" t="n"/>
      <c r="V108" s="277" t="n"/>
    </row>
    <row r="109">
      <c r="A109" s="275" t="n"/>
      <c r="B109" s="276" t="n"/>
      <c r="C109" s="326" t="n"/>
      <c r="D109" s="326" t="n"/>
      <c r="E109" s="326" t="n"/>
      <c r="F109" s="326" t="n"/>
      <c r="G109" s="326" t="n"/>
      <c r="H109" s="326" t="n"/>
      <c r="I109" s="326" t="n"/>
      <c r="J109" s="326" t="n"/>
      <c r="K109" s="326" t="n"/>
      <c r="L109" s="326" t="n"/>
      <c r="M109" s="326" t="n"/>
      <c r="N109" s="326" t="n"/>
      <c r="O109" s="326" t="n"/>
      <c r="P109" s="276" t="n"/>
      <c r="Q109" s="276" t="n"/>
      <c r="R109" s="276" t="n"/>
      <c r="S109" s="276" t="n"/>
      <c r="T109" s="276" t="n"/>
      <c r="U109" s="276" t="n"/>
      <c r="V109" s="277" t="n"/>
    </row>
    <row r="110">
      <c r="A110" s="275" t="n"/>
      <c r="B110" s="276" t="n"/>
      <c r="C110" s="326" t="n"/>
      <c r="D110" s="326" t="n"/>
      <c r="E110" s="326" t="n"/>
      <c r="F110" s="326" t="n"/>
      <c r="G110" s="326" t="n"/>
      <c r="H110" s="326" t="n"/>
      <c r="I110" s="326" t="n"/>
      <c r="J110" s="326" t="n"/>
      <c r="K110" s="326" t="n"/>
      <c r="L110" s="326" t="n"/>
      <c r="M110" s="326" t="n"/>
      <c r="N110" s="326" t="n"/>
      <c r="O110" s="326" t="n"/>
      <c r="P110" s="276" t="n"/>
      <c r="Q110" s="276" t="n"/>
      <c r="R110" s="276" t="n"/>
      <c r="S110" s="276" t="n"/>
      <c r="T110" s="276" t="n"/>
      <c r="U110" s="276" t="n"/>
      <c r="V110" s="277" t="n"/>
    </row>
    <row r="111">
      <c r="A111" s="275" t="n"/>
      <c r="B111" s="276" t="n"/>
      <c r="C111" s="326" t="n"/>
      <c r="D111" s="326" t="n"/>
      <c r="E111" s="326" t="n"/>
      <c r="F111" s="326" t="n"/>
      <c r="G111" s="326" t="n"/>
      <c r="H111" s="326" t="n"/>
      <c r="I111" s="326" t="n"/>
      <c r="J111" s="326" t="n"/>
      <c r="K111" s="326" t="n"/>
      <c r="L111" s="326" t="n"/>
      <c r="M111" s="326" t="n"/>
      <c r="N111" s="326" t="n"/>
      <c r="O111" s="326" t="n"/>
      <c r="P111" s="276" t="n"/>
      <c r="Q111" s="276" t="n"/>
      <c r="R111" s="276" t="n"/>
      <c r="S111" s="276" t="n"/>
      <c r="T111" s="276" t="n"/>
      <c r="U111" s="276" t="n"/>
      <c r="V111" s="277" t="n"/>
    </row>
    <row r="112">
      <c r="A112" s="275" t="n"/>
      <c r="B112" s="276" t="n"/>
      <c r="C112" s="326" t="n"/>
      <c r="D112" s="326" t="n"/>
      <c r="E112" s="326" t="n"/>
      <c r="F112" s="326" t="n"/>
      <c r="G112" s="326" t="n"/>
      <c r="H112" s="326" t="n"/>
      <c r="I112" s="326" t="n"/>
      <c r="J112" s="326" t="n"/>
      <c r="K112" s="326" t="n"/>
      <c r="L112" s="326" t="n"/>
      <c r="M112" s="326" t="n"/>
      <c r="N112" s="326" t="n"/>
      <c r="O112" s="326" t="n"/>
      <c r="P112" s="276" t="n"/>
      <c r="Q112" s="276" t="n"/>
      <c r="R112" s="276" t="n"/>
      <c r="S112" s="276" t="n"/>
      <c r="T112" s="276" t="n"/>
      <c r="U112" s="276" t="n"/>
      <c r="V112" s="277" t="n"/>
    </row>
    <row r="113">
      <c r="A113" s="275" t="n"/>
      <c r="B113" s="276" t="n"/>
      <c r="C113" s="326" t="n"/>
      <c r="D113" s="326" t="n"/>
      <c r="E113" s="326" t="n"/>
      <c r="F113" s="326" t="n"/>
      <c r="G113" s="326" t="n"/>
      <c r="H113" s="326" t="n"/>
      <c r="I113" s="326" t="n"/>
      <c r="J113" s="326" t="n"/>
      <c r="K113" s="326" t="n"/>
      <c r="L113" s="326" t="n"/>
      <c r="M113" s="326" t="n"/>
      <c r="N113" s="326" t="n"/>
      <c r="O113" s="326" t="n"/>
      <c r="P113" s="276" t="n"/>
      <c r="Q113" s="276" t="n"/>
      <c r="R113" s="276" t="n"/>
      <c r="S113" s="276" t="n"/>
      <c r="T113" s="276" t="n"/>
      <c r="U113" s="276" t="n"/>
      <c r="V113" s="277" t="n"/>
    </row>
    <row r="114">
      <c r="A114" s="275" t="n"/>
      <c r="B114" s="276" t="n"/>
      <c r="C114" s="326" t="n"/>
      <c r="D114" s="326" t="n"/>
      <c r="E114" s="326" t="n"/>
      <c r="F114" s="326" t="n"/>
      <c r="G114" s="326" t="n"/>
      <c r="H114" s="326" t="n"/>
      <c r="I114" s="326" t="n"/>
      <c r="J114" s="326" t="n"/>
      <c r="K114" s="326" t="n"/>
      <c r="L114" s="326" t="n"/>
      <c r="M114" s="326" t="n"/>
      <c r="N114" s="326" t="n"/>
      <c r="O114" s="326" t="n"/>
      <c r="P114" s="276" t="n"/>
      <c r="Q114" s="276" t="n"/>
      <c r="R114" s="276" t="n"/>
      <c r="S114" s="276" t="n"/>
      <c r="T114" s="276" t="n"/>
      <c r="U114" s="276" t="n"/>
      <c r="V114" s="277" t="n"/>
    </row>
    <row r="115">
      <c r="A115" s="278" t="n"/>
      <c r="B115" s="279" t="n"/>
      <c r="C115" s="327" t="n"/>
      <c r="D115" s="327" t="n"/>
      <c r="E115" s="327" t="n"/>
      <c r="F115" s="327" t="n"/>
      <c r="G115" s="327" t="n"/>
      <c r="H115" s="327" t="n"/>
      <c r="I115" s="327" t="n"/>
      <c r="J115" s="327" t="n"/>
      <c r="K115" s="327" t="n"/>
      <c r="L115" s="327" t="n"/>
      <c r="M115" s="327" t="n"/>
      <c r="N115" s="327" t="n"/>
      <c r="O115" s="327" t="n"/>
      <c r="P115" s="279" t="n"/>
      <c r="Q115" s="279" t="n"/>
      <c r="R115" s="279" t="n"/>
      <c r="S115" s="279" t="n"/>
      <c r="T115" s="279" t="n"/>
      <c r="U115" s="279" t="n"/>
      <c r="V115" s="280" t="n"/>
    </row>
  </sheetData>
  <mergeCells count="3">
    <mergeCell ref="A2:L2"/>
    <mergeCell ref="A1:L1"/>
    <mergeCell ref="A4:L4"/>
  </mergeCells>
  <dataValidations count="2">
    <dataValidation sqref="C16:D21" showDropDown="0" showInputMessage="0" showErrorMessage="0" allowBlank="0" type="list">
      <formula1>"Yes,No,Unknown"</formula1>
    </dataValidation>
    <dataValidation sqref="L16:L21" showDropDown="0" showInputMessage="0" showErrorMessage="0" allowBlank="0" type="list">
      <formula1>"High,Medium,Low,Not assessed"</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115"/>
  <sheetViews>
    <sheetView showGridLines="0" workbookViewId="0">
      <selection activeCell="A1" sqref="A1"/>
    </sheetView>
  </sheetViews>
  <sheetFormatPr baseColWidth="8" defaultRowHeight="15"/>
  <cols>
    <col width="8.890000343322754" customWidth="1" style="242" min="1" max="1"/>
    <col width="30" customWidth="1" style="242" min="2" max="2"/>
    <col width="16.11000061035156" customWidth="1" style="242" min="3" max="3"/>
    <col width="17.21999931335449" customWidth="1" style="242" min="4" max="4"/>
    <col width="13.89000034332275" customWidth="1" style="242" min="5" max="5"/>
    <col width="12.22000026702881" customWidth="1" style="242" min="6" max="6"/>
    <col width="15" customWidth="1" style="242" min="7" max="7"/>
    <col width="13.32999992370605" customWidth="1" style="242" min="8" max="8"/>
    <col width="42.22000122070312" customWidth="1" style="242" min="9" max="9"/>
    <col width="14.4399995803833" customWidth="1" style="242" min="10" max="10"/>
  </cols>
  <sheetData>
    <row r="1" ht="27" customHeight="1" s="242">
      <c r="A1" s="311" t="inlineStr">
        <is>
          <t>05 — Control Assessment</t>
        </is>
      </c>
    </row>
    <row r="2" ht="34" customHeight="1" s="242">
      <c r="A2" s="247" t="inlineStr">
        <is>
          <t>NIST CSF 2.0-aligned control families with Enterprise ATT&amp;CK mitigation mappings and reference-relative efficacy.</t>
        </is>
      </c>
    </row>
    <row r="15">
      <c r="A15" s="319" t="inlineStr">
        <is>
          <t>Control ID</t>
        </is>
      </c>
      <c r="B15" s="320" t="inlineStr">
        <is>
          <t>Control family</t>
        </is>
      </c>
      <c r="C15" s="320" t="inlineStr">
        <is>
          <t>NIST CSF 2.0</t>
        </is>
      </c>
      <c r="D15" s="320" t="inlineStr">
        <is>
          <t>MITRE mitigations</t>
        </is>
      </c>
      <c r="E15" s="320" t="inlineStr">
        <is>
          <t>Actual maturity</t>
        </is>
      </c>
      <c r="F15" s="320" t="inlineStr">
        <is>
          <t>Actual coverage</t>
        </is>
      </c>
      <c r="G15" s="320" t="inlineStr">
        <is>
          <t>Reference maturity</t>
        </is>
      </c>
      <c r="H15" s="320" t="inlineStr">
        <is>
          <t>Reference coverage</t>
        </is>
      </c>
      <c r="I15" s="320" t="inlineStr">
        <is>
          <t>Evidence / rationale</t>
        </is>
      </c>
      <c r="J15" s="321" t="inlineStr">
        <is>
          <t>Resolved status</t>
        </is>
      </c>
    </row>
    <row r="16">
      <c r="A16" s="272" t="inlineStr">
        <is>
          <t>C01</t>
        </is>
      </c>
      <c r="B16" s="273" t="inlineStr">
        <is>
          <t>Asset and vulnerability management</t>
        </is>
      </c>
      <c r="C16" s="273" t="inlineStr">
        <is>
          <t>ID.AM; ID.RA</t>
        </is>
      </c>
      <c r="D16" s="273" t="inlineStr">
        <is>
          <t>M1016; M1051</t>
        </is>
      </c>
      <c r="E16" s="325" t="inlineStr">
        <is>
          <t>Developing</t>
        </is>
      </c>
      <c r="F16" s="350" t="n">
        <v>0.75</v>
      </c>
      <c r="G16" s="273" t="inlineStr">
        <is>
          <t>Developing</t>
        </is>
      </c>
      <c r="H16" s="304" t="n">
        <v>0.75</v>
      </c>
      <c r="I16" s="273" t="inlineStr">
        <is>
          <t>User assessment required</t>
        </is>
      </c>
      <c r="J16" s="274" t="inlineStr">
        <is>
          <t>Working prior</t>
        </is>
      </c>
    </row>
    <row r="17">
      <c r="A17" s="272" t="inlineStr">
        <is>
          <t>C02</t>
        </is>
      </c>
      <c r="B17" s="273" t="inlineStr">
        <is>
          <t>Identity, authentication and MFA</t>
        </is>
      </c>
      <c r="C17" s="273" t="inlineStr">
        <is>
          <t>PR.AA</t>
        </is>
      </c>
      <c r="D17" s="273" t="inlineStr">
        <is>
          <t>M1032; M1036</t>
        </is>
      </c>
      <c r="E17" s="325" t="inlineStr">
        <is>
          <t>Developing</t>
        </is>
      </c>
      <c r="F17" s="350" t="n">
        <v>0.75</v>
      </c>
      <c r="G17" s="273" t="inlineStr">
        <is>
          <t>Developing</t>
        </is>
      </c>
      <c r="H17" s="304" t="n">
        <v>0.75</v>
      </c>
      <c r="I17" s="273" t="inlineStr">
        <is>
          <t>User assessment required</t>
        </is>
      </c>
      <c r="J17" s="274" t="inlineStr">
        <is>
          <t>Working prior</t>
        </is>
      </c>
    </row>
    <row r="18">
      <c r="A18" s="272" t="inlineStr">
        <is>
          <t>C03</t>
        </is>
      </c>
      <c r="B18" s="273" t="inlineStr">
        <is>
          <t>Privileged access management</t>
        </is>
      </c>
      <c r="C18" s="273" t="inlineStr">
        <is>
          <t>PR.AA</t>
        </is>
      </c>
      <c r="D18" s="273" t="inlineStr">
        <is>
          <t>M1026; M1018</t>
        </is>
      </c>
      <c r="E18" s="325" t="inlineStr">
        <is>
          <t>Developing</t>
        </is>
      </c>
      <c r="F18" s="350" t="n">
        <v>0.75</v>
      </c>
      <c r="G18" s="273" t="inlineStr">
        <is>
          <t>Developing</t>
        </is>
      </c>
      <c r="H18" s="304" t="n">
        <v>0.75</v>
      </c>
      <c r="I18" s="273" t="inlineStr">
        <is>
          <t>User assessment required</t>
        </is>
      </c>
      <c r="J18" s="274" t="inlineStr">
        <is>
          <t>Working prior</t>
        </is>
      </c>
    </row>
    <row r="19">
      <c r="A19" s="272" t="inlineStr">
        <is>
          <t>C04</t>
        </is>
      </c>
      <c r="B19" s="273" t="inlineStr">
        <is>
          <t>Email, web security and awareness</t>
        </is>
      </c>
      <c r="C19" s="273" t="inlineStr">
        <is>
          <t>PR.AT; PR.DS</t>
        </is>
      </c>
      <c r="D19" s="273" t="inlineStr">
        <is>
          <t>M1017; M1021</t>
        </is>
      </c>
      <c r="E19" s="325" t="inlineStr">
        <is>
          <t>Developing</t>
        </is>
      </c>
      <c r="F19" s="350" t="n">
        <v>0.75</v>
      </c>
      <c r="G19" s="273" t="inlineStr">
        <is>
          <t>Developing</t>
        </is>
      </c>
      <c r="H19" s="304" t="n">
        <v>0.75</v>
      </c>
      <c r="I19" s="273" t="inlineStr">
        <is>
          <t>User assessment required</t>
        </is>
      </c>
      <c r="J19" s="274" t="inlineStr">
        <is>
          <t>Working prior</t>
        </is>
      </c>
    </row>
    <row r="20">
      <c r="A20" s="272" t="inlineStr">
        <is>
          <t>C05</t>
        </is>
      </c>
      <c r="B20" s="273" t="inlineStr">
        <is>
          <t>Endpoint protection and execution control</t>
        </is>
      </c>
      <c r="C20" s="273" t="inlineStr">
        <is>
          <t>PR.PS; DE.CM</t>
        </is>
      </c>
      <c r="D20" s="273" t="inlineStr">
        <is>
          <t>M1040; M1049</t>
        </is>
      </c>
      <c r="E20" s="325" t="inlineStr">
        <is>
          <t>Developing</t>
        </is>
      </c>
      <c r="F20" s="350" t="n">
        <v>0.75</v>
      </c>
      <c r="G20" s="273" t="inlineStr">
        <is>
          <t>Developing</t>
        </is>
      </c>
      <c r="H20" s="304" t="n">
        <v>0.75</v>
      </c>
      <c r="I20" s="273" t="inlineStr">
        <is>
          <t>User assessment required</t>
        </is>
      </c>
      <c r="J20" s="274" t="inlineStr">
        <is>
          <t>Working prior</t>
        </is>
      </c>
    </row>
    <row r="21">
      <c r="A21" s="272" t="inlineStr">
        <is>
          <t>C06</t>
        </is>
      </c>
      <c r="B21" s="273" t="inlineStr">
        <is>
          <t>Secure configuration and patching</t>
        </is>
      </c>
      <c r="C21" s="273" t="inlineStr">
        <is>
          <t>PR.PS</t>
        </is>
      </c>
      <c r="D21" s="273" t="inlineStr">
        <is>
          <t>M1042; M1051</t>
        </is>
      </c>
      <c r="E21" s="325" t="inlineStr">
        <is>
          <t>Developing</t>
        </is>
      </c>
      <c r="F21" s="350" t="n">
        <v>0.75</v>
      </c>
      <c r="G21" s="273" t="inlineStr">
        <is>
          <t>Developing</t>
        </is>
      </c>
      <c r="H21" s="304" t="n">
        <v>0.75</v>
      </c>
      <c r="I21" s="273" t="inlineStr">
        <is>
          <t>User assessment required</t>
        </is>
      </c>
      <c r="J21" s="274" t="inlineStr">
        <is>
          <t>Working prior</t>
        </is>
      </c>
    </row>
    <row r="22">
      <c r="A22" s="272" t="inlineStr">
        <is>
          <t>C07</t>
        </is>
      </c>
      <c r="B22" s="273" t="inlineStr">
        <is>
          <t>Network security and segmentation</t>
        </is>
      </c>
      <c r="C22" s="273" t="inlineStr">
        <is>
          <t>PR.IR; PR.PS</t>
        </is>
      </c>
      <c r="D22" s="273" t="inlineStr">
        <is>
          <t>M1030; M1037</t>
        </is>
      </c>
      <c r="E22" s="325" t="inlineStr">
        <is>
          <t>Developing</t>
        </is>
      </c>
      <c r="F22" s="350" t="n">
        <v>0.75</v>
      </c>
      <c r="G22" s="273" t="inlineStr">
        <is>
          <t>Developing</t>
        </is>
      </c>
      <c r="H22" s="304" t="n">
        <v>0.75</v>
      </c>
      <c r="I22" s="273" t="inlineStr">
        <is>
          <t>User assessment required</t>
        </is>
      </c>
      <c r="J22" s="274" t="inlineStr">
        <is>
          <t>Working prior</t>
        </is>
      </c>
    </row>
    <row r="23">
      <c r="A23" s="272" t="inlineStr">
        <is>
          <t>C08</t>
        </is>
      </c>
      <c r="B23" s="273" t="inlineStr">
        <is>
          <t>Cloud and SaaS security</t>
        </is>
      </c>
      <c r="C23" s="273" t="inlineStr">
        <is>
          <t>PR.AA; PR.PS; DE.CM</t>
        </is>
      </c>
      <c r="D23" s="273" t="inlineStr">
        <is>
          <t>M1047; M1032</t>
        </is>
      </c>
      <c r="E23" s="325" t="inlineStr">
        <is>
          <t>Developing</t>
        </is>
      </c>
      <c r="F23" s="350" t="n">
        <v>0.75</v>
      </c>
      <c r="G23" s="273" t="inlineStr">
        <is>
          <t>Developing</t>
        </is>
      </c>
      <c r="H23" s="304" t="n">
        <v>0.75</v>
      </c>
      <c r="I23" s="273" t="inlineStr">
        <is>
          <t>User assessment required</t>
        </is>
      </c>
      <c r="J23" s="274" t="inlineStr">
        <is>
          <t>Working prior</t>
        </is>
      </c>
    </row>
    <row r="24">
      <c r="A24" s="272" t="inlineStr">
        <is>
          <t>C09</t>
        </is>
      </c>
      <c r="B24" s="273" t="inlineStr">
        <is>
          <t>Application and API security</t>
        </is>
      </c>
      <c r="C24" s="273" t="inlineStr">
        <is>
          <t>ID.RA; PR.PS</t>
        </is>
      </c>
      <c r="D24" s="273" t="inlineStr">
        <is>
          <t>M1050; M1051</t>
        </is>
      </c>
      <c r="E24" s="325" t="inlineStr">
        <is>
          <t>Developing</t>
        </is>
      </c>
      <c r="F24" s="350" t="n">
        <v>0.75</v>
      </c>
      <c r="G24" s="273" t="inlineStr">
        <is>
          <t>Developing</t>
        </is>
      </c>
      <c r="H24" s="304" t="n">
        <v>0.75</v>
      </c>
      <c r="I24" s="273" t="inlineStr">
        <is>
          <t>User assessment required</t>
        </is>
      </c>
      <c r="J24" s="274" t="inlineStr">
        <is>
          <t>Working prior</t>
        </is>
      </c>
    </row>
    <row r="25">
      <c r="A25" s="272" t="inlineStr">
        <is>
          <t>C10</t>
        </is>
      </c>
      <c r="B25" s="273" t="inlineStr">
        <is>
          <t>Logging, detection and threat response</t>
        </is>
      </c>
      <c r="C25" s="273" t="inlineStr">
        <is>
          <t>DE.CM; DE.AE; RS.AN</t>
        </is>
      </c>
      <c r="D25" s="273" t="inlineStr">
        <is>
          <t>M1047</t>
        </is>
      </c>
      <c r="E25" s="325" t="inlineStr">
        <is>
          <t>Developing</t>
        </is>
      </c>
      <c r="F25" s="350" t="n">
        <v>0.75</v>
      </c>
      <c r="G25" s="273" t="inlineStr">
        <is>
          <t>Developing</t>
        </is>
      </c>
      <c r="H25" s="304" t="n">
        <v>0.75</v>
      </c>
      <c r="I25" s="273" t="inlineStr">
        <is>
          <t>User assessment required</t>
        </is>
      </c>
      <c r="J25" s="274" t="inlineStr">
        <is>
          <t>Working prior</t>
        </is>
      </c>
    </row>
    <row r="26">
      <c r="A26" s="272" t="inlineStr">
        <is>
          <t>C11</t>
        </is>
      </c>
      <c r="B26" s="273" t="inlineStr">
        <is>
          <t>Data protection and DLP</t>
        </is>
      </c>
      <c r="C26" s="273" t="inlineStr">
        <is>
          <t>PR.DS</t>
        </is>
      </c>
      <c r="D26" s="273" t="inlineStr">
        <is>
          <t>M1041; M1057</t>
        </is>
      </c>
      <c r="E26" s="325" t="inlineStr">
        <is>
          <t>Developing</t>
        </is>
      </c>
      <c r="F26" s="350" t="n">
        <v>0.75</v>
      </c>
      <c r="G26" s="273" t="inlineStr">
        <is>
          <t>Developing</t>
        </is>
      </c>
      <c r="H26" s="304" t="n">
        <v>0.75</v>
      </c>
      <c r="I26" s="273" t="inlineStr">
        <is>
          <t>User assessment required</t>
        </is>
      </c>
      <c r="J26" s="274" t="inlineStr">
        <is>
          <t>Working prior</t>
        </is>
      </c>
    </row>
    <row r="27">
      <c r="A27" s="272" t="inlineStr">
        <is>
          <t>C12</t>
        </is>
      </c>
      <c r="B27" s="273" t="inlineStr">
        <is>
          <t>Third-party and supply-chain security</t>
        </is>
      </c>
      <c r="C27" s="273" t="inlineStr">
        <is>
          <t>GV.SC; ID.RA</t>
        </is>
      </c>
      <c r="D27" s="273" t="inlineStr">
        <is>
          <t>M1045; M1051</t>
        </is>
      </c>
      <c r="E27" s="325" t="inlineStr">
        <is>
          <t>Developing</t>
        </is>
      </c>
      <c r="F27" s="350" t="n">
        <v>0.75</v>
      </c>
      <c r="G27" s="273" t="inlineStr">
        <is>
          <t>Developing</t>
        </is>
      </c>
      <c r="H27" s="304" t="n">
        <v>0.75</v>
      </c>
      <c r="I27" s="273" t="inlineStr">
        <is>
          <t>User assessment required</t>
        </is>
      </c>
      <c r="J27" s="274" t="inlineStr">
        <is>
          <t>Working prior</t>
        </is>
      </c>
    </row>
    <row r="28">
      <c r="A28" s="272" t="inlineStr">
        <is>
          <t>C13</t>
        </is>
      </c>
      <c r="B28" s="273" t="inlineStr">
        <is>
          <t>DDoS protection and service resilience</t>
        </is>
      </c>
      <c r="C28" s="273" t="inlineStr">
        <is>
          <t>PR.IR</t>
        </is>
      </c>
      <c r="D28" s="273" t="inlineStr">
        <is>
          <t>M1037</t>
        </is>
      </c>
      <c r="E28" s="325" t="inlineStr">
        <is>
          <t>Developing</t>
        </is>
      </c>
      <c r="F28" s="350" t="n">
        <v>0.75</v>
      </c>
      <c r="G28" s="273" t="inlineStr">
        <is>
          <t>Developing</t>
        </is>
      </c>
      <c r="H28" s="304" t="n">
        <v>0.75</v>
      </c>
      <c r="I28" s="273" t="inlineStr">
        <is>
          <t>User assessment required</t>
        </is>
      </c>
      <c r="J28" s="274" t="inlineStr">
        <is>
          <t>Working prior</t>
        </is>
      </c>
    </row>
    <row r="29">
      <c r="A29" s="272" t="inlineStr">
        <is>
          <t>C14</t>
        </is>
      </c>
      <c r="B29" s="273" t="inlineStr">
        <is>
          <t>Backup, recovery and crisis management</t>
        </is>
      </c>
      <c r="C29" s="273" t="inlineStr">
        <is>
          <t>RC.RP; RS.MA</t>
        </is>
      </c>
      <c r="D29" s="273" t="inlineStr">
        <is>
          <t>M1053</t>
        </is>
      </c>
      <c r="E29" s="325" t="inlineStr">
        <is>
          <t>Developing</t>
        </is>
      </c>
      <c r="F29" s="350" t="n">
        <v>0.75</v>
      </c>
      <c r="G29" s="273" t="inlineStr">
        <is>
          <t>Developing</t>
        </is>
      </c>
      <c r="H29" s="304" t="n">
        <v>0.75</v>
      </c>
      <c r="I29" s="273" t="inlineStr">
        <is>
          <t>User assessment required</t>
        </is>
      </c>
      <c r="J29" s="274" t="inlineStr">
        <is>
          <t>Working prior</t>
        </is>
      </c>
    </row>
    <row r="30">
      <c r="A30" s="272" t="inlineStr">
        <is>
          <t>C15</t>
        </is>
      </c>
      <c r="B30" s="273" t="inlineStr">
        <is>
          <t>Payment and fraud controls</t>
        </is>
      </c>
      <c r="C30" s="273" t="inlineStr">
        <is>
          <t>PR.AA; DE.AE; RS.MI</t>
        </is>
      </c>
      <c r="D30" s="273" t="inlineStr">
        <is>
          <t>M1018; M1047</t>
        </is>
      </c>
      <c r="E30" s="325" t="inlineStr">
        <is>
          <t>Developing</t>
        </is>
      </c>
      <c r="F30" s="350" t="n">
        <v>0.75</v>
      </c>
      <c r="G30" s="273" t="inlineStr">
        <is>
          <t>Developing</t>
        </is>
      </c>
      <c r="H30" s="304" t="n">
        <v>0.75</v>
      </c>
      <c r="I30" s="273" t="inlineStr">
        <is>
          <t>User assessment required</t>
        </is>
      </c>
      <c r="J30" s="274" t="inlineStr">
        <is>
          <t>Working prior</t>
        </is>
      </c>
    </row>
    <row r="31">
      <c r="A31" s="275" t="n"/>
      <c r="B31" s="276" t="n"/>
      <c r="C31" s="276" t="n"/>
      <c r="D31" s="276" t="n"/>
      <c r="E31" s="326" t="n"/>
      <c r="F31" s="329" t="n"/>
      <c r="G31" s="276" t="n"/>
      <c r="H31" s="305" t="n"/>
      <c r="I31" s="276" t="n"/>
      <c r="J31" s="277" t="n"/>
    </row>
    <row r="32">
      <c r="A32" s="275" t="n"/>
      <c r="B32" s="276" t="n"/>
      <c r="C32" s="276" t="n"/>
      <c r="D32" s="276" t="n"/>
      <c r="E32" s="326" t="n"/>
      <c r="F32" s="329" t="n"/>
      <c r="G32" s="276" t="n"/>
      <c r="H32" s="305" t="n"/>
      <c r="I32" s="276" t="n"/>
      <c r="J32" s="277" t="n"/>
    </row>
    <row r="33">
      <c r="A33" s="275" t="n"/>
      <c r="B33" s="276" t="n"/>
      <c r="C33" s="276" t="n"/>
      <c r="D33" s="276" t="n"/>
      <c r="E33" s="326" t="n"/>
      <c r="F33" s="329" t="n"/>
      <c r="G33" s="276" t="n"/>
      <c r="H33" s="305" t="n"/>
      <c r="I33" s="276" t="n"/>
      <c r="J33" s="277" t="n"/>
    </row>
    <row r="34">
      <c r="A34" s="275" t="n"/>
      <c r="B34" s="276" t="n"/>
      <c r="C34" s="276" t="n"/>
      <c r="D34" s="276" t="n"/>
      <c r="E34" s="326" t="n"/>
      <c r="F34" s="329" t="n"/>
      <c r="G34" s="276" t="n"/>
      <c r="H34" s="305" t="n"/>
      <c r="I34" s="276" t="n"/>
      <c r="J34" s="277" t="n"/>
    </row>
    <row r="35">
      <c r="A35" s="275" t="n"/>
      <c r="B35" s="276" t="n"/>
      <c r="C35" s="276" t="n"/>
      <c r="D35" s="276" t="n"/>
      <c r="E35" s="326" t="n"/>
      <c r="F35" s="329" t="n"/>
      <c r="G35" s="276" t="n"/>
      <c r="H35" s="305" t="n"/>
      <c r="I35" s="276" t="n"/>
      <c r="J35" s="277" t="n"/>
    </row>
    <row r="36">
      <c r="A36" s="275" t="n"/>
      <c r="B36" s="276" t="n"/>
      <c r="C36" s="276" t="n"/>
      <c r="D36" s="276" t="n"/>
      <c r="E36" s="326" t="n"/>
      <c r="F36" s="329" t="n"/>
      <c r="G36" s="276" t="n"/>
      <c r="H36" s="305" t="n"/>
      <c r="I36" s="276" t="n"/>
      <c r="J36" s="277" t="n"/>
    </row>
    <row r="37">
      <c r="A37" s="275" t="n"/>
      <c r="B37" s="276" t="n"/>
      <c r="C37" s="276" t="n"/>
      <c r="D37" s="276" t="n"/>
      <c r="E37" s="326" t="n"/>
      <c r="F37" s="329" t="n"/>
      <c r="G37" s="276" t="n"/>
      <c r="H37" s="305" t="n"/>
      <c r="I37" s="276" t="n"/>
      <c r="J37" s="277" t="n"/>
    </row>
    <row r="38">
      <c r="A38" s="275" t="n"/>
      <c r="B38" s="276" t="n"/>
      <c r="C38" s="276" t="n"/>
      <c r="D38" s="276" t="n"/>
      <c r="E38" s="326" t="n"/>
      <c r="F38" s="329" t="n"/>
      <c r="G38" s="276" t="n"/>
      <c r="H38" s="305" t="n"/>
      <c r="I38" s="276" t="n"/>
      <c r="J38" s="277" t="n"/>
    </row>
    <row r="39">
      <c r="A39" s="275" t="n"/>
      <c r="B39" s="276" t="n"/>
      <c r="C39" s="276" t="n"/>
      <c r="D39" s="276" t="n"/>
      <c r="E39" s="326" t="n"/>
      <c r="F39" s="329" t="n"/>
      <c r="G39" s="276" t="n"/>
      <c r="H39" s="305" t="n"/>
      <c r="I39" s="276" t="n"/>
      <c r="J39" s="277" t="n"/>
    </row>
    <row r="40">
      <c r="A40" s="275" t="n"/>
      <c r="B40" s="276" t="n"/>
      <c r="C40" s="276" t="n"/>
      <c r="D40" s="276" t="n"/>
      <c r="E40" s="326" t="n"/>
      <c r="F40" s="329" t="n"/>
      <c r="G40" s="276" t="n"/>
      <c r="H40" s="305" t="n"/>
      <c r="I40" s="276" t="n"/>
      <c r="J40" s="277" t="n"/>
    </row>
    <row r="41">
      <c r="A41" s="275" t="n"/>
      <c r="B41" s="276" t="n"/>
      <c r="C41" s="276" t="n"/>
      <c r="D41" s="276" t="n"/>
      <c r="E41" s="326" t="n"/>
      <c r="F41" s="329" t="n"/>
      <c r="G41" s="276" t="n"/>
      <c r="H41" s="305" t="n"/>
      <c r="I41" s="276" t="n"/>
      <c r="J41" s="277" t="n"/>
    </row>
    <row r="42">
      <c r="A42" s="275" t="n"/>
      <c r="B42" s="276" t="n"/>
      <c r="C42" s="276" t="n"/>
      <c r="D42" s="276" t="n"/>
      <c r="E42" s="326" t="n"/>
      <c r="F42" s="329" t="n"/>
      <c r="G42" s="276" t="n"/>
      <c r="H42" s="305" t="n"/>
      <c r="I42" s="276" t="n"/>
      <c r="J42" s="277" t="n"/>
    </row>
    <row r="43">
      <c r="A43" s="275" t="n"/>
      <c r="B43" s="276" t="n"/>
      <c r="C43" s="276" t="n"/>
      <c r="D43" s="276" t="n"/>
      <c r="E43" s="326" t="n"/>
      <c r="F43" s="329" t="n"/>
      <c r="G43" s="276" t="n"/>
      <c r="H43" s="305" t="n"/>
      <c r="I43" s="276" t="n"/>
      <c r="J43" s="277" t="n"/>
    </row>
    <row r="44">
      <c r="A44" s="275" t="n"/>
      <c r="B44" s="276" t="n"/>
      <c r="C44" s="276" t="n"/>
      <c r="D44" s="276" t="n"/>
      <c r="E44" s="326" t="n"/>
      <c r="F44" s="329" t="n"/>
      <c r="G44" s="276" t="n"/>
      <c r="H44" s="305" t="n"/>
      <c r="I44" s="276" t="n"/>
      <c r="J44" s="277" t="n"/>
    </row>
    <row r="45">
      <c r="A45" s="275" t="n"/>
      <c r="B45" s="276" t="n"/>
      <c r="C45" s="276" t="n"/>
      <c r="D45" s="276" t="n"/>
      <c r="E45" s="326" t="n"/>
      <c r="F45" s="329" t="n"/>
      <c r="G45" s="276" t="n"/>
      <c r="H45" s="305" t="n"/>
      <c r="I45" s="276" t="n"/>
      <c r="J45" s="277" t="n"/>
    </row>
    <row r="46">
      <c r="A46" s="275" t="n"/>
      <c r="B46" s="276" t="n"/>
      <c r="C46" s="276" t="n"/>
      <c r="D46" s="276" t="n"/>
      <c r="E46" s="326" t="n"/>
      <c r="F46" s="329" t="n"/>
      <c r="G46" s="276" t="n"/>
      <c r="H46" s="305" t="n"/>
      <c r="I46" s="276" t="n"/>
      <c r="J46" s="277" t="n"/>
    </row>
    <row r="47">
      <c r="A47" s="275" t="n"/>
      <c r="B47" s="276" t="n"/>
      <c r="C47" s="276" t="n"/>
      <c r="D47" s="276" t="n"/>
      <c r="E47" s="326" t="n"/>
      <c r="F47" s="329" t="n"/>
      <c r="G47" s="276" t="n"/>
      <c r="H47" s="305" t="n"/>
      <c r="I47" s="276" t="n"/>
      <c r="J47" s="277" t="n"/>
    </row>
    <row r="48">
      <c r="A48" s="275" t="n"/>
      <c r="B48" s="276" t="n"/>
      <c r="C48" s="276" t="n"/>
      <c r="D48" s="276" t="n"/>
      <c r="E48" s="326" t="n"/>
      <c r="F48" s="329" t="n"/>
      <c r="G48" s="276" t="n"/>
      <c r="H48" s="305" t="n"/>
      <c r="I48" s="276" t="n"/>
      <c r="J48" s="277" t="n"/>
    </row>
    <row r="49">
      <c r="A49" s="275" t="n"/>
      <c r="B49" s="276" t="n"/>
      <c r="C49" s="276" t="n"/>
      <c r="D49" s="276" t="n"/>
      <c r="E49" s="326" t="n"/>
      <c r="F49" s="329" t="n"/>
      <c r="G49" s="276" t="n"/>
      <c r="H49" s="305" t="n"/>
      <c r="I49" s="276" t="n"/>
      <c r="J49" s="277" t="n"/>
    </row>
    <row r="50">
      <c r="A50" s="275" t="n"/>
      <c r="B50" s="276" t="n"/>
      <c r="C50" s="276" t="n"/>
      <c r="D50" s="276" t="n"/>
      <c r="E50" s="326" t="n"/>
      <c r="F50" s="329" t="n"/>
      <c r="G50" s="276" t="n"/>
      <c r="H50" s="305" t="n"/>
      <c r="I50" s="276" t="n"/>
      <c r="J50" s="277" t="n"/>
    </row>
    <row r="51">
      <c r="A51" s="275" t="n"/>
      <c r="B51" s="276" t="n"/>
      <c r="C51" s="276" t="n"/>
      <c r="D51" s="276" t="n"/>
      <c r="E51" s="326" t="n"/>
      <c r="F51" s="329" t="n"/>
      <c r="G51" s="276" t="n"/>
      <c r="H51" s="305" t="n"/>
      <c r="I51" s="276" t="n"/>
      <c r="J51" s="277" t="n"/>
    </row>
    <row r="52">
      <c r="A52" s="275" t="n"/>
      <c r="B52" s="276" t="n"/>
      <c r="C52" s="276" t="n"/>
      <c r="D52" s="276" t="n"/>
      <c r="E52" s="326" t="n"/>
      <c r="F52" s="329" t="n"/>
      <c r="G52" s="276" t="n"/>
      <c r="H52" s="305" t="n"/>
      <c r="I52" s="276" t="n"/>
      <c r="J52" s="277" t="n"/>
    </row>
    <row r="53">
      <c r="A53" s="275" t="n"/>
      <c r="B53" s="276" t="n"/>
      <c r="C53" s="276" t="n"/>
      <c r="D53" s="276" t="n"/>
      <c r="E53" s="326" t="n"/>
      <c r="F53" s="329" t="n"/>
      <c r="G53" s="276" t="n"/>
      <c r="H53" s="305" t="n"/>
      <c r="I53" s="276" t="n"/>
      <c r="J53" s="277" t="n"/>
    </row>
    <row r="54">
      <c r="A54" s="275" t="n"/>
      <c r="B54" s="276" t="n"/>
      <c r="C54" s="276" t="n"/>
      <c r="D54" s="276" t="n"/>
      <c r="E54" s="326" t="n"/>
      <c r="F54" s="329" t="n"/>
      <c r="G54" s="276" t="n"/>
      <c r="H54" s="305" t="n"/>
      <c r="I54" s="276" t="n"/>
      <c r="J54" s="277" t="n"/>
    </row>
    <row r="55">
      <c r="A55" s="275" t="n"/>
      <c r="B55" s="276" t="n"/>
      <c r="C55" s="276" t="n"/>
      <c r="D55" s="276" t="n"/>
      <c r="E55" s="326" t="n"/>
      <c r="F55" s="329" t="n"/>
      <c r="G55" s="276" t="n"/>
      <c r="H55" s="305" t="n"/>
      <c r="I55" s="276" t="n"/>
      <c r="J55" s="277" t="n"/>
    </row>
    <row r="56">
      <c r="A56" s="275" t="n"/>
      <c r="B56" s="276" t="n"/>
      <c r="C56" s="276" t="n"/>
      <c r="D56" s="276" t="n"/>
      <c r="E56" s="326" t="n"/>
      <c r="F56" s="329" t="n"/>
      <c r="G56" s="276" t="n"/>
      <c r="H56" s="305" t="n"/>
      <c r="I56" s="276" t="n"/>
      <c r="J56" s="277" t="n"/>
    </row>
    <row r="57">
      <c r="A57" s="275" t="n"/>
      <c r="B57" s="276" t="n"/>
      <c r="C57" s="276" t="n"/>
      <c r="D57" s="276" t="n"/>
      <c r="E57" s="326" t="n"/>
      <c r="F57" s="329" t="n"/>
      <c r="G57" s="276" t="n"/>
      <c r="H57" s="305" t="n"/>
      <c r="I57" s="276" t="n"/>
      <c r="J57" s="277" t="n"/>
    </row>
    <row r="58">
      <c r="A58" s="275" t="n"/>
      <c r="B58" s="276" t="n"/>
      <c r="C58" s="276" t="n"/>
      <c r="D58" s="276" t="n"/>
      <c r="E58" s="326" t="n"/>
      <c r="F58" s="329" t="n"/>
      <c r="G58" s="276" t="n"/>
      <c r="H58" s="305" t="n"/>
      <c r="I58" s="276" t="n"/>
      <c r="J58" s="277" t="n"/>
    </row>
    <row r="59">
      <c r="A59" s="275" t="n"/>
      <c r="B59" s="276" t="n"/>
      <c r="C59" s="276" t="n"/>
      <c r="D59" s="276" t="n"/>
      <c r="E59" s="326" t="n"/>
      <c r="F59" s="329" t="n"/>
      <c r="G59" s="276" t="n"/>
      <c r="H59" s="305" t="n"/>
      <c r="I59" s="276" t="n"/>
      <c r="J59" s="277" t="n"/>
    </row>
    <row r="60">
      <c r="A60" s="275" t="n"/>
      <c r="B60" s="276" t="n"/>
      <c r="C60" s="276" t="n"/>
      <c r="D60" s="276" t="n"/>
      <c r="E60" s="326" t="n"/>
      <c r="F60" s="329" t="n"/>
      <c r="G60" s="276" t="n"/>
      <c r="H60" s="305" t="n"/>
      <c r="I60" s="276" t="n"/>
      <c r="J60" s="277" t="n"/>
    </row>
    <row r="61">
      <c r="A61" s="275" t="n"/>
      <c r="B61" s="276" t="n"/>
      <c r="C61" s="276" t="n"/>
      <c r="D61" s="276" t="n"/>
      <c r="E61" s="326" t="n"/>
      <c r="F61" s="329" t="n"/>
      <c r="G61" s="276" t="n"/>
      <c r="H61" s="305" t="n"/>
      <c r="I61" s="276" t="n"/>
      <c r="J61" s="277" t="n"/>
    </row>
    <row r="62">
      <c r="A62" s="275" t="n"/>
      <c r="B62" s="276" t="n"/>
      <c r="C62" s="276" t="n"/>
      <c r="D62" s="276" t="n"/>
      <c r="E62" s="326" t="n"/>
      <c r="F62" s="329" t="n"/>
      <c r="G62" s="276" t="n"/>
      <c r="H62" s="305" t="n"/>
      <c r="I62" s="276" t="n"/>
      <c r="J62" s="277" t="n"/>
    </row>
    <row r="63">
      <c r="A63" s="275" t="n"/>
      <c r="B63" s="276" t="n"/>
      <c r="C63" s="276" t="n"/>
      <c r="D63" s="276" t="n"/>
      <c r="E63" s="326" t="n"/>
      <c r="F63" s="329" t="n"/>
      <c r="G63" s="276" t="n"/>
      <c r="H63" s="305" t="n"/>
      <c r="I63" s="276" t="n"/>
      <c r="J63" s="277" t="n"/>
    </row>
    <row r="64">
      <c r="A64" s="275" t="n"/>
      <c r="B64" s="276" t="n"/>
      <c r="C64" s="276" t="n"/>
      <c r="D64" s="276" t="n"/>
      <c r="E64" s="326" t="n"/>
      <c r="F64" s="329" t="n"/>
      <c r="G64" s="276" t="n"/>
      <c r="H64" s="305" t="n"/>
      <c r="I64" s="276" t="n"/>
      <c r="J64" s="277" t="n"/>
    </row>
    <row r="65">
      <c r="A65" s="275" t="n"/>
      <c r="B65" s="276" t="n"/>
      <c r="C65" s="276" t="n"/>
      <c r="D65" s="276" t="n"/>
      <c r="E65" s="326" t="n"/>
      <c r="F65" s="329" t="n"/>
      <c r="G65" s="276" t="n"/>
      <c r="H65" s="305" t="n"/>
      <c r="I65" s="276" t="n"/>
      <c r="J65" s="277" t="n"/>
    </row>
    <row r="66">
      <c r="A66" s="275" t="n"/>
      <c r="B66" s="276" t="n"/>
      <c r="C66" s="276" t="n"/>
      <c r="D66" s="276" t="n"/>
      <c r="E66" s="326" t="n"/>
      <c r="F66" s="329" t="n"/>
      <c r="G66" s="276" t="n"/>
      <c r="H66" s="305" t="n"/>
      <c r="I66" s="276" t="n"/>
      <c r="J66" s="277" t="n"/>
    </row>
    <row r="67">
      <c r="A67" s="275" t="n"/>
      <c r="B67" s="276" t="n"/>
      <c r="C67" s="276" t="n"/>
      <c r="D67" s="276" t="n"/>
      <c r="E67" s="326" t="n"/>
      <c r="F67" s="329" t="n"/>
      <c r="G67" s="276" t="n"/>
      <c r="H67" s="305" t="n"/>
      <c r="I67" s="276" t="n"/>
      <c r="J67" s="277" t="n"/>
    </row>
    <row r="68">
      <c r="A68" s="275" t="n"/>
      <c r="B68" s="276" t="n"/>
      <c r="C68" s="276" t="n"/>
      <c r="D68" s="276" t="n"/>
      <c r="E68" s="326" t="n"/>
      <c r="F68" s="329" t="n"/>
      <c r="G68" s="276" t="n"/>
      <c r="H68" s="305" t="n"/>
      <c r="I68" s="276" t="n"/>
      <c r="J68" s="277" t="n"/>
    </row>
    <row r="69">
      <c r="A69" s="275" t="n"/>
      <c r="B69" s="276" t="n"/>
      <c r="C69" s="276" t="n"/>
      <c r="D69" s="276" t="n"/>
      <c r="E69" s="326" t="n"/>
      <c r="F69" s="329" t="n"/>
      <c r="G69" s="276" t="n"/>
      <c r="H69" s="305" t="n"/>
      <c r="I69" s="276" t="n"/>
      <c r="J69" s="277" t="n"/>
    </row>
    <row r="70">
      <c r="A70" s="275" t="n"/>
      <c r="B70" s="276" t="n"/>
      <c r="C70" s="276" t="n"/>
      <c r="D70" s="276" t="n"/>
      <c r="E70" s="326" t="n"/>
      <c r="F70" s="329" t="n"/>
      <c r="G70" s="276" t="n"/>
      <c r="H70" s="305" t="n"/>
      <c r="I70" s="276" t="n"/>
      <c r="J70" s="277" t="n"/>
    </row>
    <row r="71">
      <c r="A71" s="275" t="n"/>
      <c r="B71" s="276" t="n"/>
      <c r="C71" s="276" t="n"/>
      <c r="D71" s="276" t="n"/>
      <c r="E71" s="326" t="n"/>
      <c r="F71" s="329" t="n"/>
      <c r="G71" s="276" t="n"/>
      <c r="H71" s="305" t="n"/>
      <c r="I71" s="276" t="n"/>
      <c r="J71" s="277" t="n"/>
    </row>
    <row r="72">
      <c r="A72" s="275" t="n"/>
      <c r="B72" s="276" t="n"/>
      <c r="C72" s="276" t="n"/>
      <c r="D72" s="276" t="n"/>
      <c r="E72" s="326" t="n"/>
      <c r="F72" s="329" t="n"/>
      <c r="G72" s="276" t="n"/>
      <c r="H72" s="305" t="n"/>
      <c r="I72" s="276" t="n"/>
      <c r="J72" s="277" t="n"/>
    </row>
    <row r="73">
      <c r="A73" s="275" t="n"/>
      <c r="B73" s="276" t="n"/>
      <c r="C73" s="276" t="n"/>
      <c r="D73" s="276" t="n"/>
      <c r="E73" s="326" t="n"/>
      <c r="F73" s="329" t="n"/>
      <c r="G73" s="276" t="n"/>
      <c r="H73" s="305" t="n"/>
      <c r="I73" s="276" t="n"/>
      <c r="J73" s="277" t="n"/>
    </row>
    <row r="74">
      <c r="A74" s="275" t="n"/>
      <c r="B74" s="276" t="n"/>
      <c r="C74" s="276" t="n"/>
      <c r="D74" s="276" t="n"/>
      <c r="E74" s="326" t="n"/>
      <c r="F74" s="329" t="n"/>
      <c r="G74" s="276" t="n"/>
      <c r="H74" s="305" t="n"/>
      <c r="I74" s="276" t="n"/>
      <c r="J74" s="277" t="n"/>
    </row>
    <row r="75">
      <c r="A75" s="275" t="n"/>
      <c r="B75" s="276" t="n"/>
      <c r="C75" s="276" t="n"/>
      <c r="D75" s="276" t="n"/>
      <c r="E75" s="326" t="n"/>
      <c r="F75" s="329" t="n"/>
      <c r="G75" s="276" t="n"/>
      <c r="H75" s="305" t="n"/>
      <c r="I75" s="276" t="n"/>
      <c r="J75" s="277" t="n"/>
    </row>
    <row r="76">
      <c r="A76" s="275" t="n"/>
      <c r="B76" s="276" t="n"/>
      <c r="C76" s="276" t="n"/>
      <c r="D76" s="276" t="n"/>
      <c r="E76" s="326" t="n"/>
      <c r="F76" s="329" t="n"/>
      <c r="G76" s="276" t="n"/>
      <c r="H76" s="305" t="n"/>
      <c r="I76" s="276" t="n"/>
      <c r="J76" s="277" t="n"/>
    </row>
    <row r="77">
      <c r="A77" s="275" t="n"/>
      <c r="B77" s="276" t="n"/>
      <c r="C77" s="276" t="n"/>
      <c r="D77" s="276" t="n"/>
      <c r="E77" s="326" t="n"/>
      <c r="F77" s="329" t="n"/>
      <c r="G77" s="276" t="n"/>
      <c r="H77" s="305" t="n"/>
      <c r="I77" s="276" t="n"/>
      <c r="J77" s="277" t="n"/>
    </row>
    <row r="78">
      <c r="A78" s="275" t="n"/>
      <c r="B78" s="276" t="n"/>
      <c r="C78" s="276" t="n"/>
      <c r="D78" s="276" t="n"/>
      <c r="E78" s="326" t="n"/>
      <c r="F78" s="329" t="n"/>
      <c r="G78" s="276" t="n"/>
      <c r="H78" s="305" t="n"/>
      <c r="I78" s="276" t="n"/>
      <c r="J78" s="277" t="n"/>
    </row>
    <row r="79">
      <c r="A79" s="275" t="n"/>
      <c r="B79" s="276" t="n"/>
      <c r="C79" s="276" t="n"/>
      <c r="D79" s="276" t="n"/>
      <c r="E79" s="326" t="n"/>
      <c r="F79" s="329" t="n"/>
      <c r="G79" s="276" t="n"/>
      <c r="H79" s="305" t="n"/>
      <c r="I79" s="276" t="n"/>
      <c r="J79" s="277" t="n"/>
    </row>
    <row r="80">
      <c r="A80" s="275" t="n"/>
      <c r="B80" s="276" t="n"/>
      <c r="C80" s="276" t="n"/>
      <c r="D80" s="276" t="n"/>
      <c r="E80" s="326" t="n"/>
      <c r="F80" s="329" t="n"/>
      <c r="G80" s="276" t="n"/>
      <c r="H80" s="305" t="n"/>
      <c r="I80" s="276" t="n"/>
      <c r="J80" s="277" t="n"/>
    </row>
    <row r="81">
      <c r="A81" s="275" t="n"/>
      <c r="B81" s="276" t="n"/>
      <c r="C81" s="276" t="n"/>
      <c r="D81" s="276" t="n"/>
      <c r="E81" s="326" t="n"/>
      <c r="F81" s="329" t="n"/>
      <c r="G81" s="276" t="n"/>
      <c r="H81" s="305" t="n"/>
      <c r="I81" s="276" t="n"/>
      <c r="J81" s="277" t="n"/>
    </row>
    <row r="82">
      <c r="A82" s="275" t="n"/>
      <c r="B82" s="276" t="n"/>
      <c r="C82" s="276" t="n"/>
      <c r="D82" s="276" t="n"/>
      <c r="E82" s="326" t="n"/>
      <c r="F82" s="329" t="n"/>
      <c r="G82" s="276" t="n"/>
      <c r="H82" s="305" t="n"/>
      <c r="I82" s="276" t="n"/>
      <c r="J82" s="277" t="n"/>
    </row>
    <row r="83">
      <c r="A83" s="275" t="n"/>
      <c r="B83" s="276" t="n"/>
      <c r="C83" s="276" t="n"/>
      <c r="D83" s="276" t="n"/>
      <c r="E83" s="326" t="n"/>
      <c r="F83" s="329" t="n"/>
      <c r="G83" s="276" t="n"/>
      <c r="H83" s="305" t="n"/>
      <c r="I83" s="276" t="n"/>
      <c r="J83" s="277" t="n"/>
    </row>
    <row r="84">
      <c r="A84" s="275" t="n"/>
      <c r="B84" s="276" t="n"/>
      <c r="C84" s="276" t="n"/>
      <c r="D84" s="276" t="n"/>
      <c r="E84" s="326" t="n"/>
      <c r="F84" s="329" t="n"/>
      <c r="G84" s="276" t="n"/>
      <c r="H84" s="305" t="n"/>
      <c r="I84" s="276" t="n"/>
      <c r="J84" s="277" t="n"/>
    </row>
    <row r="85">
      <c r="A85" s="275" t="n"/>
      <c r="B85" s="276" t="n"/>
      <c r="C85" s="276" t="n"/>
      <c r="D85" s="276" t="n"/>
      <c r="E85" s="326" t="n"/>
      <c r="F85" s="329" t="n"/>
      <c r="G85" s="276" t="n"/>
      <c r="H85" s="305" t="n"/>
      <c r="I85" s="276" t="n"/>
      <c r="J85" s="277" t="n"/>
    </row>
    <row r="86">
      <c r="A86" s="275" t="n"/>
      <c r="B86" s="276" t="n"/>
      <c r="C86" s="276" t="n"/>
      <c r="D86" s="276" t="n"/>
      <c r="E86" s="326" t="n"/>
      <c r="F86" s="329" t="n"/>
      <c r="G86" s="276" t="n"/>
      <c r="H86" s="305" t="n"/>
      <c r="I86" s="276" t="n"/>
      <c r="J86" s="277" t="n"/>
    </row>
    <row r="87">
      <c r="A87" s="275" t="n"/>
      <c r="B87" s="276" t="n"/>
      <c r="C87" s="276" t="n"/>
      <c r="D87" s="276" t="n"/>
      <c r="E87" s="326" t="n"/>
      <c r="F87" s="329" t="n"/>
      <c r="G87" s="276" t="n"/>
      <c r="H87" s="305" t="n"/>
      <c r="I87" s="276" t="n"/>
      <c r="J87" s="277" t="n"/>
    </row>
    <row r="88">
      <c r="A88" s="275" t="n"/>
      <c r="B88" s="276" t="n"/>
      <c r="C88" s="276" t="n"/>
      <c r="D88" s="276" t="n"/>
      <c r="E88" s="326" t="n"/>
      <c r="F88" s="329" t="n"/>
      <c r="G88" s="276" t="n"/>
      <c r="H88" s="305" t="n"/>
      <c r="I88" s="276" t="n"/>
      <c r="J88" s="277" t="n"/>
    </row>
    <row r="89">
      <c r="A89" s="275" t="n"/>
      <c r="B89" s="276" t="n"/>
      <c r="C89" s="276" t="n"/>
      <c r="D89" s="276" t="n"/>
      <c r="E89" s="326" t="n"/>
      <c r="F89" s="329" t="n"/>
      <c r="G89" s="276" t="n"/>
      <c r="H89" s="305" t="n"/>
      <c r="I89" s="276" t="n"/>
      <c r="J89" s="277" t="n"/>
    </row>
    <row r="90">
      <c r="A90" s="275" t="n"/>
      <c r="B90" s="276" t="n"/>
      <c r="C90" s="276" t="n"/>
      <c r="D90" s="276" t="n"/>
      <c r="E90" s="326" t="n"/>
      <c r="F90" s="329" t="n"/>
      <c r="G90" s="276" t="n"/>
      <c r="H90" s="305" t="n"/>
      <c r="I90" s="276" t="n"/>
      <c r="J90" s="277" t="n"/>
    </row>
    <row r="91">
      <c r="A91" s="275" t="n"/>
      <c r="B91" s="276" t="n"/>
      <c r="C91" s="276" t="n"/>
      <c r="D91" s="276" t="n"/>
      <c r="E91" s="326" t="n"/>
      <c r="F91" s="329" t="n"/>
      <c r="G91" s="276" t="n"/>
      <c r="H91" s="305" t="n"/>
      <c r="I91" s="276" t="n"/>
      <c r="J91" s="277" t="n"/>
    </row>
    <row r="92">
      <c r="A92" s="275" t="n"/>
      <c r="B92" s="276" t="n"/>
      <c r="C92" s="276" t="n"/>
      <c r="D92" s="276" t="n"/>
      <c r="E92" s="326" t="n"/>
      <c r="F92" s="329" t="n"/>
      <c r="G92" s="276" t="n"/>
      <c r="H92" s="305" t="n"/>
      <c r="I92" s="276" t="n"/>
      <c r="J92" s="277" t="n"/>
    </row>
    <row r="93">
      <c r="A93" s="275" t="n"/>
      <c r="B93" s="276" t="n"/>
      <c r="C93" s="276" t="n"/>
      <c r="D93" s="276" t="n"/>
      <c r="E93" s="326" t="n"/>
      <c r="F93" s="329" t="n"/>
      <c r="G93" s="276" t="n"/>
      <c r="H93" s="305" t="n"/>
      <c r="I93" s="276" t="n"/>
      <c r="J93" s="277" t="n"/>
    </row>
    <row r="94">
      <c r="A94" s="275" t="n"/>
      <c r="B94" s="276" t="n"/>
      <c r="C94" s="276" t="n"/>
      <c r="D94" s="276" t="n"/>
      <c r="E94" s="326" t="n"/>
      <c r="F94" s="329" t="n"/>
      <c r="G94" s="276" t="n"/>
      <c r="H94" s="305" t="n"/>
      <c r="I94" s="276" t="n"/>
      <c r="J94" s="277" t="n"/>
    </row>
    <row r="95">
      <c r="A95" s="275" t="n"/>
      <c r="B95" s="276" t="n"/>
      <c r="C95" s="276" t="n"/>
      <c r="D95" s="276" t="n"/>
      <c r="E95" s="326" t="n"/>
      <c r="F95" s="329" t="n"/>
      <c r="G95" s="276" t="n"/>
      <c r="H95" s="305" t="n"/>
      <c r="I95" s="276" t="n"/>
      <c r="J95" s="277" t="n"/>
    </row>
    <row r="96">
      <c r="A96" s="275" t="n"/>
      <c r="B96" s="276" t="n"/>
      <c r="C96" s="276" t="n"/>
      <c r="D96" s="276" t="n"/>
      <c r="E96" s="326" t="n"/>
      <c r="F96" s="329" t="n"/>
      <c r="G96" s="276" t="n"/>
      <c r="H96" s="305" t="n"/>
      <c r="I96" s="276" t="n"/>
      <c r="J96" s="277" t="n"/>
    </row>
    <row r="97">
      <c r="A97" s="275" t="n"/>
      <c r="B97" s="276" t="n"/>
      <c r="C97" s="276" t="n"/>
      <c r="D97" s="276" t="n"/>
      <c r="E97" s="326" t="n"/>
      <c r="F97" s="329" t="n"/>
      <c r="G97" s="276" t="n"/>
      <c r="H97" s="305" t="n"/>
      <c r="I97" s="276" t="n"/>
      <c r="J97" s="277" t="n"/>
    </row>
    <row r="98">
      <c r="A98" s="275" t="n"/>
      <c r="B98" s="276" t="n"/>
      <c r="C98" s="276" t="n"/>
      <c r="D98" s="276" t="n"/>
      <c r="E98" s="326" t="n"/>
      <c r="F98" s="329" t="n"/>
      <c r="G98" s="276" t="n"/>
      <c r="H98" s="305" t="n"/>
      <c r="I98" s="276" t="n"/>
      <c r="J98" s="277" t="n"/>
    </row>
    <row r="99">
      <c r="A99" s="275" t="n"/>
      <c r="B99" s="276" t="n"/>
      <c r="C99" s="276" t="n"/>
      <c r="D99" s="276" t="n"/>
      <c r="E99" s="326" t="n"/>
      <c r="F99" s="329" t="n"/>
      <c r="G99" s="276" t="n"/>
      <c r="H99" s="305" t="n"/>
      <c r="I99" s="276" t="n"/>
      <c r="J99" s="277" t="n"/>
    </row>
    <row r="100">
      <c r="A100" s="275" t="n"/>
      <c r="B100" s="276" t="n"/>
      <c r="C100" s="276" t="n"/>
      <c r="D100" s="276" t="n"/>
      <c r="E100" s="326" t="n"/>
      <c r="F100" s="329" t="n"/>
      <c r="G100" s="276" t="n"/>
      <c r="H100" s="305" t="n"/>
      <c r="I100" s="276" t="n"/>
      <c r="J100" s="277" t="n"/>
    </row>
    <row r="101">
      <c r="A101" s="275" t="n"/>
      <c r="B101" s="276" t="n"/>
      <c r="C101" s="276" t="n"/>
      <c r="D101" s="276" t="n"/>
      <c r="E101" s="326" t="n"/>
      <c r="F101" s="329" t="n"/>
      <c r="G101" s="276" t="n"/>
      <c r="H101" s="305" t="n"/>
      <c r="I101" s="276" t="n"/>
      <c r="J101" s="277" t="n"/>
    </row>
    <row r="102">
      <c r="A102" s="275" t="n"/>
      <c r="B102" s="276" t="n"/>
      <c r="C102" s="276" t="n"/>
      <c r="D102" s="276" t="n"/>
      <c r="E102" s="326" t="n"/>
      <c r="F102" s="329" t="n"/>
      <c r="G102" s="276" t="n"/>
      <c r="H102" s="305" t="n"/>
      <c r="I102" s="276" t="n"/>
      <c r="J102" s="277" t="n"/>
    </row>
    <row r="103">
      <c r="A103" s="275" t="n"/>
      <c r="B103" s="276" t="n"/>
      <c r="C103" s="276" t="n"/>
      <c r="D103" s="276" t="n"/>
      <c r="E103" s="326" t="n"/>
      <c r="F103" s="329" t="n"/>
      <c r="G103" s="276" t="n"/>
      <c r="H103" s="305" t="n"/>
      <c r="I103" s="276" t="n"/>
      <c r="J103" s="277" t="n"/>
    </row>
    <row r="104">
      <c r="A104" s="275" t="n"/>
      <c r="B104" s="276" t="n"/>
      <c r="C104" s="276" t="n"/>
      <c r="D104" s="276" t="n"/>
      <c r="E104" s="326" t="n"/>
      <c r="F104" s="329" t="n"/>
      <c r="G104" s="276" t="n"/>
      <c r="H104" s="305" t="n"/>
      <c r="I104" s="276" t="n"/>
      <c r="J104" s="277" t="n"/>
    </row>
    <row r="105">
      <c r="A105" s="275" t="n"/>
      <c r="B105" s="276" t="n"/>
      <c r="C105" s="276" t="n"/>
      <c r="D105" s="276" t="n"/>
      <c r="E105" s="326" t="n"/>
      <c r="F105" s="329" t="n"/>
      <c r="G105" s="276" t="n"/>
      <c r="H105" s="305" t="n"/>
      <c r="I105" s="276" t="n"/>
      <c r="J105" s="277" t="n"/>
    </row>
    <row r="106">
      <c r="A106" s="275" t="n"/>
      <c r="B106" s="276" t="n"/>
      <c r="C106" s="276" t="n"/>
      <c r="D106" s="276" t="n"/>
      <c r="E106" s="326" t="n"/>
      <c r="F106" s="329" t="n"/>
      <c r="G106" s="276" t="n"/>
      <c r="H106" s="305" t="n"/>
      <c r="I106" s="276" t="n"/>
      <c r="J106" s="277" t="n"/>
    </row>
    <row r="107">
      <c r="A107" s="275" t="n"/>
      <c r="B107" s="276" t="n"/>
      <c r="C107" s="276" t="n"/>
      <c r="D107" s="276" t="n"/>
      <c r="E107" s="326" t="n"/>
      <c r="F107" s="329" t="n"/>
      <c r="G107" s="276" t="n"/>
      <c r="H107" s="305" t="n"/>
      <c r="I107" s="276" t="n"/>
      <c r="J107" s="277" t="n"/>
    </row>
    <row r="108">
      <c r="A108" s="275" t="n"/>
      <c r="B108" s="276" t="n"/>
      <c r="C108" s="276" t="n"/>
      <c r="D108" s="276" t="n"/>
      <c r="E108" s="326" t="n"/>
      <c r="F108" s="329" t="n"/>
      <c r="G108" s="276" t="n"/>
      <c r="H108" s="305" t="n"/>
      <c r="I108" s="276" t="n"/>
      <c r="J108" s="277" t="n"/>
    </row>
    <row r="109">
      <c r="A109" s="275" t="n"/>
      <c r="B109" s="276" t="n"/>
      <c r="C109" s="276" t="n"/>
      <c r="D109" s="276" t="n"/>
      <c r="E109" s="326" t="n"/>
      <c r="F109" s="329" t="n"/>
      <c r="G109" s="276" t="n"/>
      <c r="H109" s="305" t="n"/>
      <c r="I109" s="276" t="n"/>
      <c r="J109" s="277" t="n"/>
    </row>
    <row r="110">
      <c r="A110" s="275" t="n"/>
      <c r="B110" s="276" t="n"/>
      <c r="C110" s="276" t="n"/>
      <c r="D110" s="276" t="n"/>
      <c r="E110" s="326" t="n"/>
      <c r="F110" s="329" t="n"/>
      <c r="G110" s="276" t="n"/>
      <c r="H110" s="305" t="n"/>
      <c r="I110" s="276" t="n"/>
      <c r="J110" s="277" t="n"/>
    </row>
    <row r="111">
      <c r="A111" s="275" t="n"/>
      <c r="B111" s="276" t="n"/>
      <c r="C111" s="276" t="n"/>
      <c r="D111" s="276" t="n"/>
      <c r="E111" s="326" t="n"/>
      <c r="F111" s="329" t="n"/>
      <c r="G111" s="276" t="n"/>
      <c r="H111" s="305" t="n"/>
      <c r="I111" s="276" t="n"/>
      <c r="J111" s="277" t="n"/>
    </row>
    <row r="112">
      <c r="A112" s="275" t="n"/>
      <c r="B112" s="276" t="n"/>
      <c r="C112" s="276" t="n"/>
      <c r="D112" s="276" t="n"/>
      <c r="E112" s="326" t="n"/>
      <c r="F112" s="329" t="n"/>
      <c r="G112" s="276" t="n"/>
      <c r="H112" s="305" t="n"/>
      <c r="I112" s="276" t="n"/>
      <c r="J112" s="277" t="n"/>
    </row>
    <row r="113">
      <c r="A113" s="275" t="n"/>
      <c r="B113" s="276" t="n"/>
      <c r="C113" s="276" t="n"/>
      <c r="D113" s="276" t="n"/>
      <c r="E113" s="326" t="n"/>
      <c r="F113" s="329" t="n"/>
      <c r="G113" s="276" t="n"/>
      <c r="H113" s="305" t="n"/>
      <c r="I113" s="276" t="n"/>
      <c r="J113" s="277" t="n"/>
    </row>
    <row r="114">
      <c r="A114" s="275" t="n"/>
      <c r="B114" s="276" t="n"/>
      <c r="C114" s="276" t="n"/>
      <c r="D114" s="276" t="n"/>
      <c r="E114" s="326" t="n"/>
      <c r="F114" s="329" t="n"/>
      <c r="G114" s="276" t="n"/>
      <c r="H114" s="305" t="n"/>
      <c r="I114" s="276" t="n"/>
      <c r="J114" s="277" t="n"/>
    </row>
    <row r="115">
      <c r="A115" s="278" t="n"/>
      <c r="B115" s="279" t="n"/>
      <c r="C115" s="279" t="n"/>
      <c r="D115" s="279" t="n"/>
      <c r="E115" s="327" t="n"/>
      <c r="F115" s="351" t="n"/>
      <c r="G115" s="279" t="n"/>
      <c r="H115" s="306" t="n"/>
      <c r="I115" s="279" t="n"/>
      <c r="J115" s="280" t="n"/>
    </row>
  </sheetData>
  <mergeCells count="2">
    <mergeCell ref="A2:L2"/>
    <mergeCell ref="A1:L1"/>
  </mergeCells>
  <dataValidations count="1">
    <dataValidation sqref="E16:E115" showDropDown="0" showInputMessage="0" showErrorMessage="0" allowBlank="0" type="list">
      <formula1>"Absent,Initial,Developing,Managed,Optimised,Not Assessed"</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250"/>
  <sheetViews>
    <sheetView showGridLines="0" workbookViewId="0">
      <selection activeCell="A1" sqref="A1"/>
    </sheetView>
  </sheetViews>
  <sheetFormatPr baseColWidth="8" defaultRowHeight="15"/>
  <cols>
    <col width="12.22000026702881" customWidth="1" style="242" min="1" max="1"/>
    <col width="11.67000007629395" customWidth="1" style="242" min="2" max="2"/>
    <col width="31.11000061035156" customWidth="1" style="242" min="3" max="3"/>
    <col width="24.44000053405762" customWidth="1" style="242" min="4" max="4"/>
    <col width="33.33000183105469" customWidth="1" style="242" min="5" max="5"/>
    <col width="12.22000026702881" customWidth="1" style="242" min="6" max="6"/>
    <col width="12.22000026702881" customWidth="1" style="242" min="7" max="7"/>
    <col width="12.22000026702881" customWidth="1" style="242" min="8" max="8"/>
    <col width="12.22000026702881" customWidth="1" style="242" min="9" max="9"/>
    <col width="12.22000026702881" customWidth="1" style="242" min="10" max="10"/>
    <col width="12.22000026702881" customWidth="1" style="242" min="11" max="11"/>
    <col width="12.22000026702881" customWidth="1" style="242" min="12" max="12"/>
    <col width="11.10999965667725" customWidth="1" style="242" min="13" max="13"/>
    <col width="12.22000026702881" customWidth="1" style="242" min="14" max="14"/>
  </cols>
  <sheetData>
    <row r="1" ht="27" customHeight="1" s="242">
      <c r="A1" s="353" t="inlineStr">
        <is>
          <t>06 — Impact and Business Impact Analysis</t>
        </is>
      </c>
    </row>
    <row r="2" ht="34" customHeight="1" s="242">
      <c r="A2" s="247" t="inlineStr">
        <is>
          <t>Pack-driven P50/P99 assumptions. Python prepares this long table and preserves overrides.</t>
        </is>
      </c>
    </row>
    <row r="5" ht="22" customHeight="1" s="242">
      <c r="A5" s="354" t="inlineStr">
        <is>
          <t>ORGANISATION-SCALE INPUTS</t>
        </is>
      </c>
    </row>
    <row r="6">
      <c r="A6" s="361" t="inlineStr">
        <is>
          <t>Metric</t>
        </is>
      </c>
      <c r="B6" s="362" t="inlineStr">
        <is>
          <t>Value</t>
        </is>
      </c>
      <c r="C6" s="363" t="inlineStr">
        <is>
          <t>Source</t>
        </is>
      </c>
    </row>
    <row r="7">
      <c r="A7" s="272" t="inlineStr">
        <is>
          <t>Annual revenue at risk</t>
        </is>
      </c>
      <c r="B7" s="298" t="n">
        <v>1000000000</v>
      </c>
      <c r="C7" s="274" t="inlineStr">
        <is>
          <t>03 Organisation Inputs</t>
        </is>
      </c>
    </row>
    <row r="8">
      <c r="A8" s="275" t="inlineStr">
        <is>
          <t>Annual payment value</t>
        </is>
      </c>
      <c r="B8" s="299" t="n">
        <v>5000000000</v>
      </c>
      <c r="C8" s="277" t="inlineStr">
        <is>
          <t>03 Organisation Inputs</t>
        </is>
      </c>
    </row>
    <row r="9">
      <c r="A9" s="275" t="inlineStr">
        <is>
          <t>BI loss factor</t>
        </is>
      </c>
      <c r="B9" s="305" t="n">
        <v>1</v>
      </c>
      <c r="C9" s="277" t="inlineStr">
        <is>
          <t>03 Organisation Inputs</t>
        </is>
      </c>
    </row>
    <row r="10">
      <c r="A10" s="275" t="inlineStr">
        <is>
          <t>Customers</t>
        </is>
      </c>
      <c r="B10" s="276" t="n">
        <v>2000000</v>
      </c>
      <c r="C10" s="277" t="inlineStr">
        <is>
          <t>03 Organisation Inputs</t>
        </is>
      </c>
    </row>
    <row r="11">
      <c r="A11" s="275" t="inlineStr">
        <is>
          <t>Sensitive records</t>
        </is>
      </c>
      <c r="B11" s="276" t="n">
        <v>5000000</v>
      </c>
      <c r="C11" s="277" t="inlineStr">
        <is>
          <t>03 Organisation Inputs</t>
        </is>
      </c>
    </row>
    <row r="12">
      <c r="A12" s="275" t="inlineStr">
        <is>
          <t>Critical endpoints</t>
        </is>
      </c>
      <c r="B12" s="276" t="n">
        <v>5000</v>
      </c>
      <c r="C12" s="277" t="inlineStr">
        <is>
          <t>03 Organisation Inputs</t>
        </is>
      </c>
    </row>
    <row r="13">
      <c r="A13" s="278" t="inlineStr">
        <is>
          <t>Critical servers</t>
        </is>
      </c>
      <c r="B13" s="279" t="n">
        <v>500</v>
      </c>
      <c r="C13" s="280" t="inlineStr">
        <is>
          <t>03 Organisation Inputs</t>
        </is>
      </c>
    </row>
    <row r="15" ht="22" customHeight="1" s="242">
      <c r="A15" s="354" t="inlineStr">
        <is>
          <t>PACK ASSUMPTIONS AND ORGANISATION OVERRIDES</t>
        </is>
      </c>
    </row>
    <row r="16">
      <c r="A16" s="361" t="inlineStr">
        <is>
          <t>Assumption type</t>
        </is>
      </c>
      <c r="B16" s="362" t="inlineStr">
        <is>
          <t>Scenario ID</t>
        </is>
      </c>
      <c r="C16" s="362" t="inlineStr">
        <is>
          <t>Scenario</t>
        </is>
      </c>
      <c r="D16" s="362" t="inlineStr">
        <is>
          <t>Parameter ID</t>
        </is>
      </c>
      <c r="E16" s="362" t="inlineStr">
        <is>
          <t>Description</t>
        </is>
      </c>
      <c r="F16" s="362" t="inlineStr">
        <is>
          <t>Unit</t>
        </is>
      </c>
      <c r="G16" s="362" t="inlineStr">
        <is>
          <t>Pack P50</t>
        </is>
      </c>
      <c r="H16" s="362" t="inlineStr">
        <is>
          <t>Pack P99</t>
        </is>
      </c>
      <c r="I16" s="362" t="inlineStr">
        <is>
          <t>Override P50</t>
        </is>
      </c>
      <c r="J16" s="362" t="inlineStr">
        <is>
          <t>Override P99</t>
        </is>
      </c>
      <c r="K16" s="362" t="inlineStr">
        <is>
          <t>Used P50</t>
        </is>
      </c>
      <c r="L16" s="362" t="inlineStr">
        <is>
          <t>Used P99</t>
        </is>
      </c>
      <c r="M16" s="362" t="inlineStr">
        <is>
          <t>Evidence grade</t>
        </is>
      </c>
      <c r="N16" s="363" t="inlineStr">
        <is>
          <t>Source ID</t>
        </is>
      </c>
    </row>
    <row r="17">
      <c r="A17" s="272" t="inlineStr">
        <is>
          <t>RATE</t>
        </is>
      </c>
      <c r="B17" s="273" t="inlineStr"/>
      <c r="C17" s="273" t="inlineStr"/>
      <c r="D17" s="273" t="inlineStr">
        <is>
          <t>NOTIFICATION_PER_RECORD</t>
        </is>
      </c>
      <c r="E17" s="273" t="inlineStr">
        <is>
          <t>Notification cost per affected record</t>
        </is>
      </c>
      <c r="F17" s="273" t="inlineStr">
        <is>
          <t>USD/record</t>
        </is>
      </c>
      <c r="G17" s="273" t="n">
        <v>0.5</v>
      </c>
      <c r="H17" s="273" t="n">
        <v>1</v>
      </c>
      <c r="I17" s="325" t="n"/>
      <c r="J17" s="325" t="n"/>
      <c r="K17" s="273" t="n">
        <v>0.5</v>
      </c>
      <c r="L17" s="273" t="n">
        <v>1</v>
      </c>
      <c r="M17" s="273" t="inlineStr">
        <is>
          <t>D</t>
        </is>
      </c>
      <c r="N17" s="274" t="inlineStr">
        <is>
          <t>SRC-07</t>
        </is>
      </c>
    </row>
    <row r="18">
      <c r="A18" s="272" t="inlineStr">
        <is>
          <t>RATE</t>
        </is>
      </c>
      <c r="B18" s="273" t="inlineStr"/>
      <c r="C18" s="273" t="inlineStr"/>
      <c r="D18" s="273" t="inlineStr">
        <is>
          <t>CREDIT_MONITORING_PER_RECORD</t>
        </is>
      </c>
      <c r="E18" s="273" t="inlineStr">
        <is>
          <t>Credit monitoring per participating record</t>
        </is>
      </c>
      <c r="F18" s="273" t="inlineStr">
        <is>
          <t>USD/record</t>
        </is>
      </c>
      <c r="G18" s="273" t="n">
        <v>8</v>
      </c>
      <c r="H18" s="273" t="n">
        <v>20</v>
      </c>
      <c r="I18" s="325" t="n"/>
      <c r="J18" s="325" t="n"/>
      <c r="K18" s="273" t="n">
        <v>8</v>
      </c>
      <c r="L18" s="273" t="n">
        <v>20</v>
      </c>
      <c r="M18" s="273" t="inlineStr">
        <is>
          <t>D</t>
        </is>
      </c>
      <c r="N18" s="274" t="inlineStr">
        <is>
          <t>SRC-07</t>
        </is>
      </c>
    </row>
    <row r="19">
      <c r="A19" s="272" t="inlineStr">
        <is>
          <t>RATE</t>
        </is>
      </c>
      <c r="B19" s="273" t="inlineStr"/>
      <c r="C19" s="273" t="inlineStr"/>
      <c r="D19" s="273" t="inlineStr">
        <is>
          <t>FORENSIC_DAILY</t>
        </is>
      </c>
      <c r="E19" s="273" t="inlineStr">
        <is>
          <t>Daily forensic investigation team</t>
        </is>
      </c>
      <c r="F19" s="273" t="inlineStr">
        <is>
          <t>USD/day</t>
        </is>
      </c>
      <c r="G19" s="273" t="n">
        <v>2000</v>
      </c>
      <c r="H19" s="273" t="n">
        <v>4000</v>
      </c>
      <c r="I19" s="325" t="n"/>
      <c r="J19" s="325" t="n"/>
      <c r="K19" s="273" t="n">
        <v>2000</v>
      </c>
      <c r="L19" s="273" t="n">
        <v>4000</v>
      </c>
      <c r="M19" s="273" t="inlineStr">
        <is>
          <t>D</t>
        </is>
      </c>
      <c r="N19" s="274" t="inlineStr">
        <is>
          <t>SRC-07</t>
        </is>
      </c>
    </row>
    <row r="20">
      <c r="A20" s="272" t="inlineStr">
        <is>
          <t>RATE</t>
        </is>
      </c>
      <c r="B20" s="273" t="inlineStr"/>
      <c r="C20" s="273" t="inlineStr"/>
      <c r="D20" s="273" t="inlineStr">
        <is>
          <t>EXTERNAL_CYBER_DAILY</t>
        </is>
      </c>
      <c r="E20" s="273" t="inlineStr">
        <is>
          <t>Daily external cyber response team</t>
        </is>
      </c>
      <c r="F20" s="273" t="inlineStr">
        <is>
          <t>USD/day</t>
        </is>
      </c>
      <c r="G20" s="273" t="n">
        <v>3000</v>
      </c>
      <c r="H20" s="273" t="n">
        <v>5000</v>
      </c>
      <c r="I20" s="325" t="n"/>
      <c r="J20" s="325" t="n"/>
      <c r="K20" s="273" t="n">
        <v>3000</v>
      </c>
      <c r="L20" s="273" t="n">
        <v>5000</v>
      </c>
      <c r="M20" s="273" t="inlineStr">
        <is>
          <t>D</t>
        </is>
      </c>
      <c r="N20" s="274" t="inlineStr">
        <is>
          <t>SRC-07</t>
        </is>
      </c>
    </row>
    <row r="21">
      <c r="A21" s="272" t="inlineStr">
        <is>
          <t>RATE</t>
        </is>
      </c>
      <c r="B21" s="273" t="inlineStr"/>
      <c r="C21" s="273" t="inlineStr"/>
      <c r="D21" s="273" t="inlineStr">
        <is>
          <t>RESTORATION_DAILY</t>
        </is>
      </c>
      <c r="E21" s="273" t="inlineStr">
        <is>
          <t>Daily data restoration team</t>
        </is>
      </c>
      <c r="F21" s="273" t="inlineStr">
        <is>
          <t>USD/day</t>
        </is>
      </c>
      <c r="G21" s="273" t="n">
        <v>2000</v>
      </c>
      <c r="H21" s="273" t="n">
        <v>4000</v>
      </c>
      <c r="I21" s="325" t="n"/>
      <c r="J21" s="325" t="n"/>
      <c r="K21" s="273" t="n">
        <v>2000</v>
      </c>
      <c r="L21" s="273" t="n">
        <v>4000</v>
      </c>
      <c r="M21" s="273" t="inlineStr">
        <is>
          <t>D</t>
        </is>
      </c>
      <c r="N21" s="274" t="inlineStr">
        <is>
          <t>SRC-07</t>
        </is>
      </c>
    </row>
    <row r="22">
      <c r="A22" s="272" t="inlineStr">
        <is>
          <t>RATE</t>
        </is>
      </c>
      <c r="B22" s="273" t="inlineStr"/>
      <c r="C22" s="273" t="inlineStr"/>
      <c r="D22" s="273" t="inlineStr">
        <is>
          <t>LEGAL_DAILY</t>
        </is>
      </c>
      <c r="E22" s="273" t="inlineStr">
        <is>
          <t>Daily external legal team</t>
        </is>
      </c>
      <c r="F22" s="273" t="inlineStr">
        <is>
          <t>USD/day</t>
        </is>
      </c>
      <c r="G22" s="273" t="n">
        <v>5000</v>
      </c>
      <c r="H22" s="273" t="n">
        <v>10000</v>
      </c>
      <c r="I22" s="325" t="n"/>
      <c r="J22" s="325" t="n"/>
      <c r="K22" s="273" t="n">
        <v>5000</v>
      </c>
      <c r="L22" s="273" t="n">
        <v>10000</v>
      </c>
      <c r="M22" s="273" t="inlineStr">
        <is>
          <t>D</t>
        </is>
      </c>
      <c r="N22" s="274" t="inlineStr">
        <is>
          <t>SRC-07</t>
        </is>
      </c>
    </row>
    <row r="23">
      <c r="A23" s="272" t="inlineStr">
        <is>
          <t>RATE</t>
        </is>
      </c>
      <c r="B23" s="273" t="inlineStr"/>
      <c r="C23" s="273" t="inlineStr"/>
      <c r="D23" s="273" t="inlineStr">
        <is>
          <t>ENDPOINT_REPAIR</t>
        </is>
      </c>
      <c r="E23" s="273" t="inlineStr">
        <is>
          <t>Endpoint repair/replacement unit cost</t>
        </is>
      </c>
      <c r="F23" s="273" t="inlineStr">
        <is>
          <t>USD/endpoint</t>
        </is>
      </c>
      <c r="G23" s="273" t="n">
        <v>200</v>
      </c>
      <c r="H23" s="273" t="n">
        <v>500</v>
      </c>
      <c r="I23" s="325" t="n"/>
      <c r="J23" s="325" t="n"/>
      <c r="K23" s="273" t="n">
        <v>200</v>
      </c>
      <c r="L23" s="273" t="n">
        <v>500</v>
      </c>
      <c r="M23" s="273" t="inlineStr">
        <is>
          <t>D</t>
        </is>
      </c>
      <c r="N23" s="274" t="inlineStr">
        <is>
          <t>SRC-07</t>
        </is>
      </c>
    </row>
    <row r="24">
      <c r="A24" s="272" t="inlineStr">
        <is>
          <t>RATE</t>
        </is>
      </c>
      <c r="B24" s="273" t="inlineStr"/>
      <c r="C24" s="273" t="inlineStr"/>
      <c r="D24" s="273" t="inlineStr">
        <is>
          <t>SERVER_REPAIR</t>
        </is>
      </c>
      <c r="E24" s="273" t="inlineStr">
        <is>
          <t>Server repair/replacement unit cost</t>
        </is>
      </c>
      <c r="F24" s="273" t="inlineStr">
        <is>
          <t>USD/server</t>
        </is>
      </c>
      <c r="G24" s="273" t="n">
        <v>5000</v>
      </c>
      <c r="H24" s="273" t="n">
        <v>8000</v>
      </c>
      <c r="I24" s="325" t="n"/>
      <c r="J24" s="325" t="n"/>
      <c r="K24" s="273" t="n">
        <v>5000</v>
      </c>
      <c r="L24" s="273" t="n">
        <v>8000</v>
      </c>
      <c r="M24" s="273" t="inlineStr">
        <is>
          <t>D</t>
        </is>
      </c>
      <c r="N24" s="274" t="inlineStr">
        <is>
          <t>SRC-07</t>
        </is>
      </c>
    </row>
    <row r="25">
      <c r="A25" s="272" t="inlineStr">
        <is>
          <t>PARAM</t>
        </is>
      </c>
      <c r="B25" s="273" t="inlineStr">
        <is>
          <t>SC_DISR</t>
        </is>
      </c>
      <c r="C25" s="273" t="inlineStr">
        <is>
          <t>Critical business-service disruption</t>
        </is>
      </c>
      <c r="D25" s="273" t="inlineStr">
        <is>
          <t>AFFECTED_ENDPOINT_SHARE</t>
        </is>
      </c>
      <c r="E25" s="273" t="inlineStr">
        <is>
          <t>AFFECTED_ENDPOINT_SHARE</t>
        </is>
      </c>
      <c r="F25" s="273" t="inlineStr">
        <is>
          <t>share</t>
        </is>
      </c>
      <c r="G25" s="273" t="n">
        <v>0.1</v>
      </c>
      <c r="H25" s="273" t="n">
        <v>0.5</v>
      </c>
      <c r="I25" s="325" t="n"/>
      <c r="J25" s="325" t="n"/>
      <c r="K25" s="273" t="n">
        <v>0.1</v>
      </c>
      <c r="L25" s="273" t="n">
        <v>0.5</v>
      </c>
      <c r="M25" s="273" t="inlineStr">
        <is>
          <t>D</t>
        </is>
      </c>
      <c r="N25" s="274" t="inlineStr">
        <is>
          <t>SRC-10</t>
        </is>
      </c>
    </row>
    <row r="26">
      <c r="A26" s="272" t="inlineStr">
        <is>
          <t>PARAM</t>
        </is>
      </c>
      <c r="B26" s="273" t="inlineStr">
        <is>
          <t>SC_DISR</t>
        </is>
      </c>
      <c r="C26" s="273" t="inlineStr">
        <is>
          <t>Critical business-service disruption</t>
        </is>
      </c>
      <c r="D26" s="273" t="inlineStr">
        <is>
          <t>AFFECTED_RECORD_SHARE</t>
        </is>
      </c>
      <c r="E26" s="273" t="inlineStr">
        <is>
          <t>AFFECTED_RECORD_SHARE</t>
        </is>
      </c>
      <c r="F26" s="273" t="inlineStr">
        <is>
          <t>share</t>
        </is>
      </c>
      <c r="G26" s="273" t="n">
        <v>0</v>
      </c>
      <c r="H26" s="273" t="n">
        <v>0.05</v>
      </c>
      <c r="I26" s="325" t="n"/>
      <c r="J26" s="325" t="n"/>
      <c r="K26" s="273" t="n">
        <v>0</v>
      </c>
      <c r="L26" s="273" t="n">
        <v>0.05</v>
      </c>
      <c r="M26" s="273" t="inlineStr">
        <is>
          <t>D</t>
        </is>
      </c>
      <c r="N26" s="274" t="inlineStr">
        <is>
          <t>SRC-10</t>
        </is>
      </c>
    </row>
    <row r="27">
      <c r="A27" s="272" t="inlineStr">
        <is>
          <t>PARAM</t>
        </is>
      </c>
      <c r="B27" s="273" t="inlineStr">
        <is>
          <t>SC_DISR</t>
        </is>
      </c>
      <c r="C27" s="273" t="inlineStr">
        <is>
          <t>Critical business-service disruption</t>
        </is>
      </c>
      <c r="D27" s="273" t="inlineStr">
        <is>
          <t>AFFECTED_SERVER_SHARE</t>
        </is>
      </c>
      <c r="E27" s="273" t="inlineStr">
        <is>
          <t>AFFECTED_SERVER_SHARE</t>
        </is>
      </c>
      <c r="F27" s="273" t="inlineStr">
        <is>
          <t>share</t>
        </is>
      </c>
      <c r="G27" s="273" t="n">
        <v>0.1</v>
      </c>
      <c r="H27" s="273" t="n">
        <v>0.6</v>
      </c>
      <c r="I27" s="325" t="n"/>
      <c r="J27" s="325" t="n"/>
      <c r="K27" s="273" t="n">
        <v>0.1</v>
      </c>
      <c r="L27" s="273" t="n">
        <v>0.6</v>
      </c>
      <c r="M27" s="273" t="inlineStr">
        <is>
          <t>D</t>
        </is>
      </c>
      <c r="N27" s="274" t="inlineStr">
        <is>
          <t>SRC-10</t>
        </is>
      </c>
    </row>
    <row r="28">
      <c r="A28" s="272" t="inlineStr">
        <is>
          <t>PARAM</t>
        </is>
      </c>
      <c r="B28" s="273" t="inlineStr">
        <is>
          <t>SC_DISR</t>
        </is>
      </c>
      <c r="C28" s="273" t="inlineStr">
        <is>
          <t>Critical business-service disruption</t>
        </is>
      </c>
      <c r="D28" s="273" t="inlineStr">
        <is>
          <t>AFFECTED_SERVICE_SHARE</t>
        </is>
      </c>
      <c r="E28" s="273" t="inlineStr">
        <is>
          <t>AFFECTED_SERVICE_SHARE</t>
        </is>
      </c>
      <c r="F28" s="273" t="inlineStr">
        <is>
          <t>share</t>
        </is>
      </c>
      <c r="G28" s="273" t="n">
        <v>0.3</v>
      </c>
      <c r="H28" s="273" t="n">
        <v>0.85</v>
      </c>
      <c r="I28" s="325" t="n"/>
      <c r="J28" s="325" t="n"/>
      <c r="K28" s="273" t="n">
        <v>0.3</v>
      </c>
      <c r="L28" s="273" t="n">
        <v>0.85</v>
      </c>
      <c r="M28" s="273" t="inlineStr">
        <is>
          <t>D</t>
        </is>
      </c>
      <c r="N28" s="274" t="inlineStr">
        <is>
          <t>SRC-10</t>
        </is>
      </c>
    </row>
    <row r="29">
      <c r="A29" s="272" t="inlineStr">
        <is>
          <t>PARAM</t>
        </is>
      </c>
      <c r="B29" s="273" t="inlineStr">
        <is>
          <t>SC_DISR</t>
        </is>
      </c>
      <c r="C29" s="273" t="inlineStr">
        <is>
          <t>Critical business-service disruption</t>
        </is>
      </c>
      <c r="D29" s="273" t="inlineStr">
        <is>
          <t>CHURN_REVENUE_SHARE</t>
        </is>
      </c>
      <c r="E29" s="273" t="inlineStr">
        <is>
          <t>CHURN_REVENUE_SHARE</t>
        </is>
      </c>
      <c r="F29" s="273" t="inlineStr">
        <is>
          <t>share</t>
        </is>
      </c>
      <c r="G29" s="273" t="n">
        <v>0.001</v>
      </c>
      <c r="H29" s="273" t="n">
        <v>0.01</v>
      </c>
      <c r="I29" s="325" t="n"/>
      <c r="J29" s="325" t="n"/>
      <c r="K29" s="273" t="n">
        <v>0.001</v>
      </c>
      <c r="L29" s="273" t="n">
        <v>0.01</v>
      </c>
      <c r="M29" s="273" t="inlineStr">
        <is>
          <t>D</t>
        </is>
      </c>
      <c r="N29" s="274" t="inlineStr">
        <is>
          <t>SRC-10</t>
        </is>
      </c>
    </row>
    <row r="30">
      <c r="A30" s="272" t="inlineStr">
        <is>
          <t>PARAM</t>
        </is>
      </c>
      <c r="B30" s="273" t="inlineStr">
        <is>
          <t>SC_DISR</t>
        </is>
      </c>
      <c r="C30" s="273" t="inlineStr">
        <is>
          <t>Critical business-service disruption</t>
        </is>
      </c>
      <c r="D30" s="273" t="inlineStr">
        <is>
          <t>CYBER_DAYS</t>
        </is>
      </c>
      <c r="E30" s="273" t="inlineStr">
        <is>
          <t>CYBER_DAYS</t>
        </is>
      </c>
      <c r="F30" s="273" t="inlineStr">
        <is>
          <t>days</t>
        </is>
      </c>
      <c r="G30" s="273" t="n">
        <v>10</v>
      </c>
      <c r="H30" s="273" t="n">
        <v>90</v>
      </c>
      <c r="I30" s="325" t="n"/>
      <c r="J30" s="325" t="n"/>
      <c r="K30" s="273" t="n">
        <v>10</v>
      </c>
      <c r="L30" s="273" t="n">
        <v>90</v>
      </c>
      <c r="M30" s="273" t="inlineStr">
        <is>
          <t>D</t>
        </is>
      </c>
      <c r="N30" s="274" t="inlineStr">
        <is>
          <t>SRC-10</t>
        </is>
      </c>
    </row>
    <row r="31">
      <c r="A31" s="272" t="inlineStr">
        <is>
          <t>PARAM</t>
        </is>
      </c>
      <c r="B31" s="273" t="inlineStr">
        <is>
          <t>SC_DISR</t>
        </is>
      </c>
      <c r="C31" s="273" t="inlineStr">
        <is>
          <t>Critical business-service disruption</t>
        </is>
      </c>
      <c r="D31" s="273" t="inlineStr">
        <is>
          <t>DIVERTED_SHARE</t>
        </is>
      </c>
      <c r="E31" s="273" t="inlineStr">
        <is>
          <t>DIVERTED_SHARE</t>
        </is>
      </c>
      <c r="F31" s="273" t="inlineStr">
        <is>
          <t>share</t>
        </is>
      </c>
      <c r="G31" s="273" t="n">
        <v>0</v>
      </c>
      <c r="H31" s="273" t="n">
        <v>0</v>
      </c>
      <c r="I31" s="325" t="n"/>
      <c r="J31" s="325" t="n"/>
      <c r="K31" s="273" t="n">
        <v>0</v>
      </c>
      <c r="L31" s="273" t="n">
        <v>0</v>
      </c>
      <c r="M31" s="273" t="inlineStr">
        <is>
          <t>D</t>
        </is>
      </c>
      <c r="N31" s="274" t="inlineStr">
        <is>
          <t>SRC-10</t>
        </is>
      </c>
    </row>
    <row r="32">
      <c r="A32" s="272" t="inlineStr">
        <is>
          <t>PARAM</t>
        </is>
      </c>
      <c r="B32" s="273" t="inlineStr">
        <is>
          <t>SC_DISR</t>
        </is>
      </c>
      <c r="C32" s="273" t="inlineStr">
        <is>
          <t>Critical business-service disruption</t>
        </is>
      </c>
      <c r="D32" s="273" t="inlineStr">
        <is>
          <t>DOWNTIME_DAYS</t>
        </is>
      </c>
      <c r="E32" s="273" t="inlineStr">
        <is>
          <t>DOWNTIME_DAYS</t>
        </is>
      </c>
      <c r="F32" s="273" t="inlineStr">
        <is>
          <t>days</t>
        </is>
      </c>
      <c r="G32" s="273" t="n">
        <v>3</v>
      </c>
      <c r="H32" s="273" t="n">
        <v>30</v>
      </c>
      <c r="I32" s="325" t="n"/>
      <c r="J32" s="325" t="n"/>
      <c r="K32" s="273" t="n">
        <v>3</v>
      </c>
      <c r="L32" s="273" t="n">
        <v>30</v>
      </c>
      <c r="M32" s="273" t="inlineStr">
        <is>
          <t>D</t>
        </is>
      </c>
      <c r="N32" s="274" t="inlineStr">
        <is>
          <t>SRC-10</t>
        </is>
      </c>
    </row>
    <row r="33">
      <c r="A33" s="272" t="inlineStr">
        <is>
          <t>PARAM</t>
        </is>
      </c>
      <c r="B33" s="273" t="inlineStr">
        <is>
          <t>SC_DISR</t>
        </is>
      </c>
      <c r="C33" s="273" t="inlineStr">
        <is>
          <t>Critical business-service disruption</t>
        </is>
      </c>
      <c r="D33" s="273" t="inlineStr">
        <is>
          <t>EXTORTION_DIRECT</t>
        </is>
      </c>
      <c r="E33" s="273" t="inlineStr">
        <is>
          <t>EXTORTION_DIRECT</t>
        </is>
      </c>
      <c r="F33" s="273" t="inlineStr">
        <is>
          <t>USD</t>
        </is>
      </c>
      <c r="G33" s="273" t="n">
        <v>1000000</v>
      </c>
      <c r="H33" s="273" t="n">
        <v>20000000</v>
      </c>
      <c r="I33" s="325" t="n"/>
      <c r="J33" s="325" t="n"/>
      <c r="K33" s="273" t="n">
        <v>1000000</v>
      </c>
      <c r="L33" s="273" t="n">
        <v>20000000</v>
      </c>
      <c r="M33" s="273" t="inlineStr">
        <is>
          <t>D</t>
        </is>
      </c>
      <c r="N33" s="274" t="inlineStr">
        <is>
          <t>SRC-10</t>
        </is>
      </c>
    </row>
    <row r="34">
      <c r="A34" s="272" t="inlineStr">
        <is>
          <t>PARAM</t>
        </is>
      </c>
      <c r="B34" s="273" t="inlineStr">
        <is>
          <t>SC_DISR</t>
        </is>
      </c>
      <c r="C34" s="273" t="inlineStr">
        <is>
          <t>Critical business-service disruption</t>
        </is>
      </c>
      <c r="D34" s="273" t="inlineStr">
        <is>
          <t>FRAUD_RECOVERY_RATE</t>
        </is>
      </c>
      <c r="E34" s="273" t="inlineStr">
        <is>
          <t>FRAUD_RECOVERY_RATE</t>
        </is>
      </c>
      <c r="F34" s="273" t="inlineStr">
        <is>
          <t>share</t>
        </is>
      </c>
      <c r="G34" s="273" t="n">
        <v>0</v>
      </c>
      <c r="H34" s="273" t="n">
        <v>0</v>
      </c>
      <c r="I34" s="325" t="n"/>
      <c r="J34" s="325" t="n"/>
      <c r="K34" s="273" t="n">
        <v>0</v>
      </c>
      <c r="L34" s="273" t="n">
        <v>0</v>
      </c>
      <c r="M34" s="273" t="inlineStr">
        <is>
          <t>D</t>
        </is>
      </c>
      <c r="N34" s="274" t="inlineStr">
        <is>
          <t>SRC-10</t>
        </is>
      </c>
    </row>
    <row r="35">
      <c r="A35" s="272" t="inlineStr">
        <is>
          <t>PARAM</t>
        </is>
      </c>
      <c r="B35" s="273" t="inlineStr">
        <is>
          <t>SC_DISR</t>
        </is>
      </c>
      <c r="C35" s="273" t="inlineStr">
        <is>
          <t>Critical business-service disruption</t>
        </is>
      </c>
      <c r="D35" s="273" t="inlineStr">
        <is>
          <t>IR_DAYS</t>
        </is>
      </c>
      <c r="E35" s="273" t="inlineStr">
        <is>
          <t>IR_DAYS</t>
        </is>
      </c>
      <c r="F35" s="273" t="inlineStr">
        <is>
          <t>days</t>
        </is>
      </c>
      <c r="G35" s="273" t="n">
        <v>10</v>
      </c>
      <c r="H35" s="273" t="n">
        <v>60</v>
      </c>
      <c r="I35" s="325" t="n"/>
      <c r="J35" s="325" t="n"/>
      <c r="K35" s="273" t="n">
        <v>10</v>
      </c>
      <c r="L35" s="273" t="n">
        <v>60</v>
      </c>
      <c r="M35" s="273" t="inlineStr">
        <is>
          <t>D</t>
        </is>
      </c>
      <c r="N35" s="274" t="inlineStr">
        <is>
          <t>SRC-10</t>
        </is>
      </c>
    </row>
    <row r="36">
      <c r="A36" s="272" t="inlineStr">
        <is>
          <t>PARAM</t>
        </is>
      </c>
      <c r="B36" s="273" t="inlineStr">
        <is>
          <t>SC_DISR</t>
        </is>
      </c>
      <c r="C36" s="273" t="inlineStr">
        <is>
          <t>Critical business-service disruption</t>
        </is>
      </c>
      <c r="D36" s="273" t="inlineStr">
        <is>
          <t>LEGAL_DAYS</t>
        </is>
      </c>
      <c r="E36" s="273" t="inlineStr">
        <is>
          <t>LEGAL_DAYS</t>
        </is>
      </c>
      <c r="F36" s="273" t="inlineStr">
        <is>
          <t>days</t>
        </is>
      </c>
      <c r="G36" s="273" t="n">
        <v>5</v>
      </c>
      <c r="H36" s="273" t="n">
        <v>45</v>
      </c>
      <c r="I36" s="325" t="n"/>
      <c r="J36" s="325" t="n"/>
      <c r="K36" s="273" t="n">
        <v>5</v>
      </c>
      <c r="L36" s="273" t="n">
        <v>45</v>
      </c>
      <c r="M36" s="273" t="inlineStr">
        <is>
          <t>D</t>
        </is>
      </c>
      <c r="N36" s="274" t="inlineStr">
        <is>
          <t>SRC-10</t>
        </is>
      </c>
    </row>
    <row r="37">
      <c r="A37" s="272" t="inlineStr">
        <is>
          <t>PARAM</t>
        </is>
      </c>
      <c r="B37" s="273" t="inlineStr">
        <is>
          <t>SC_DISR</t>
        </is>
      </c>
      <c r="C37" s="273" t="inlineStr">
        <is>
          <t>Critical business-service disruption</t>
        </is>
      </c>
      <c r="D37" s="273" t="inlineStr">
        <is>
          <t>MONITORING_TAKEUP</t>
        </is>
      </c>
      <c r="E37" s="273" t="inlineStr">
        <is>
          <t>MONITORING_TAKEUP</t>
        </is>
      </c>
      <c r="F37" s="273" t="inlineStr">
        <is>
          <t>share</t>
        </is>
      </c>
      <c r="G37" s="273" t="n">
        <v>0.05</v>
      </c>
      <c r="H37" s="273" t="n">
        <v>0.2</v>
      </c>
      <c r="I37" s="325" t="n"/>
      <c r="J37" s="325" t="n"/>
      <c r="K37" s="273" t="n">
        <v>0.05</v>
      </c>
      <c r="L37" s="273" t="n">
        <v>0.2</v>
      </c>
      <c r="M37" s="273" t="inlineStr">
        <is>
          <t>D</t>
        </is>
      </c>
      <c r="N37" s="274" t="inlineStr">
        <is>
          <t>SRC-10</t>
        </is>
      </c>
    </row>
    <row r="38">
      <c r="A38" s="272" t="inlineStr">
        <is>
          <t>PARAM</t>
        </is>
      </c>
      <c r="B38" s="273" t="inlineStr">
        <is>
          <t>SC_DISR</t>
        </is>
      </c>
      <c r="C38" s="273" t="inlineStr">
        <is>
          <t>Critical business-service disruption</t>
        </is>
      </c>
      <c r="D38" s="273" t="inlineStr">
        <is>
          <t>PAYMENT_FLOW_DAYS</t>
        </is>
      </c>
      <c r="E38" s="273" t="inlineStr">
        <is>
          <t>PAYMENT_FLOW_DAYS</t>
        </is>
      </c>
      <c r="F38" s="273" t="inlineStr">
        <is>
          <t>days</t>
        </is>
      </c>
      <c r="G38" s="273" t="n">
        <v>0</v>
      </c>
      <c r="H38" s="273" t="n">
        <v>0</v>
      </c>
      <c r="I38" s="325" t="n"/>
      <c r="J38" s="325" t="n"/>
      <c r="K38" s="273" t="n">
        <v>0</v>
      </c>
      <c r="L38" s="273" t="n">
        <v>0</v>
      </c>
      <c r="M38" s="273" t="inlineStr">
        <is>
          <t>D</t>
        </is>
      </c>
      <c r="N38" s="274" t="inlineStr">
        <is>
          <t>SRC-10</t>
        </is>
      </c>
    </row>
    <row r="39">
      <c r="A39" s="272" t="inlineStr">
        <is>
          <t>PARAM</t>
        </is>
      </c>
      <c r="B39" s="273" t="inlineStr">
        <is>
          <t>SC_DISR</t>
        </is>
      </c>
      <c r="C39" s="273" t="inlineStr">
        <is>
          <t>Critical business-service disruption</t>
        </is>
      </c>
      <c r="D39" s="273" t="inlineStr">
        <is>
          <t>POST_EVENT_REVENUE_SHARE</t>
        </is>
      </c>
      <c r="E39" s="273" t="inlineStr">
        <is>
          <t>POST_EVENT_REVENUE_SHARE</t>
        </is>
      </c>
      <c r="F39" s="273" t="inlineStr">
        <is>
          <t>share</t>
        </is>
      </c>
      <c r="G39" s="273" t="n">
        <v>0.0005</v>
      </c>
      <c r="H39" s="273" t="n">
        <v>0.005</v>
      </c>
      <c r="I39" s="325" t="n"/>
      <c r="J39" s="325" t="n"/>
      <c r="K39" s="273" t="n">
        <v>0.0005</v>
      </c>
      <c r="L39" s="273" t="n">
        <v>0.005</v>
      </c>
      <c r="M39" s="273" t="inlineStr">
        <is>
          <t>D</t>
        </is>
      </c>
      <c r="N39" s="274" t="inlineStr">
        <is>
          <t>SRC-10</t>
        </is>
      </c>
    </row>
    <row r="40">
      <c r="A40" s="272" t="inlineStr">
        <is>
          <t>PARAM</t>
        </is>
      </c>
      <c r="B40" s="273" t="inlineStr">
        <is>
          <t>SC_DISR</t>
        </is>
      </c>
      <c r="C40" s="273" t="inlineStr">
        <is>
          <t>Critical business-service disruption</t>
        </is>
      </c>
      <c r="D40" s="273" t="inlineStr">
        <is>
          <t>REGULATORY_REVENUE_SHARE</t>
        </is>
      </c>
      <c r="E40" s="273" t="inlineStr">
        <is>
          <t>REGULATORY_REVENUE_SHARE</t>
        </is>
      </c>
      <c r="F40" s="273" t="inlineStr">
        <is>
          <t>share</t>
        </is>
      </c>
      <c r="G40" s="273" t="n">
        <v>0</v>
      </c>
      <c r="H40" s="273" t="n">
        <v>0.002</v>
      </c>
      <c r="I40" s="325" t="n"/>
      <c r="J40" s="325" t="n"/>
      <c r="K40" s="273" t="n">
        <v>0</v>
      </c>
      <c r="L40" s="273" t="n">
        <v>0.002</v>
      </c>
      <c r="M40" s="273" t="inlineStr">
        <is>
          <t>D</t>
        </is>
      </c>
      <c r="N40" s="274" t="inlineStr">
        <is>
          <t>SRC-10</t>
        </is>
      </c>
    </row>
    <row r="41">
      <c r="A41" s="272" t="inlineStr">
        <is>
          <t>PARAM</t>
        </is>
      </c>
      <c r="B41" s="273" t="inlineStr">
        <is>
          <t>SC_DISR</t>
        </is>
      </c>
      <c r="C41" s="273" t="inlineStr">
        <is>
          <t>Critical business-service disruption</t>
        </is>
      </c>
      <c r="D41" s="273" t="inlineStr">
        <is>
          <t>RESTORE_DAYS</t>
        </is>
      </c>
      <c r="E41" s="273" t="inlineStr">
        <is>
          <t>RESTORE_DAYS</t>
        </is>
      </c>
      <c r="F41" s="273" t="inlineStr">
        <is>
          <t>days</t>
        </is>
      </c>
      <c r="G41" s="273" t="n">
        <v>15</v>
      </c>
      <c r="H41" s="273" t="n">
        <v>120</v>
      </c>
      <c r="I41" s="325" t="n"/>
      <c r="J41" s="325" t="n"/>
      <c r="K41" s="273" t="n">
        <v>15</v>
      </c>
      <c r="L41" s="273" t="n">
        <v>120</v>
      </c>
      <c r="M41" s="273" t="inlineStr">
        <is>
          <t>D</t>
        </is>
      </c>
      <c r="N41" s="274" t="inlineStr">
        <is>
          <t>SRC-10</t>
        </is>
      </c>
    </row>
    <row r="42">
      <c r="A42" s="272" t="inlineStr">
        <is>
          <t>PARAM</t>
        </is>
      </c>
      <c r="B42" s="273" t="inlineStr">
        <is>
          <t>SC_DATA</t>
        </is>
      </c>
      <c r="C42" s="273" t="inlineStr">
        <is>
          <t>Sensitive-data compromise</t>
        </is>
      </c>
      <c r="D42" s="273" t="inlineStr">
        <is>
          <t>AFFECTED_ENDPOINT_SHARE</t>
        </is>
      </c>
      <c r="E42" s="273" t="inlineStr">
        <is>
          <t>AFFECTED_ENDPOINT_SHARE</t>
        </is>
      </c>
      <c r="F42" s="273" t="inlineStr">
        <is>
          <t>share</t>
        </is>
      </c>
      <c r="G42" s="273" t="n">
        <v>0.05</v>
      </c>
      <c r="H42" s="273" t="n">
        <v>0.3</v>
      </c>
      <c r="I42" s="325" t="n"/>
      <c r="J42" s="325" t="n"/>
      <c r="K42" s="273" t="n">
        <v>0.05</v>
      </c>
      <c r="L42" s="273" t="n">
        <v>0.3</v>
      </c>
      <c r="M42" s="273" t="inlineStr">
        <is>
          <t>D</t>
        </is>
      </c>
      <c r="N42" s="274" t="inlineStr">
        <is>
          <t>SRC-10</t>
        </is>
      </c>
    </row>
    <row r="43">
      <c r="A43" s="272" t="inlineStr">
        <is>
          <t>PARAM</t>
        </is>
      </c>
      <c r="B43" s="273" t="inlineStr">
        <is>
          <t>SC_DATA</t>
        </is>
      </c>
      <c r="C43" s="273" t="inlineStr">
        <is>
          <t>Sensitive-data compromise</t>
        </is>
      </c>
      <c r="D43" s="273" t="inlineStr">
        <is>
          <t>AFFECTED_RECORD_SHARE</t>
        </is>
      </c>
      <c r="E43" s="273" t="inlineStr">
        <is>
          <t>AFFECTED_RECORD_SHARE</t>
        </is>
      </c>
      <c r="F43" s="273" t="inlineStr">
        <is>
          <t>share</t>
        </is>
      </c>
      <c r="G43" s="273" t="n">
        <v>0.05</v>
      </c>
      <c r="H43" s="273" t="n">
        <v>0.8</v>
      </c>
      <c r="I43" s="325" t="n"/>
      <c r="J43" s="325" t="n"/>
      <c r="K43" s="273" t="n">
        <v>0.05</v>
      </c>
      <c r="L43" s="273" t="n">
        <v>0.8</v>
      </c>
      <c r="M43" s="273" t="inlineStr">
        <is>
          <t>D</t>
        </is>
      </c>
      <c r="N43" s="274" t="inlineStr">
        <is>
          <t>SRC-10</t>
        </is>
      </c>
    </row>
    <row r="44">
      <c r="A44" s="272" t="inlineStr">
        <is>
          <t>PARAM</t>
        </is>
      </c>
      <c r="B44" s="273" t="inlineStr">
        <is>
          <t>SC_DATA</t>
        </is>
      </c>
      <c r="C44" s="273" t="inlineStr">
        <is>
          <t>Sensitive-data compromise</t>
        </is>
      </c>
      <c r="D44" s="273" t="inlineStr">
        <is>
          <t>AFFECTED_SERVER_SHARE</t>
        </is>
      </c>
      <c r="E44" s="273" t="inlineStr">
        <is>
          <t>AFFECTED_SERVER_SHARE</t>
        </is>
      </c>
      <c r="F44" s="273" t="inlineStr">
        <is>
          <t>share</t>
        </is>
      </c>
      <c r="G44" s="273" t="n">
        <v>0.05</v>
      </c>
      <c r="H44" s="273" t="n">
        <v>0.25</v>
      </c>
      <c r="I44" s="325" t="n"/>
      <c r="J44" s="325" t="n"/>
      <c r="K44" s="273" t="n">
        <v>0.05</v>
      </c>
      <c r="L44" s="273" t="n">
        <v>0.25</v>
      </c>
      <c r="M44" s="273" t="inlineStr">
        <is>
          <t>D</t>
        </is>
      </c>
      <c r="N44" s="274" t="inlineStr">
        <is>
          <t>SRC-10</t>
        </is>
      </c>
    </row>
    <row r="45">
      <c r="A45" s="272" t="inlineStr">
        <is>
          <t>PARAM</t>
        </is>
      </c>
      <c r="B45" s="273" t="inlineStr">
        <is>
          <t>SC_DATA</t>
        </is>
      </c>
      <c r="C45" s="273" t="inlineStr">
        <is>
          <t>Sensitive-data compromise</t>
        </is>
      </c>
      <c r="D45" s="273" t="inlineStr">
        <is>
          <t>AFFECTED_SERVICE_SHARE</t>
        </is>
      </c>
      <c r="E45" s="273" t="inlineStr">
        <is>
          <t>AFFECTED_SERVICE_SHARE</t>
        </is>
      </c>
      <c r="F45" s="273" t="inlineStr">
        <is>
          <t>share</t>
        </is>
      </c>
      <c r="G45" s="273" t="n">
        <v>0.1</v>
      </c>
      <c r="H45" s="273" t="n">
        <v>0.4</v>
      </c>
      <c r="I45" s="325" t="n"/>
      <c r="J45" s="325" t="n"/>
      <c r="K45" s="273" t="n">
        <v>0.1</v>
      </c>
      <c r="L45" s="273" t="n">
        <v>0.4</v>
      </c>
      <c r="M45" s="273" t="inlineStr">
        <is>
          <t>D</t>
        </is>
      </c>
      <c r="N45" s="274" t="inlineStr">
        <is>
          <t>SRC-10</t>
        </is>
      </c>
    </row>
    <row r="46">
      <c r="A46" s="272" t="inlineStr">
        <is>
          <t>PARAM</t>
        </is>
      </c>
      <c r="B46" s="273" t="inlineStr">
        <is>
          <t>SC_DATA</t>
        </is>
      </c>
      <c r="C46" s="273" t="inlineStr">
        <is>
          <t>Sensitive-data compromise</t>
        </is>
      </c>
      <c r="D46" s="273" t="inlineStr">
        <is>
          <t>CHURN_REVENUE_SHARE</t>
        </is>
      </c>
      <c r="E46" s="273" t="inlineStr">
        <is>
          <t>CHURN_REVENUE_SHARE</t>
        </is>
      </c>
      <c r="F46" s="273" t="inlineStr">
        <is>
          <t>share</t>
        </is>
      </c>
      <c r="G46" s="273" t="n">
        <v>0.002</v>
      </c>
      <c r="H46" s="273" t="n">
        <v>0.03</v>
      </c>
      <c r="I46" s="325" t="n"/>
      <c r="J46" s="325" t="n"/>
      <c r="K46" s="273" t="n">
        <v>0.002</v>
      </c>
      <c r="L46" s="273" t="n">
        <v>0.03</v>
      </c>
      <c r="M46" s="273" t="inlineStr">
        <is>
          <t>D</t>
        </is>
      </c>
      <c r="N46" s="274" t="inlineStr">
        <is>
          <t>SRC-10</t>
        </is>
      </c>
    </row>
    <row r="47">
      <c r="A47" s="272" t="inlineStr">
        <is>
          <t>PARAM</t>
        </is>
      </c>
      <c r="B47" s="273" t="inlineStr">
        <is>
          <t>SC_DATA</t>
        </is>
      </c>
      <c r="C47" s="273" t="inlineStr">
        <is>
          <t>Sensitive-data compromise</t>
        </is>
      </c>
      <c r="D47" s="273" t="inlineStr">
        <is>
          <t>CYBER_DAYS</t>
        </is>
      </c>
      <c r="E47" s="273" t="inlineStr">
        <is>
          <t>CYBER_DAYS</t>
        </is>
      </c>
      <c r="F47" s="273" t="inlineStr">
        <is>
          <t>days</t>
        </is>
      </c>
      <c r="G47" s="273" t="n">
        <v>30</v>
      </c>
      <c r="H47" s="273" t="n">
        <v>180</v>
      </c>
      <c r="I47" s="325" t="n"/>
      <c r="J47" s="325" t="n"/>
      <c r="K47" s="273" t="n">
        <v>30</v>
      </c>
      <c r="L47" s="273" t="n">
        <v>180</v>
      </c>
      <c r="M47" s="273" t="inlineStr">
        <is>
          <t>D</t>
        </is>
      </c>
      <c r="N47" s="274" t="inlineStr">
        <is>
          <t>SRC-10</t>
        </is>
      </c>
    </row>
    <row r="48">
      <c r="A48" s="272" t="inlineStr">
        <is>
          <t>PARAM</t>
        </is>
      </c>
      <c r="B48" s="273" t="inlineStr">
        <is>
          <t>SC_DATA</t>
        </is>
      </c>
      <c r="C48" s="273" t="inlineStr">
        <is>
          <t>Sensitive-data compromise</t>
        </is>
      </c>
      <c r="D48" s="273" t="inlineStr">
        <is>
          <t>DIVERTED_SHARE</t>
        </is>
      </c>
      <c r="E48" s="273" t="inlineStr">
        <is>
          <t>DIVERTED_SHARE</t>
        </is>
      </c>
      <c r="F48" s="273" t="inlineStr">
        <is>
          <t>share</t>
        </is>
      </c>
      <c r="G48" s="273" t="n">
        <v>0</v>
      </c>
      <c r="H48" s="273" t="n">
        <v>0</v>
      </c>
      <c r="I48" s="325" t="n"/>
      <c r="J48" s="325" t="n"/>
      <c r="K48" s="273" t="n">
        <v>0</v>
      </c>
      <c r="L48" s="273" t="n">
        <v>0</v>
      </c>
      <c r="M48" s="273" t="inlineStr">
        <is>
          <t>D</t>
        </is>
      </c>
      <c r="N48" s="274" t="inlineStr">
        <is>
          <t>SRC-10</t>
        </is>
      </c>
    </row>
    <row r="49">
      <c r="A49" s="272" t="inlineStr">
        <is>
          <t>PARAM</t>
        </is>
      </c>
      <c r="B49" s="273" t="inlineStr">
        <is>
          <t>SC_DATA</t>
        </is>
      </c>
      <c r="C49" s="273" t="inlineStr">
        <is>
          <t>Sensitive-data compromise</t>
        </is>
      </c>
      <c r="D49" s="273" t="inlineStr">
        <is>
          <t>DOWNTIME_DAYS</t>
        </is>
      </c>
      <c r="E49" s="273" t="inlineStr">
        <is>
          <t>DOWNTIME_DAYS</t>
        </is>
      </c>
      <c r="F49" s="273" t="inlineStr">
        <is>
          <t>days</t>
        </is>
      </c>
      <c r="G49" s="273" t="n">
        <v>1</v>
      </c>
      <c r="H49" s="273" t="n">
        <v>10</v>
      </c>
      <c r="I49" s="325" t="n"/>
      <c r="J49" s="325" t="n"/>
      <c r="K49" s="273" t="n">
        <v>1</v>
      </c>
      <c r="L49" s="273" t="n">
        <v>10</v>
      </c>
      <c r="M49" s="273" t="inlineStr">
        <is>
          <t>D</t>
        </is>
      </c>
      <c r="N49" s="274" t="inlineStr">
        <is>
          <t>SRC-10</t>
        </is>
      </c>
    </row>
    <row r="50">
      <c r="A50" s="272" t="inlineStr">
        <is>
          <t>PARAM</t>
        </is>
      </c>
      <c r="B50" s="273" t="inlineStr">
        <is>
          <t>SC_DATA</t>
        </is>
      </c>
      <c r="C50" s="273" t="inlineStr">
        <is>
          <t>Sensitive-data compromise</t>
        </is>
      </c>
      <c r="D50" s="273" t="inlineStr">
        <is>
          <t>EXTORTION_DIRECT</t>
        </is>
      </c>
      <c r="E50" s="273" t="inlineStr">
        <is>
          <t>EXTORTION_DIRECT</t>
        </is>
      </c>
      <c r="F50" s="273" t="inlineStr">
        <is>
          <t>USD</t>
        </is>
      </c>
      <c r="G50" s="273" t="n">
        <v>500000</v>
      </c>
      <c r="H50" s="273" t="n">
        <v>10000000</v>
      </c>
      <c r="I50" s="325" t="n"/>
      <c r="J50" s="325" t="n"/>
      <c r="K50" s="273" t="n">
        <v>500000</v>
      </c>
      <c r="L50" s="273" t="n">
        <v>10000000</v>
      </c>
      <c r="M50" s="273" t="inlineStr">
        <is>
          <t>D</t>
        </is>
      </c>
      <c r="N50" s="274" t="inlineStr">
        <is>
          <t>SRC-10</t>
        </is>
      </c>
    </row>
    <row r="51">
      <c r="A51" s="272" t="inlineStr">
        <is>
          <t>PARAM</t>
        </is>
      </c>
      <c r="B51" s="273" t="inlineStr">
        <is>
          <t>SC_DATA</t>
        </is>
      </c>
      <c r="C51" s="273" t="inlineStr">
        <is>
          <t>Sensitive-data compromise</t>
        </is>
      </c>
      <c r="D51" s="273" t="inlineStr">
        <is>
          <t>FRAUD_RECOVERY_RATE</t>
        </is>
      </c>
      <c r="E51" s="273" t="inlineStr">
        <is>
          <t>FRAUD_RECOVERY_RATE</t>
        </is>
      </c>
      <c r="F51" s="273" t="inlineStr">
        <is>
          <t>share</t>
        </is>
      </c>
      <c r="G51" s="273" t="n">
        <v>0</v>
      </c>
      <c r="H51" s="273" t="n">
        <v>0</v>
      </c>
      <c r="I51" s="325" t="n"/>
      <c r="J51" s="325" t="n"/>
      <c r="K51" s="273" t="n">
        <v>0</v>
      </c>
      <c r="L51" s="273" t="n">
        <v>0</v>
      </c>
      <c r="M51" s="273" t="inlineStr">
        <is>
          <t>D</t>
        </is>
      </c>
      <c r="N51" s="274" t="inlineStr">
        <is>
          <t>SRC-10</t>
        </is>
      </c>
    </row>
    <row r="52">
      <c r="A52" s="272" t="inlineStr">
        <is>
          <t>PARAM</t>
        </is>
      </c>
      <c r="B52" s="273" t="inlineStr">
        <is>
          <t>SC_DATA</t>
        </is>
      </c>
      <c r="C52" s="273" t="inlineStr">
        <is>
          <t>Sensitive-data compromise</t>
        </is>
      </c>
      <c r="D52" s="273" t="inlineStr">
        <is>
          <t>IR_DAYS</t>
        </is>
      </c>
      <c r="E52" s="273" t="inlineStr">
        <is>
          <t>IR_DAYS</t>
        </is>
      </c>
      <c r="F52" s="273" t="inlineStr">
        <is>
          <t>days</t>
        </is>
      </c>
      <c r="G52" s="273" t="n">
        <v>20</v>
      </c>
      <c r="H52" s="273" t="n">
        <v>120</v>
      </c>
      <c r="I52" s="325" t="n"/>
      <c r="J52" s="325" t="n"/>
      <c r="K52" s="273" t="n">
        <v>20</v>
      </c>
      <c r="L52" s="273" t="n">
        <v>120</v>
      </c>
      <c r="M52" s="273" t="inlineStr">
        <is>
          <t>D</t>
        </is>
      </c>
      <c r="N52" s="274" t="inlineStr">
        <is>
          <t>SRC-10</t>
        </is>
      </c>
    </row>
    <row r="53">
      <c r="A53" s="272" t="inlineStr">
        <is>
          <t>PARAM</t>
        </is>
      </c>
      <c r="B53" s="273" t="inlineStr">
        <is>
          <t>SC_DATA</t>
        </is>
      </c>
      <c r="C53" s="273" t="inlineStr">
        <is>
          <t>Sensitive-data compromise</t>
        </is>
      </c>
      <c r="D53" s="273" t="inlineStr">
        <is>
          <t>LEGAL_DAYS</t>
        </is>
      </c>
      <c r="E53" s="273" t="inlineStr">
        <is>
          <t>LEGAL_DAYS</t>
        </is>
      </c>
      <c r="F53" s="273" t="inlineStr">
        <is>
          <t>days</t>
        </is>
      </c>
      <c r="G53" s="273" t="n">
        <v>30</v>
      </c>
      <c r="H53" s="273" t="n">
        <v>180</v>
      </c>
      <c r="I53" s="325" t="n"/>
      <c r="J53" s="325" t="n"/>
      <c r="K53" s="273" t="n">
        <v>30</v>
      </c>
      <c r="L53" s="273" t="n">
        <v>180</v>
      </c>
      <c r="M53" s="273" t="inlineStr">
        <is>
          <t>D</t>
        </is>
      </c>
      <c r="N53" s="274" t="inlineStr">
        <is>
          <t>SRC-10</t>
        </is>
      </c>
    </row>
    <row r="54">
      <c r="A54" s="272" t="inlineStr">
        <is>
          <t>PARAM</t>
        </is>
      </c>
      <c r="B54" s="273" t="inlineStr">
        <is>
          <t>SC_DATA</t>
        </is>
      </c>
      <c r="C54" s="273" t="inlineStr">
        <is>
          <t>Sensitive-data compromise</t>
        </is>
      </c>
      <c r="D54" s="273" t="inlineStr">
        <is>
          <t>MONITORING_TAKEUP</t>
        </is>
      </c>
      <c r="E54" s="273" t="inlineStr">
        <is>
          <t>MONITORING_TAKEUP</t>
        </is>
      </c>
      <c r="F54" s="273" t="inlineStr">
        <is>
          <t>share</t>
        </is>
      </c>
      <c r="G54" s="273" t="n">
        <v>0.1</v>
      </c>
      <c r="H54" s="273" t="n">
        <v>0.25</v>
      </c>
      <c r="I54" s="325" t="n"/>
      <c r="J54" s="325" t="n"/>
      <c r="K54" s="273" t="n">
        <v>0.1</v>
      </c>
      <c r="L54" s="273" t="n">
        <v>0.25</v>
      </c>
      <c r="M54" s="273" t="inlineStr">
        <is>
          <t>D</t>
        </is>
      </c>
      <c r="N54" s="274" t="inlineStr">
        <is>
          <t>SRC-10</t>
        </is>
      </c>
    </row>
    <row r="55">
      <c r="A55" s="272" t="inlineStr">
        <is>
          <t>PARAM</t>
        </is>
      </c>
      <c r="B55" s="273" t="inlineStr">
        <is>
          <t>SC_DATA</t>
        </is>
      </c>
      <c r="C55" s="273" t="inlineStr">
        <is>
          <t>Sensitive-data compromise</t>
        </is>
      </c>
      <c r="D55" s="273" t="inlineStr">
        <is>
          <t>PAYMENT_FLOW_DAYS</t>
        </is>
      </c>
      <c r="E55" s="273" t="inlineStr">
        <is>
          <t>PAYMENT_FLOW_DAYS</t>
        </is>
      </c>
      <c r="F55" s="273" t="inlineStr">
        <is>
          <t>days</t>
        </is>
      </c>
      <c r="G55" s="273" t="n">
        <v>0</v>
      </c>
      <c r="H55" s="273" t="n">
        <v>0</v>
      </c>
      <c r="I55" s="325" t="n"/>
      <c r="J55" s="325" t="n"/>
      <c r="K55" s="273" t="n">
        <v>0</v>
      </c>
      <c r="L55" s="273" t="n">
        <v>0</v>
      </c>
      <c r="M55" s="273" t="inlineStr">
        <is>
          <t>D</t>
        </is>
      </c>
      <c r="N55" s="274" t="inlineStr">
        <is>
          <t>SRC-10</t>
        </is>
      </c>
    </row>
    <row r="56">
      <c r="A56" s="272" t="inlineStr">
        <is>
          <t>PARAM</t>
        </is>
      </c>
      <c r="B56" s="273" t="inlineStr">
        <is>
          <t>SC_DATA</t>
        </is>
      </c>
      <c r="C56" s="273" t="inlineStr">
        <is>
          <t>Sensitive-data compromise</t>
        </is>
      </c>
      <c r="D56" s="273" t="inlineStr">
        <is>
          <t>POST_EVENT_REVENUE_SHARE</t>
        </is>
      </c>
      <c r="E56" s="273" t="inlineStr">
        <is>
          <t>POST_EVENT_REVENUE_SHARE</t>
        </is>
      </c>
      <c r="F56" s="273" t="inlineStr">
        <is>
          <t>share</t>
        </is>
      </c>
      <c r="G56" s="273" t="n">
        <v>0.001</v>
      </c>
      <c r="H56" s="273" t="n">
        <v>0.008</v>
      </c>
      <c r="I56" s="325" t="n"/>
      <c r="J56" s="325" t="n"/>
      <c r="K56" s="273" t="n">
        <v>0.001</v>
      </c>
      <c r="L56" s="273" t="n">
        <v>0.008</v>
      </c>
      <c r="M56" s="273" t="inlineStr">
        <is>
          <t>D</t>
        </is>
      </c>
      <c r="N56" s="274" t="inlineStr">
        <is>
          <t>SRC-10</t>
        </is>
      </c>
    </row>
    <row r="57">
      <c r="A57" s="272" t="inlineStr">
        <is>
          <t>PARAM</t>
        </is>
      </c>
      <c r="B57" s="273" t="inlineStr">
        <is>
          <t>SC_DATA</t>
        </is>
      </c>
      <c r="C57" s="273" t="inlineStr">
        <is>
          <t>Sensitive-data compromise</t>
        </is>
      </c>
      <c r="D57" s="273" t="inlineStr">
        <is>
          <t>REGULATORY_REVENUE_SHARE</t>
        </is>
      </c>
      <c r="E57" s="273" t="inlineStr">
        <is>
          <t>REGULATORY_REVENUE_SHARE</t>
        </is>
      </c>
      <c r="F57" s="273" t="inlineStr">
        <is>
          <t>share</t>
        </is>
      </c>
      <c r="G57" s="273" t="n">
        <v>0.001</v>
      </c>
      <c r="H57" s="273" t="n">
        <v>0.01</v>
      </c>
      <c r="I57" s="325" t="n"/>
      <c r="J57" s="325" t="n"/>
      <c r="K57" s="273" t="n">
        <v>0.001</v>
      </c>
      <c r="L57" s="273" t="n">
        <v>0.01</v>
      </c>
      <c r="M57" s="273" t="inlineStr">
        <is>
          <t>D</t>
        </is>
      </c>
      <c r="N57" s="274" t="inlineStr">
        <is>
          <t>SRC-10</t>
        </is>
      </c>
    </row>
    <row r="58">
      <c r="A58" s="272" t="inlineStr">
        <is>
          <t>PARAM</t>
        </is>
      </c>
      <c r="B58" s="273" t="inlineStr">
        <is>
          <t>SC_DATA</t>
        </is>
      </c>
      <c r="C58" s="273" t="inlineStr">
        <is>
          <t>Sensitive-data compromise</t>
        </is>
      </c>
      <c r="D58" s="273" t="inlineStr">
        <is>
          <t>RESTORE_DAYS</t>
        </is>
      </c>
      <c r="E58" s="273" t="inlineStr">
        <is>
          <t>RESTORE_DAYS</t>
        </is>
      </c>
      <c r="F58" s="273" t="inlineStr">
        <is>
          <t>days</t>
        </is>
      </c>
      <c r="G58" s="273" t="n">
        <v>20</v>
      </c>
      <c r="H58" s="273" t="n">
        <v>120</v>
      </c>
      <c r="I58" s="325" t="n"/>
      <c r="J58" s="325" t="n"/>
      <c r="K58" s="273" t="n">
        <v>20</v>
      </c>
      <c r="L58" s="273" t="n">
        <v>120</v>
      </c>
      <c r="M58" s="273" t="inlineStr">
        <is>
          <t>D</t>
        </is>
      </c>
      <c r="N58" s="274" t="inlineStr">
        <is>
          <t>SRC-10</t>
        </is>
      </c>
    </row>
    <row r="59">
      <c r="A59" s="272" t="inlineStr">
        <is>
          <t>PARAM</t>
        </is>
      </c>
      <c r="B59" s="273" t="inlineStr">
        <is>
          <t>SC_INT</t>
        </is>
      </c>
      <c r="C59" s="273" t="inlineStr">
        <is>
          <t>Data or transaction-integrity compromise</t>
        </is>
      </c>
      <c r="D59" s="273" t="inlineStr">
        <is>
          <t>AFFECTED_ENDPOINT_SHARE</t>
        </is>
      </c>
      <c r="E59" s="273" t="inlineStr">
        <is>
          <t>AFFECTED_ENDPOINT_SHARE</t>
        </is>
      </c>
      <c r="F59" s="273" t="inlineStr">
        <is>
          <t>share</t>
        </is>
      </c>
      <c r="G59" s="273" t="n">
        <v>0.1</v>
      </c>
      <c r="H59" s="273" t="n">
        <v>0.4</v>
      </c>
      <c r="I59" s="325" t="n"/>
      <c r="J59" s="325" t="n"/>
      <c r="K59" s="273" t="n">
        <v>0.1</v>
      </c>
      <c r="L59" s="273" t="n">
        <v>0.4</v>
      </c>
      <c r="M59" s="273" t="inlineStr">
        <is>
          <t>D</t>
        </is>
      </c>
      <c r="N59" s="274" t="inlineStr">
        <is>
          <t>SRC-10</t>
        </is>
      </c>
    </row>
    <row r="60">
      <c r="A60" s="272" t="inlineStr">
        <is>
          <t>PARAM</t>
        </is>
      </c>
      <c r="B60" s="273" t="inlineStr">
        <is>
          <t>SC_INT</t>
        </is>
      </c>
      <c r="C60" s="273" t="inlineStr">
        <is>
          <t>Data or transaction-integrity compromise</t>
        </is>
      </c>
      <c r="D60" s="273" t="inlineStr">
        <is>
          <t>AFFECTED_RECORD_SHARE</t>
        </is>
      </c>
      <c r="E60" s="273" t="inlineStr">
        <is>
          <t>AFFECTED_RECORD_SHARE</t>
        </is>
      </c>
      <c r="F60" s="273" t="inlineStr">
        <is>
          <t>share</t>
        </is>
      </c>
      <c r="G60" s="273" t="n">
        <v>0</v>
      </c>
      <c r="H60" s="273" t="n">
        <v>0.1</v>
      </c>
      <c r="I60" s="325" t="n"/>
      <c r="J60" s="325" t="n"/>
      <c r="K60" s="273" t="n">
        <v>0</v>
      </c>
      <c r="L60" s="273" t="n">
        <v>0.1</v>
      </c>
      <c r="M60" s="273" t="inlineStr">
        <is>
          <t>D</t>
        </is>
      </c>
      <c r="N60" s="274" t="inlineStr">
        <is>
          <t>SRC-10</t>
        </is>
      </c>
    </row>
    <row r="61">
      <c r="A61" s="272" t="inlineStr">
        <is>
          <t>PARAM</t>
        </is>
      </c>
      <c r="B61" s="273" t="inlineStr">
        <is>
          <t>SC_INT</t>
        </is>
      </c>
      <c r="C61" s="273" t="inlineStr">
        <is>
          <t>Data or transaction-integrity compromise</t>
        </is>
      </c>
      <c r="D61" s="273" t="inlineStr">
        <is>
          <t>AFFECTED_SERVER_SHARE</t>
        </is>
      </c>
      <c r="E61" s="273" t="inlineStr">
        <is>
          <t>AFFECTED_SERVER_SHARE</t>
        </is>
      </c>
      <c r="F61" s="273" t="inlineStr">
        <is>
          <t>share</t>
        </is>
      </c>
      <c r="G61" s="273" t="n">
        <v>0.1</v>
      </c>
      <c r="H61" s="273" t="n">
        <v>0.5</v>
      </c>
      <c r="I61" s="325" t="n"/>
      <c r="J61" s="325" t="n"/>
      <c r="K61" s="273" t="n">
        <v>0.1</v>
      </c>
      <c r="L61" s="273" t="n">
        <v>0.5</v>
      </c>
      <c r="M61" s="273" t="inlineStr">
        <is>
          <t>D</t>
        </is>
      </c>
      <c r="N61" s="274" t="inlineStr">
        <is>
          <t>SRC-10</t>
        </is>
      </c>
    </row>
    <row r="62">
      <c r="A62" s="272" t="inlineStr">
        <is>
          <t>PARAM</t>
        </is>
      </c>
      <c r="B62" s="273" t="inlineStr">
        <is>
          <t>SC_INT</t>
        </is>
      </c>
      <c r="C62" s="273" t="inlineStr">
        <is>
          <t>Data or transaction-integrity compromise</t>
        </is>
      </c>
      <c r="D62" s="273" t="inlineStr">
        <is>
          <t>AFFECTED_SERVICE_SHARE</t>
        </is>
      </c>
      <c r="E62" s="273" t="inlineStr">
        <is>
          <t>AFFECTED_SERVICE_SHARE</t>
        </is>
      </c>
      <c r="F62" s="273" t="inlineStr">
        <is>
          <t>share</t>
        </is>
      </c>
      <c r="G62" s="273" t="n">
        <v>0.2</v>
      </c>
      <c r="H62" s="273" t="n">
        <v>0.7</v>
      </c>
      <c r="I62" s="325" t="n"/>
      <c r="J62" s="325" t="n"/>
      <c r="K62" s="273" t="n">
        <v>0.2</v>
      </c>
      <c r="L62" s="273" t="n">
        <v>0.7</v>
      </c>
      <c r="M62" s="273" t="inlineStr">
        <is>
          <t>D</t>
        </is>
      </c>
      <c r="N62" s="274" t="inlineStr">
        <is>
          <t>SRC-10</t>
        </is>
      </c>
    </row>
    <row r="63">
      <c r="A63" s="272" t="inlineStr">
        <is>
          <t>PARAM</t>
        </is>
      </c>
      <c r="B63" s="273" t="inlineStr">
        <is>
          <t>SC_INT</t>
        </is>
      </c>
      <c r="C63" s="273" t="inlineStr">
        <is>
          <t>Data or transaction-integrity compromise</t>
        </is>
      </c>
      <c r="D63" s="273" t="inlineStr">
        <is>
          <t>CHURN_REVENUE_SHARE</t>
        </is>
      </c>
      <c r="E63" s="273" t="inlineStr">
        <is>
          <t>CHURN_REVENUE_SHARE</t>
        </is>
      </c>
      <c r="F63" s="273" t="inlineStr">
        <is>
          <t>share</t>
        </is>
      </c>
      <c r="G63" s="273" t="n">
        <v>0.001</v>
      </c>
      <c r="H63" s="273" t="n">
        <v>0.02</v>
      </c>
      <c r="I63" s="325" t="n"/>
      <c r="J63" s="325" t="n"/>
      <c r="K63" s="273" t="n">
        <v>0.001</v>
      </c>
      <c r="L63" s="273" t="n">
        <v>0.02</v>
      </c>
      <c r="M63" s="273" t="inlineStr">
        <is>
          <t>D</t>
        </is>
      </c>
      <c r="N63" s="274" t="inlineStr">
        <is>
          <t>SRC-10</t>
        </is>
      </c>
    </row>
    <row r="64">
      <c r="A64" s="272" t="inlineStr">
        <is>
          <t>PARAM</t>
        </is>
      </c>
      <c r="B64" s="273" t="inlineStr">
        <is>
          <t>SC_INT</t>
        </is>
      </c>
      <c r="C64" s="273" t="inlineStr">
        <is>
          <t>Data or transaction-integrity compromise</t>
        </is>
      </c>
      <c r="D64" s="273" t="inlineStr">
        <is>
          <t>CYBER_DAYS</t>
        </is>
      </c>
      <c r="E64" s="273" t="inlineStr">
        <is>
          <t>CYBER_DAYS</t>
        </is>
      </c>
      <c r="F64" s="273" t="inlineStr">
        <is>
          <t>days</t>
        </is>
      </c>
      <c r="G64" s="273" t="n">
        <v>20</v>
      </c>
      <c r="H64" s="273" t="n">
        <v>150</v>
      </c>
      <c r="I64" s="325" t="n"/>
      <c r="J64" s="325" t="n"/>
      <c r="K64" s="273" t="n">
        <v>20</v>
      </c>
      <c r="L64" s="273" t="n">
        <v>150</v>
      </c>
      <c r="M64" s="273" t="inlineStr">
        <is>
          <t>D</t>
        </is>
      </c>
      <c r="N64" s="274" t="inlineStr">
        <is>
          <t>SRC-10</t>
        </is>
      </c>
    </row>
    <row r="65">
      <c r="A65" s="272" t="inlineStr">
        <is>
          <t>PARAM</t>
        </is>
      </c>
      <c r="B65" s="273" t="inlineStr">
        <is>
          <t>SC_INT</t>
        </is>
      </c>
      <c r="C65" s="273" t="inlineStr">
        <is>
          <t>Data or transaction-integrity compromise</t>
        </is>
      </c>
      <c r="D65" s="273" t="inlineStr">
        <is>
          <t>DIVERTED_SHARE</t>
        </is>
      </c>
      <c r="E65" s="273" t="inlineStr">
        <is>
          <t>DIVERTED_SHARE</t>
        </is>
      </c>
      <c r="F65" s="273" t="inlineStr">
        <is>
          <t>share</t>
        </is>
      </c>
      <c r="G65" s="273" t="n">
        <v>0.005</v>
      </c>
      <c r="H65" s="273" t="n">
        <v>0.05</v>
      </c>
      <c r="I65" s="325" t="n"/>
      <c r="J65" s="325" t="n"/>
      <c r="K65" s="273" t="n">
        <v>0.005</v>
      </c>
      <c r="L65" s="273" t="n">
        <v>0.05</v>
      </c>
      <c r="M65" s="273" t="inlineStr">
        <is>
          <t>D</t>
        </is>
      </c>
      <c r="N65" s="274" t="inlineStr">
        <is>
          <t>SRC-10</t>
        </is>
      </c>
    </row>
    <row r="66">
      <c r="A66" s="272" t="inlineStr">
        <is>
          <t>PARAM</t>
        </is>
      </c>
      <c r="B66" s="273" t="inlineStr">
        <is>
          <t>SC_INT</t>
        </is>
      </c>
      <c r="C66" s="273" t="inlineStr">
        <is>
          <t>Data or transaction-integrity compromise</t>
        </is>
      </c>
      <c r="D66" s="273" t="inlineStr">
        <is>
          <t>DOWNTIME_DAYS</t>
        </is>
      </c>
      <c r="E66" s="273" t="inlineStr">
        <is>
          <t>DOWNTIME_DAYS</t>
        </is>
      </c>
      <c r="F66" s="273" t="inlineStr">
        <is>
          <t>days</t>
        </is>
      </c>
      <c r="G66" s="273" t="n">
        <v>2</v>
      </c>
      <c r="H66" s="273" t="n">
        <v>20</v>
      </c>
      <c r="I66" s="325" t="n"/>
      <c r="J66" s="325" t="n"/>
      <c r="K66" s="273" t="n">
        <v>2</v>
      </c>
      <c r="L66" s="273" t="n">
        <v>20</v>
      </c>
      <c r="M66" s="273" t="inlineStr">
        <is>
          <t>D</t>
        </is>
      </c>
      <c r="N66" s="274" t="inlineStr">
        <is>
          <t>SRC-10</t>
        </is>
      </c>
    </row>
    <row r="67">
      <c r="A67" s="272" t="inlineStr">
        <is>
          <t>PARAM</t>
        </is>
      </c>
      <c r="B67" s="273" t="inlineStr">
        <is>
          <t>SC_INT</t>
        </is>
      </c>
      <c r="C67" s="273" t="inlineStr">
        <is>
          <t>Data or transaction-integrity compromise</t>
        </is>
      </c>
      <c r="D67" s="273" t="inlineStr">
        <is>
          <t>EXTORTION_DIRECT</t>
        </is>
      </c>
      <c r="E67" s="273" t="inlineStr">
        <is>
          <t>EXTORTION_DIRECT</t>
        </is>
      </c>
      <c r="F67" s="273" t="inlineStr">
        <is>
          <t>USD</t>
        </is>
      </c>
      <c r="G67" s="273" t="n">
        <v>0</v>
      </c>
      <c r="H67" s="273" t="n">
        <v>0</v>
      </c>
      <c r="I67" s="325" t="n"/>
      <c r="J67" s="325" t="n"/>
      <c r="K67" s="273" t="n">
        <v>0</v>
      </c>
      <c r="L67" s="273" t="n">
        <v>0</v>
      </c>
      <c r="M67" s="273" t="inlineStr">
        <is>
          <t>D</t>
        </is>
      </c>
      <c r="N67" s="274" t="inlineStr">
        <is>
          <t>SRC-10</t>
        </is>
      </c>
    </row>
    <row r="68">
      <c r="A68" s="272" t="inlineStr">
        <is>
          <t>PARAM</t>
        </is>
      </c>
      <c r="B68" s="273" t="inlineStr">
        <is>
          <t>SC_INT</t>
        </is>
      </c>
      <c r="C68" s="273" t="inlineStr">
        <is>
          <t>Data or transaction-integrity compromise</t>
        </is>
      </c>
      <c r="D68" s="273" t="inlineStr">
        <is>
          <t>FRAUD_RECOVERY_RATE</t>
        </is>
      </c>
      <c r="E68" s="273" t="inlineStr">
        <is>
          <t>FRAUD_RECOVERY_RATE</t>
        </is>
      </c>
      <c r="F68" s="273" t="inlineStr">
        <is>
          <t>share</t>
        </is>
      </c>
      <c r="G68" s="273" t="n">
        <v>0.8</v>
      </c>
      <c r="H68" s="273" t="n">
        <v>0.3</v>
      </c>
      <c r="I68" s="325" t="n"/>
      <c r="J68" s="325" t="n"/>
      <c r="K68" s="273" t="n">
        <v>0.8</v>
      </c>
      <c r="L68" s="273" t="n">
        <v>0.3</v>
      </c>
      <c r="M68" s="273" t="inlineStr">
        <is>
          <t>D</t>
        </is>
      </c>
      <c r="N68" s="274" t="inlineStr">
        <is>
          <t>SRC-10</t>
        </is>
      </c>
    </row>
    <row r="69">
      <c r="A69" s="272" t="inlineStr">
        <is>
          <t>PARAM</t>
        </is>
      </c>
      <c r="B69" s="273" t="inlineStr">
        <is>
          <t>SC_INT</t>
        </is>
      </c>
      <c r="C69" s="273" t="inlineStr">
        <is>
          <t>Data or transaction-integrity compromise</t>
        </is>
      </c>
      <c r="D69" s="273" t="inlineStr">
        <is>
          <t>IR_DAYS</t>
        </is>
      </c>
      <c r="E69" s="273" t="inlineStr">
        <is>
          <t>IR_DAYS</t>
        </is>
      </c>
      <c r="F69" s="273" t="inlineStr">
        <is>
          <t>days</t>
        </is>
      </c>
      <c r="G69" s="273" t="n">
        <v>15</v>
      </c>
      <c r="H69" s="273" t="n">
        <v>90</v>
      </c>
      <c r="I69" s="325" t="n"/>
      <c r="J69" s="325" t="n"/>
      <c r="K69" s="273" t="n">
        <v>15</v>
      </c>
      <c r="L69" s="273" t="n">
        <v>90</v>
      </c>
      <c r="M69" s="273" t="inlineStr">
        <is>
          <t>D</t>
        </is>
      </c>
      <c r="N69" s="274" t="inlineStr">
        <is>
          <t>SRC-10</t>
        </is>
      </c>
    </row>
    <row r="70">
      <c r="A70" s="272" t="inlineStr">
        <is>
          <t>PARAM</t>
        </is>
      </c>
      <c r="B70" s="273" t="inlineStr">
        <is>
          <t>SC_INT</t>
        </is>
      </c>
      <c r="C70" s="273" t="inlineStr">
        <is>
          <t>Data or transaction-integrity compromise</t>
        </is>
      </c>
      <c r="D70" s="273" t="inlineStr">
        <is>
          <t>LEGAL_DAYS</t>
        </is>
      </c>
      <c r="E70" s="273" t="inlineStr">
        <is>
          <t>LEGAL_DAYS</t>
        </is>
      </c>
      <c r="F70" s="273" t="inlineStr">
        <is>
          <t>days</t>
        </is>
      </c>
      <c r="G70" s="273" t="n">
        <v>20</v>
      </c>
      <c r="H70" s="273" t="n">
        <v>120</v>
      </c>
      <c r="I70" s="325" t="n"/>
      <c r="J70" s="325" t="n"/>
      <c r="K70" s="273" t="n">
        <v>20</v>
      </c>
      <c r="L70" s="273" t="n">
        <v>120</v>
      </c>
      <c r="M70" s="273" t="inlineStr">
        <is>
          <t>D</t>
        </is>
      </c>
      <c r="N70" s="274" t="inlineStr">
        <is>
          <t>SRC-10</t>
        </is>
      </c>
    </row>
    <row r="71">
      <c r="A71" s="272" t="inlineStr">
        <is>
          <t>PARAM</t>
        </is>
      </c>
      <c r="B71" s="273" t="inlineStr">
        <is>
          <t>SC_INT</t>
        </is>
      </c>
      <c r="C71" s="273" t="inlineStr">
        <is>
          <t>Data or transaction-integrity compromise</t>
        </is>
      </c>
      <c r="D71" s="273" t="inlineStr">
        <is>
          <t>MONITORING_TAKEUP</t>
        </is>
      </c>
      <c r="E71" s="273" t="inlineStr">
        <is>
          <t>MONITORING_TAKEUP</t>
        </is>
      </c>
      <c r="F71" s="273" t="inlineStr">
        <is>
          <t>share</t>
        </is>
      </c>
      <c r="G71" s="273" t="n">
        <v>0.05</v>
      </c>
      <c r="H71" s="273" t="n">
        <v>0.2</v>
      </c>
      <c r="I71" s="325" t="n"/>
      <c r="J71" s="325" t="n"/>
      <c r="K71" s="273" t="n">
        <v>0.05</v>
      </c>
      <c r="L71" s="273" t="n">
        <v>0.2</v>
      </c>
      <c r="M71" s="273" t="inlineStr">
        <is>
          <t>D</t>
        </is>
      </c>
      <c r="N71" s="274" t="inlineStr">
        <is>
          <t>SRC-10</t>
        </is>
      </c>
    </row>
    <row r="72">
      <c r="A72" s="272" t="inlineStr">
        <is>
          <t>PARAM</t>
        </is>
      </c>
      <c r="B72" s="273" t="inlineStr">
        <is>
          <t>SC_INT</t>
        </is>
      </c>
      <c r="C72" s="273" t="inlineStr">
        <is>
          <t>Data or transaction-integrity compromise</t>
        </is>
      </c>
      <c r="D72" s="273" t="inlineStr">
        <is>
          <t>PAYMENT_FLOW_DAYS</t>
        </is>
      </c>
      <c r="E72" s="273" t="inlineStr">
        <is>
          <t>PAYMENT_FLOW_DAYS</t>
        </is>
      </c>
      <c r="F72" s="273" t="inlineStr">
        <is>
          <t>days</t>
        </is>
      </c>
      <c r="G72" s="273" t="n">
        <v>2</v>
      </c>
      <c r="H72" s="273" t="n">
        <v>10</v>
      </c>
      <c r="I72" s="325" t="n"/>
      <c r="J72" s="325" t="n"/>
      <c r="K72" s="273" t="n">
        <v>2</v>
      </c>
      <c r="L72" s="273" t="n">
        <v>10</v>
      </c>
      <c r="M72" s="273" t="inlineStr">
        <is>
          <t>D</t>
        </is>
      </c>
      <c r="N72" s="274" t="inlineStr">
        <is>
          <t>SRC-10</t>
        </is>
      </c>
    </row>
    <row r="73">
      <c r="A73" s="272" t="inlineStr">
        <is>
          <t>PARAM</t>
        </is>
      </c>
      <c r="B73" s="273" t="inlineStr">
        <is>
          <t>SC_INT</t>
        </is>
      </c>
      <c r="C73" s="273" t="inlineStr">
        <is>
          <t>Data or transaction-integrity compromise</t>
        </is>
      </c>
      <c r="D73" s="273" t="inlineStr">
        <is>
          <t>POST_EVENT_REVENUE_SHARE</t>
        </is>
      </c>
      <c r="E73" s="273" t="inlineStr">
        <is>
          <t>POST_EVENT_REVENUE_SHARE</t>
        </is>
      </c>
      <c r="F73" s="273" t="inlineStr">
        <is>
          <t>share</t>
        </is>
      </c>
      <c r="G73" s="273" t="n">
        <v>0.001</v>
      </c>
      <c r="H73" s="273" t="n">
        <v>0.008</v>
      </c>
      <c r="I73" s="325" t="n"/>
      <c r="J73" s="325" t="n"/>
      <c r="K73" s="273" t="n">
        <v>0.001</v>
      </c>
      <c r="L73" s="273" t="n">
        <v>0.008</v>
      </c>
      <c r="M73" s="273" t="inlineStr">
        <is>
          <t>D</t>
        </is>
      </c>
      <c r="N73" s="274" t="inlineStr">
        <is>
          <t>SRC-10</t>
        </is>
      </c>
    </row>
    <row r="74">
      <c r="A74" s="272" t="inlineStr">
        <is>
          <t>PARAM</t>
        </is>
      </c>
      <c r="B74" s="273" t="inlineStr">
        <is>
          <t>SC_INT</t>
        </is>
      </c>
      <c r="C74" s="273" t="inlineStr">
        <is>
          <t>Data or transaction-integrity compromise</t>
        </is>
      </c>
      <c r="D74" s="273" t="inlineStr">
        <is>
          <t>REGULATORY_REVENUE_SHARE</t>
        </is>
      </c>
      <c r="E74" s="273" t="inlineStr">
        <is>
          <t>REGULATORY_REVENUE_SHARE</t>
        </is>
      </c>
      <c r="F74" s="273" t="inlineStr">
        <is>
          <t>share</t>
        </is>
      </c>
      <c r="G74" s="273" t="n">
        <v>0.0005</v>
      </c>
      <c r="H74" s="273" t="n">
        <v>0.006</v>
      </c>
      <c r="I74" s="325" t="n"/>
      <c r="J74" s="325" t="n"/>
      <c r="K74" s="273" t="n">
        <v>0.0005</v>
      </c>
      <c r="L74" s="273" t="n">
        <v>0.006</v>
      </c>
      <c r="M74" s="273" t="inlineStr">
        <is>
          <t>D</t>
        </is>
      </c>
      <c r="N74" s="274" t="inlineStr">
        <is>
          <t>SRC-10</t>
        </is>
      </c>
    </row>
    <row r="75">
      <c r="A75" s="272" t="inlineStr">
        <is>
          <t>PARAM</t>
        </is>
      </c>
      <c r="B75" s="273" t="inlineStr">
        <is>
          <t>SC_INT</t>
        </is>
      </c>
      <c r="C75" s="273" t="inlineStr">
        <is>
          <t>Data or transaction-integrity compromise</t>
        </is>
      </c>
      <c r="D75" s="273" t="inlineStr">
        <is>
          <t>RESTORE_DAYS</t>
        </is>
      </c>
      <c r="E75" s="273" t="inlineStr">
        <is>
          <t>RESTORE_DAYS</t>
        </is>
      </c>
      <c r="F75" s="273" t="inlineStr">
        <is>
          <t>days</t>
        </is>
      </c>
      <c r="G75" s="273" t="n">
        <v>20</v>
      </c>
      <c r="H75" s="273" t="n">
        <v>150</v>
      </c>
      <c r="I75" s="325" t="n"/>
      <c r="J75" s="325" t="n"/>
      <c r="K75" s="273" t="n">
        <v>20</v>
      </c>
      <c r="L75" s="273" t="n">
        <v>150</v>
      </c>
      <c r="M75" s="273" t="inlineStr">
        <is>
          <t>D</t>
        </is>
      </c>
      <c r="N75" s="274" t="inlineStr">
        <is>
          <t>SRC-10</t>
        </is>
      </c>
    </row>
    <row r="76">
      <c r="A76" s="272" t="inlineStr">
        <is>
          <t>PARAM</t>
        </is>
      </c>
      <c r="B76" s="273" t="inlineStr">
        <is>
          <t>SC_FRAUD</t>
        </is>
      </c>
      <c r="C76" s="273" t="inlineStr">
        <is>
          <t>Cyber-enabled theft or fraud</t>
        </is>
      </c>
      <c r="D76" s="273" t="inlineStr">
        <is>
          <t>AFFECTED_ENDPOINT_SHARE</t>
        </is>
      </c>
      <c r="E76" s="273" t="inlineStr">
        <is>
          <t>AFFECTED_ENDPOINT_SHARE</t>
        </is>
      </c>
      <c r="F76" s="273" t="inlineStr">
        <is>
          <t>share</t>
        </is>
      </c>
      <c r="G76" s="273" t="n">
        <v>0.02</v>
      </c>
      <c r="H76" s="273" t="n">
        <v>0.15</v>
      </c>
      <c r="I76" s="325" t="n"/>
      <c r="J76" s="325" t="n"/>
      <c r="K76" s="273" t="n">
        <v>0.02</v>
      </c>
      <c r="L76" s="273" t="n">
        <v>0.15</v>
      </c>
      <c r="M76" s="273" t="inlineStr">
        <is>
          <t>D</t>
        </is>
      </c>
      <c r="N76" s="274" t="inlineStr">
        <is>
          <t>SRC-10</t>
        </is>
      </c>
    </row>
    <row r="77">
      <c r="A77" s="272" t="inlineStr">
        <is>
          <t>PARAM</t>
        </is>
      </c>
      <c r="B77" s="273" t="inlineStr">
        <is>
          <t>SC_FRAUD</t>
        </is>
      </c>
      <c r="C77" s="273" t="inlineStr">
        <is>
          <t>Cyber-enabled theft or fraud</t>
        </is>
      </c>
      <c r="D77" s="273" t="inlineStr">
        <is>
          <t>AFFECTED_RECORD_SHARE</t>
        </is>
      </c>
      <c r="E77" s="273" t="inlineStr">
        <is>
          <t>AFFECTED_RECORD_SHARE</t>
        </is>
      </c>
      <c r="F77" s="273" t="inlineStr">
        <is>
          <t>share</t>
        </is>
      </c>
      <c r="G77" s="273" t="n">
        <v>0</v>
      </c>
      <c r="H77" s="273" t="n">
        <v>0.05</v>
      </c>
      <c r="I77" s="325" t="n"/>
      <c r="J77" s="325" t="n"/>
      <c r="K77" s="273" t="n">
        <v>0</v>
      </c>
      <c r="L77" s="273" t="n">
        <v>0.05</v>
      </c>
      <c r="M77" s="273" t="inlineStr">
        <is>
          <t>D</t>
        </is>
      </c>
      <c r="N77" s="274" t="inlineStr">
        <is>
          <t>SRC-10</t>
        </is>
      </c>
    </row>
    <row r="78">
      <c r="A78" s="272" t="inlineStr">
        <is>
          <t>PARAM</t>
        </is>
      </c>
      <c r="B78" s="273" t="inlineStr">
        <is>
          <t>SC_FRAUD</t>
        </is>
      </c>
      <c r="C78" s="273" t="inlineStr">
        <is>
          <t>Cyber-enabled theft or fraud</t>
        </is>
      </c>
      <c r="D78" s="273" t="inlineStr">
        <is>
          <t>AFFECTED_SERVER_SHARE</t>
        </is>
      </c>
      <c r="E78" s="273" t="inlineStr">
        <is>
          <t>AFFECTED_SERVER_SHARE</t>
        </is>
      </c>
      <c r="F78" s="273" t="inlineStr">
        <is>
          <t>share</t>
        </is>
      </c>
      <c r="G78" s="273" t="n">
        <v>0.02</v>
      </c>
      <c r="H78" s="273" t="n">
        <v>0.1</v>
      </c>
      <c r="I78" s="325" t="n"/>
      <c r="J78" s="325" t="n"/>
      <c r="K78" s="273" t="n">
        <v>0.02</v>
      </c>
      <c r="L78" s="273" t="n">
        <v>0.1</v>
      </c>
      <c r="M78" s="273" t="inlineStr">
        <is>
          <t>D</t>
        </is>
      </c>
      <c r="N78" s="274" t="inlineStr">
        <is>
          <t>SRC-10</t>
        </is>
      </c>
    </row>
    <row r="79">
      <c r="A79" s="272" t="inlineStr">
        <is>
          <t>PARAM</t>
        </is>
      </c>
      <c r="B79" s="273" t="inlineStr">
        <is>
          <t>SC_FRAUD</t>
        </is>
      </c>
      <c r="C79" s="273" t="inlineStr">
        <is>
          <t>Cyber-enabled theft or fraud</t>
        </is>
      </c>
      <c r="D79" s="273" t="inlineStr">
        <is>
          <t>AFFECTED_SERVICE_SHARE</t>
        </is>
      </c>
      <c r="E79" s="273" t="inlineStr">
        <is>
          <t>AFFECTED_SERVICE_SHARE</t>
        </is>
      </c>
      <c r="F79" s="273" t="inlineStr">
        <is>
          <t>share</t>
        </is>
      </c>
      <c r="G79" s="273" t="n">
        <v>0</v>
      </c>
      <c r="H79" s="273" t="n">
        <v>0.2</v>
      </c>
      <c r="I79" s="325" t="n"/>
      <c r="J79" s="325" t="n"/>
      <c r="K79" s="273" t="n">
        <v>0</v>
      </c>
      <c r="L79" s="273" t="n">
        <v>0.2</v>
      </c>
      <c r="M79" s="273" t="inlineStr">
        <is>
          <t>D</t>
        </is>
      </c>
      <c r="N79" s="274" t="inlineStr">
        <is>
          <t>SRC-10</t>
        </is>
      </c>
    </row>
    <row r="80">
      <c r="A80" s="272" t="inlineStr">
        <is>
          <t>PARAM</t>
        </is>
      </c>
      <c r="B80" s="273" t="inlineStr">
        <is>
          <t>SC_FRAUD</t>
        </is>
      </c>
      <c r="C80" s="273" t="inlineStr">
        <is>
          <t>Cyber-enabled theft or fraud</t>
        </is>
      </c>
      <c r="D80" s="273" t="inlineStr">
        <is>
          <t>CHURN_REVENUE_SHARE</t>
        </is>
      </c>
      <c r="E80" s="273" t="inlineStr">
        <is>
          <t>CHURN_REVENUE_SHARE</t>
        </is>
      </c>
      <c r="F80" s="273" t="inlineStr">
        <is>
          <t>share</t>
        </is>
      </c>
      <c r="G80" s="273" t="n">
        <v>0.001</v>
      </c>
      <c r="H80" s="273" t="n">
        <v>0.02</v>
      </c>
      <c r="I80" s="325" t="n"/>
      <c r="J80" s="325" t="n"/>
      <c r="K80" s="273" t="n">
        <v>0.001</v>
      </c>
      <c r="L80" s="273" t="n">
        <v>0.02</v>
      </c>
      <c r="M80" s="273" t="inlineStr">
        <is>
          <t>D</t>
        </is>
      </c>
      <c r="N80" s="274" t="inlineStr">
        <is>
          <t>SRC-10</t>
        </is>
      </c>
    </row>
    <row r="81">
      <c r="A81" s="272" t="inlineStr">
        <is>
          <t>PARAM</t>
        </is>
      </c>
      <c r="B81" s="273" t="inlineStr">
        <is>
          <t>SC_FRAUD</t>
        </is>
      </c>
      <c r="C81" s="273" t="inlineStr">
        <is>
          <t>Cyber-enabled theft or fraud</t>
        </is>
      </c>
      <c r="D81" s="273" t="inlineStr">
        <is>
          <t>CYBER_DAYS</t>
        </is>
      </c>
      <c r="E81" s="273" t="inlineStr">
        <is>
          <t>CYBER_DAYS</t>
        </is>
      </c>
      <c r="F81" s="273" t="inlineStr">
        <is>
          <t>days</t>
        </is>
      </c>
      <c r="G81" s="273" t="n">
        <v>10</v>
      </c>
      <c r="H81" s="273" t="n">
        <v>90</v>
      </c>
      <c r="I81" s="325" t="n"/>
      <c r="J81" s="325" t="n"/>
      <c r="K81" s="273" t="n">
        <v>10</v>
      </c>
      <c r="L81" s="273" t="n">
        <v>90</v>
      </c>
      <c r="M81" s="273" t="inlineStr">
        <is>
          <t>D</t>
        </is>
      </c>
      <c r="N81" s="274" t="inlineStr">
        <is>
          <t>SRC-10</t>
        </is>
      </c>
    </row>
    <row r="82">
      <c r="A82" s="272" t="inlineStr">
        <is>
          <t>PARAM</t>
        </is>
      </c>
      <c r="B82" s="273" t="inlineStr">
        <is>
          <t>SC_FRAUD</t>
        </is>
      </c>
      <c r="C82" s="273" t="inlineStr">
        <is>
          <t>Cyber-enabled theft or fraud</t>
        </is>
      </c>
      <c r="D82" s="273" t="inlineStr">
        <is>
          <t>DIVERTED_SHARE</t>
        </is>
      </c>
      <c r="E82" s="273" t="inlineStr">
        <is>
          <t>DIVERTED_SHARE</t>
        </is>
      </c>
      <c r="F82" s="273" t="inlineStr">
        <is>
          <t>share</t>
        </is>
      </c>
      <c r="G82" s="273" t="n">
        <v>0.01</v>
      </c>
      <c r="H82" s="273" t="n">
        <v>0.1</v>
      </c>
      <c r="I82" s="325" t="n"/>
      <c r="J82" s="325" t="n"/>
      <c r="K82" s="273" t="n">
        <v>0.01</v>
      </c>
      <c r="L82" s="273" t="n">
        <v>0.1</v>
      </c>
      <c r="M82" s="273" t="inlineStr">
        <is>
          <t>D</t>
        </is>
      </c>
      <c r="N82" s="274" t="inlineStr">
        <is>
          <t>SRC-10</t>
        </is>
      </c>
    </row>
    <row r="83">
      <c r="A83" s="272" t="inlineStr">
        <is>
          <t>PARAM</t>
        </is>
      </c>
      <c r="B83" s="273" t="inlineStr">
        <is>
          <t>SC_FRAUD</t>
        </is>
      </c>
      <c r="C83" s="273" t="inlineStr">
        <is>
          <t>Cyber-enabled theft or fraud</t>
        </is>
      </c>
      <c r="D83" s="273" t="inlineStr">
        <is>
          <t>DOWNTIME_DAYS</t>
        </is>
      </c>
      <c r="E83" s="273" t="inlineStr">
        <is>
          <t>DOWNTIME_DAYS</t>
        </is>
      </c>
      <c r="F83" s="273" t="inlineStr">
        <is>
          <t>days</t>
        </is>
      </c>
      <c r="G83" s="273" t="n">
        <v>0</v>
      </c>
      <c r="H83" s="273" t="n">
        <v>5</v>
      </c>
      <c r="I83" s="325" t="n"/>
      <c r="J83" s="325" t="n"/>
      <c r="K83" s="273" t="n">
        <v>0</v>
      </c>
      <c r="L83" s="273" t="n">
        <v>5</v>
      </c>
      <c r="M83" s="273" t="inlineStr">
        <is>
          <t>D</t>
        </is>
      </c>
      <c r="N83" s="274" t="inlineStr">
        <is>
          <t>SRC-10</t>
        </is>
      </c>
    </row>
    <row r="84">
      <c r="A84" s="272" t="inlineStr">
        <is>
          <t>PARAM</t>
        </is>
      </c>
      <c r="B84" s="273" t="inlineStr">
        <is>
          <t>SC_FRAUD</t>
        </is>
      </c>
      <c r="C84" s="273" t="inlineStr">
        <is>
          <t>Cyber-enabled theft or fraud</t>
        </is>
      </c>
      <c r="D84" s="273" t="inlineStr">
        <is>
          <t>EXTORTION_DIRECT</t>
        </is>
      </c>
      <c r="E84" s="273" t="inlineStr">
        <is>
          <t>EXTORTION_DIRECT</t>
        </is>
      </c>
      <c r="F84" s="273" t="inlineStr">
        <is>
          <t>USD</t>
        </is>
      </c>
      <c r="G84" s="273" t="n">
        <v>0</v>
      </c>
      <c r="H84" s="273" t="n">
        <v>0</v>
      </c>
      <c r="I84" s="325" t="n"/>
      <c r="J84" s="325" t="n"/>
      <c r="K84" s="273" t="n">
        <v>0</v>
      </c>
      <c r="L84" s="273" t="n">
        <v>0</v>
      </c>
      <c r="M84" s="273" t="inlineStr">
        <is>
          <t>D</t>
        </is>
      </c>
      <c r="N84" s="274" t="inlineStr">
        <is>
          <t>SRC-10</t>
        </is>
      </c>
    </row>
    <row r="85">
      <c r="A85" s="272" t="inlineStr">
        <is>
          <t>PARAM</t>
        </is>
      </c>
      <c r="B85" s="273" t="inlineStr">
        <is>
          <t>SC_FRAUD</t>
        </is>
      </c>
      <c r="C85" s="273" t="inlineStr">
        <is>
          <t>Cyber-enabled theft or fraud</t>
        </is>
      </c>
      <c r="D85" s="273" t="inlineStr">
        <is>
          <t>FRAUD_RECOVERY_RATE</t>
        </is>
      </c>
      <c r="E85" s="273" t="inlineStr">
        <is>
          <t>FRAUD_RECOVERY_RATE</t>
        </is>
      </c>
      <c r="F85" s="273" t="inlineStr">
        <is>
          <t>share</t>
        </is>
      </c>
      <c r="G85" s="273" t="n">
        <v>0.8</v>
      </c>
      <c r="H85" s="273" t="n">
        <v>0.2</v>
      </c>
      <c r="I85" s="325" t="n"/>
      <c r="J85" s="325" t="n"/>
      <c r="K85" s="273" t="n">
        <v>0.8</v>
      </c>
      <c r="L85" s="273" t="n">
        <v>0.2</v>
      </c>
      <c r="M85" s="273" t="inlineStr">
        <is>
          <t>D</t>
        </is>
      </c>
      <c r="N85" s="274" t="inlineStr">
        <is>
          <t>SRC-10</t>
        </is>
      </c>
    </row>
    <row r="86">
      <c r="A86" s="272" t="inlineStr">
        <is>
          <t>PARAM</t>
        </is>
      </c>
      <c r="B86" s="273" t="inlineStr">
        <is>
          <t>SC_FRAUD</t>
        </is>
      </c>
      <c r="C86" s="273" t="inlineStr">
        <is>
          <t>Cyber-enabled theft or fraud</t>
        </is>
      </c>
      <c r="D86" s="273" t="inlineStr">
        <is>
          <t>IR_DAYS</t>
        </is>
      </c>
      <c r="E86" s="273" t="inlineStr">
        <is>
          <t>IR_DAYS</t>
        </is>
      </c>
      <c r="F86" s="273" t="inlineStr">
        <is>
          <t>days</t>
        </is>
      </c>
      <c r="G86" s="273" t="n">
        <v>10</v>
      </c>
      <c r="H86" s="273" t="n">
        <v>60</v>
      </c>
      <c r="I86" s="325" t="n"/>
      <c r="J86" s="325" t="n"/>
      <c r="K86" s="273" t="n">
        <v>10</v>
      </c>
      <c r="L86" s="273" t="n">
        <v>60</v>
      </c>
      <c r="M86" s="273" t="inlineStr">
        <is>
          <t>D</t>
        </is>
      </c>
      <c r="N86" s="274" t="inlineStr">
        <is>
          <t>SRC-10</t>
        </is>
      </c>
    </row>
    <row r="87">
      <c r="A87" s="272" t="inlineStr">
        <is>
          <t>PARAM</t>
        </is>
      </c>
      <c r="B87" s="273" t="inlineStr">
        <is>
          <t>SC_FRAUD</t>
        </is>
      </c>
      <c r="C87" s="273" t="inlineStr">
        <is>
          <t>Cyber-enabled theft or fraud</t>
        </is>
      </c>
      <c r="D87" s="273" t="inlineStr">
        <is>
          <t>LEGAL_DAYS</t>
        </is>
      </c>
      <c r="E87" s="273" t="inlineStr">
        <is>
          <t>LEGAL_DAYS</t>
        </is>
      </c>
      <c r="F87" s="273" t="inlineStr">
        <is>
          <t>days</t>
        </is>
      </c>
      <c r="G87" s="273" t="n">
        <v>15</v>
      </c>
      <c r="H87" s="273" t="n">
        <v>90</v>
      </c>
      <c r="I87" s="325" t="n"/>
      <c r="J87" s="325" t="n"/>
      <c r="K87" s="273" t="n">
        <v>15</v>
      </c>
      <c r="L87" s="273" t="n">
        <v>90</v>
      </c>
      <c r="M87" s="273" t="inlineStr">
        <is>
          <t>D</t>
        </is>
      </c>
      <c r="N87" s="274" t="inlineStr">
        <is>
          <t>SRC-10</t>
        </is>
      </c>
    </row>
    <row r="88">
      <c r="A88" s="272" t="inlineStr">
        <is>
          <t>PARAM</t>
        </is>
      </c>
      <c r="B88" s="273" t="inlineStr">
        <is>
          <t>SC_FRAUD</t>
        </is>
      </c>
      <c r="C88" s="273" t="inlineStr">
        <is>
          <t>Cyber-enabled theft or fraud</t>
        </is>
      </c>
      <c r="D88" s="273" t="inlineStr">
        <is>
          <t>MONITORING_TAKEUP</t>
        </is>
      </c>
      <c r="E88" s="273" t="inlineStr">
        <is>
          <t>MONITORING_TAKEUP</t>
        </is>
      </c>
      <c r="F88" s="273" t="inlineStr">
        <is>
          <t>share</t>
        </is>
      </c>
      <c r="G88" s="273" t="n">
        <v>0.05</v>
      </c>
      <c r="H88" s="273" t="n">
        <v>0.2</v>
      </c>
      <c r="I88" s="325" t="n"/>
      <c r="J88" s="325" t="n"/>
      <c r="K88" s="273" t="n">
        <v>0.05</v>
      </c>
      <c r="L88" s="273" t="n">
        <v>0.2</v>
      </c>
      <c r="M88" s="273" t="inlineStr">
        <is>
          <t>D</t>
        </is>
      </c>
      <c r="N88" s="274" t="inlineStr">
        <is>
          <t>SRC-10</t>
        </is>
      </c>
    </row>
    <row r="89">
      <c r="A89" s="272" t="inlineStr">
        <is>
          <t>PARAM</t>
        </is>
      </c>
      <c r="B89" s="273" t="inlineStr">
        <is>
          <t>SC_FRAUD</t>
        </is>
      </c>
      <c r="C89" s="273" t="inlineStr">
        <is>
          <t>Cyber-enabled theft or fraud</t>
        </is>
      </c>
      <c r="D89" s="273" t="inlineStr">
        <is>
          <t>PAYMENT_FLOW_DAYS</t>
        </is>
      </c>
      <c r="E89" s="273" t="inlineStr">
        <is>
          <t>PAYMENT_FLOW_DAYS</t>
        </is>
      </c>
      <c r="F89" s="273" t="inlineStr">
        <is>
          <t>days</t>
        </is>
      </c>
      <c r="G89" s="273" t="n">
        <v>2</v>
      </c>
      <c r="H89" s="273" t="n">
        <v>15</v>
      </c>
      <c r="I89" s="325" t="n"/>
      <c r="J89" s="325" t="n"/>
      <c r="K89" s="273" t="n">
        <v>2</v>
      </c>
      <c r="L89" s="273" t="n">
        <v>15</v>
      </c>
      <c r="M89" s="273" t="inlineStr">
        <is>
          <t>D</t>
        </is>
      </c>
      <c r="N89" s="274" t="inlineStr">
        <is>
          <t>SRC-10</t>
        </is>
      </c>
    </row>
    <row r="90">
      <c r="A90" s="272" t="inlineStr">
        <is>
          <t>PARAM</t>
        </is>
      </c>
      <c r="B90" s="273" t="inlineStr">
        <is>
          <t>SC_FRAUD</t>
        </is>
      </c>
      <c r="C90" s="273" t="inlineStr">
        <is>
          <t>Cyber-enabled theft or fraud</t>
        </is>
      </c>
      <c r="D90" s="273" t="inlineStr">
        <is>
          <t>POST_EVENT_REVENUE_SHARE</t>
        </is>
      </c>
      <c r="E90" s="273" t="inlineStr">
        <is>
          <t>POST_EVENT_REVENUE_SHARE</t>
        </is>
      </c>
      <c r="F90" s="273" t="inlineStr">
        <is>
          <t>share</t>
        </is>
      </c>
      <c r="G90" s="273" t="n">
        <v>0.0005</v>
      </c>
      <c r="H90" s="273" t="n">
        <v>0.005</v>
      </c>
      <c r="I90" s="325" t="n"/>
      <c r="J90" s="325" t="n"/>
      <c r="K90" s="273" t="n">
        <v>0.0005</v>
      </c>
      <c r="L90" s="273" t="n">
        <v>0.005</v>
      </c>
      <c r="M90" s="273" t="inlineStr">
        <is>
          <t>D</t>
        </is>
      </c>
      <c r="N90" s="274" t="inlineStr">
        <is>
          <t>SRC-10</t>
        </is>
      </c>
    </row>
    <row r="91">
      <c r="A91" s="272" t="inlineStr">
        <is>
          <t>PARAM</t>
        </is>
      </c>
      <c r="B91" s="273" t="inlineStr">
        <is>
          <t>SC_FRAUD</t>
        </is>
      </c>
      <c r="C91" s="273" t="inlineStr">
        <is>
          <t>Cyber-enabled theft or fraud</t>
        </is>
      </c>
      <c r="D91" s="273" t="inlineStr">
        <is>
          <t>REGULATORY_REVENUE_SHARE</t>
        </is>
      </c>
      <c r="E91" s="273" t="inlineStr">
        <is>
          <t>REGULATORY_REVENUE_SHARE</t>
        </is>
      </c>
      <c r="F91" s="273" t="inlineStr">
        <is>
          <t>share</t>
        </is>
      </c>
      <c r="G91" s="273" t="n">
        <v>0.0002</v>
      </c>
      <c r="H91" s="273" t="n">
        <v>0.003</v>
      </c>
      <c r="I91" s="325" t="n"/>
      <c r="J91" s="325" t="n"/>
      <c r="K91" s="273" t="n">
        <v>0.0002</v>
      </c>
      <c r="L91" s="273" t="n">
        <v>0.003</v>
      </c>
      <c r="M91" s="273" t="inlineStr">
        <is>
          <t>D</t>
        </is>
      </c>
      <c r="N91" s="274" t="inlineStr">
        <is>
          <t>SRC-10</t>
        </is>
      </c>
    </row>
    <row r="92">
      <c r="A92" s="272" t="inlineStr">
        <is>
          <t>PARAM</t>
        </is>
      </c>
      <c r="B92" s="273" t="inlineStr">
        <is>
          <t>SC_FRAUD</t>
        </is>
      </c>
      <c r="C92" s="273" t="inlineStr">
        <is>
          <t>Cyber-enabled theft or fraud</t>
        </is>
      </c>
      <c r="D92" s="273" t="inlineStr">
        <is>
          <t>RESTORE_DAYS</t>
        </is>
      </c>
      <c r="E92" s="273" t="inlineStr">
        <is>
          <t>RESTORE_DAYS</t>
        </is>
      </c>
      <c r="F92" s="273" t="inlineStr">
        <is>
          <t>days</t>
        </is>
      </c>
      <c r="G92" s="273" t="n">
        <v>5</v>
      </c>
      <c r="H92" s="273" t="n">
        <v>60</v>
      </c>
      <c r="I92" s="325" t="n"/>
      <c r="J92" s="325" t="n"/>
      <c r="K92" s="273" t="n">
        <v>5</v>
      </c>
      <c r="L92" s="273" t="n">
        <v>60</v>
      </c>
      <c r="M92" s="273" t="inlineStr">
        <is>
          <t>D</t>
        </is>
      </c>
      <c r="N92" s="274" t="inlineStr">
        <is>
          <t>SRC-10</t>
        </is>
      </c>
    </row>
    <row r="93">
      <c r="A93" s="275" t="n"/>
      <c r="B93" s="276" t="n"/>
      <c r="C93" s="276" t="n"/>
      <c r="D93" s="276" t="n"/>
      <c r="E93" s="276" t="n"/>
      <c r="F93" s="276" t="n"/>
      <c r="G93" s="276" t="n"/>
      <c r="H93" s="276" t="n"/>
      <c r="I93" s="326" t="n"/>
      <c r="J93" s="326" t="n"/>
      <c r="K93" s="276" t="n"/>
      <c r="L93" s="276" t="n"/>
      <c r="M93" s="276" t="n"/>
      <c r="N93" s="277" t="n"/>
    </row>
    <row r="94">
      <c r="A94" s="275" t="n"/>
      <c r="B94" s="276" t="n"/>
      <c r="C94" s="276" t="n"/>
      <c r="D94" s="276" t="n"/>
      <c r="E94" s="276" t="n"/>
      <c r="F94" s="276" t="n"/>
      <c r="G94" s="276" t="n"/>
      <c r="H94" s="276" t="n"/>
      <c r="I94" s="326" t="n"/>
      <c r="J94" s="326" t="n"/>
      <c r="K94" s="276" t="n"/>
      <c r="L94" s="276" t="n"/>
      <c r="M94" s="276" t="n"/>
      <c r="N94" s="277" t="n"/>
    </row>
    <row r="95">
      <c r="A95" s="275" t="n"/>
      <c r="B95" s="276" t="n"/>
      <c r="C95" s="276" t="n"/>
      <c r="D95" s="276" t="n"/>
      <c r="E95" s="276" t="n"/>
      <c r="F95" s="276" t="n"/>
      <c r="G95" s="276" t="n"/>
      <c r="H95" s="276" t="n"/>
      <c r="I95" s="326" t="n"/>
      <c r="J95" s="326" t="n"/>
      <c r="K95" s="276" t="n"/>
      <c r="L95" s="276" t="n"/>
      <c r="M95" s="276" t="n"/>
      <c r="N95" s="277" t="n"/>
    </row>
    <row r="96">
      <c r="A96" s="275" t="n"/>
      <c r="B96" s="276" t="n"/>
      <c r="C96" s="276" t="n"/>
      <c r="D96" s="276" t="n"/>
      <c r="E96" s="276" t="n"/>
      <c r="F96" s="276" t="n"/>
      <c r="G96" s="276" t="n"/>
      <c r="H96" s="276" t="n"/>
      <c r="I96" s="326" t="n"/>
      <c r="J96" s="326" t="n"/>
      <c r="K96" s="276" t="n"/>
      <c r="L96" s="276" t="n"/>
      <c r="M96" s="276" t="n"/>
      <c r="N96" s="277" t="n"/>
    </row>
    <row r="97">
      <c r="A97" s="275" t="n"/>
      <c r="B97" s="276" t="n"/>
      <c r="C97" s="276" t="n"/>
      <c r="D97" s="276" t="n"/>
      <c r="E97" s="276" t="n"/>
      <c r="F97" s="276" t="n"/>
      <c r="G97" s="276" t="n"/>
      <c r="H97" s="276" t="n"/>
      <c r="I97" s="326" t="n"/>
      <c r="J97" s="326" t="n"/>
      <c r="K97" s="276" t="n"/>
      <c r="L97" s="276" t="n"/>
      <c r="M97" s="276" t="n"/>
      <c r="N97" s="277" t="n"/>
    </row>
    <row r="98">
      <c r="A98" s="275" t="n"/>
      <c r="B98" s="276" t="n"/>
      <c r="C98" s="276" t="n"/>
      <c r="D98" s="276" t="n"/>
      <c r="E98" s="276" t="n"/>
      <c r="F98" s="276" t="n"/>
      <c r="G98" s="276" t="n"/>
      <c r="H98" s="276" t="n"/>
      <c r="I98" s="326" t="n"/>
      <c r="J98" s="326" t="n"/>
      <c r="K98" s="276" t="n"/>
      <c r="L98" s="276" t="n"/>
      <c r="M98" s="276" t="n"/>
      <c r="N98" s="277" t="n"/>
    </row>
    <row r="99">
      <c r="A99" s="275" t="n"/>
      <c r="B99" s="276" t="n"/>
      <c r="C99" s="276" t="n"/>
      <c r="D99" s="276" t="n"/>
      <c r="E99" s="276" t="n"/>
      <c r="F99" s="276" t="n"/>
      <c r="G99" s="276" t="n"/>
      <c r="H99" s="276" t="n"/>
      <c r="I99" s="326" t="n"/>
      <c r="J99" s="326" t="n"/>
      <c r="K99" s="276" t="n"/>
      <c r="L99" s="276" t="n"/>
      <c r="M99" s="276" t="n"/>
      <c r="N99" s="277" t="n"/>
    </row>
    <row r="100">
      <c r="A100" s="275" t="n"/>
      <c r="B100" s="276" t="n"/>
      <c r="C100" s="276" t="n"/>
      <c r="D100" s="276" t="n"/>
      <c r="E100" s="276" t="n"/>
      <c r="F100" s="276" t="n"/>
      <c r="G100" s="276" t="n"/>
      <c r="H100" s="276" t="n"/>
      <c r="I100" s="326" t="n"/>
      <c r="J100" s="326" t="n"/>
      <c r="K100" s="276" t="n"/>
      <c r="L100" s="276" t="n"/>
      <c r="M100" s="276" t="n"/>
      <c r="N100" s="277" t="n"/>
    </row>
    <row r="101">
      <c r="A101" s="275" t="n"/>
      <c r="B101" s="276" t="n"/>
      <c r="C101" s="276" t="n"/>
      <c r="D101" s="276" t="n"/>
      <c r="E101" s="276" t="n"/>
      <c r="F101" s="276" t="n"/>
      <c r="G101" s="276" t="n"/>
      <c r="H101" s="276" t="n"/>
      <c r="I101" s="326" t="n"/>
      <c r="J101" s="326" t="n"/>
      <c r="K101" s="276" t="n"/>
      <c r="L101" s="276" t="n"/>
      <c r="M101" s="276" t="n"/>
      <c r="N101" s="277" t="n"/>
    </row>
    <row r="102">
      <c r="A102" s="275" t="n"/>
      <c r="B102" s="276" t="n"/>
      <c r="C102" s="276" t="n"/>
      <c r="D102" s="276" t="n"/>
      <c r="E102" s="276" t="n"/>
      <c r="F102" s="276" t="n"/>
      <c r="G102" s="276" t="n"/>
      <c r="H102" s="276" t="n"/>
      <c r="I102" s="326" t="n"/>
      <c r="J102" s="326" t="n"/>
      <c r="K102" s="276" t="n"/>
      <c r="L102" s="276" t="n"/>
      <c r="M102" s="276" t="n"/>
      <c r="N102" s="277" t="n"/>
    </row>
    <row r="103">
      <c r="A103" s="275" t="n"/>
      <c r="B103" s="276" t="n"/>
      <c r="C103" s="276" t="n"/>
      <c r="D103" s="276" t="n"/>
      <c r="E103" s="276" t="n"/>
      <c r="F103" s="276" t="n"/>
      <c r="G103" s="276" t="n"/>
      <c r="H103" s="276" t="n"/>
      <c r="I103" s="326" t="n"/>
      <c r="J103" s="326" t="n"/>
      <c r="K103" s="276" t="n"/>
      <c r="L103" s="276" t="n"/>
      <c r="M103" s="276" t="n"/>
      <c r="N103" s="277" t="n"/>
    </row>
    <row r="104">
      <c r="A104" s="275" t="n"/>
      <c r="B104" s="276" t="n"/>
      <c r="C104" s="276" t="n"/>
      <c r="D104" s="276" t="n"/>
      <c r="E104" s="276" t="n"/>
      <c r="F104" s="276" t="n"/>
      <c r="G104" s="276" t="n"/>
      <c r="H104" s="276" t="n"/>
      <c r="I104" s="326" t="n"/>
      <c r="J104" s="326" t="n"/>
      <c r="K104" s="276" t="n"/>
      <c r="L104" s="276" t="n"/>
      <c r="M104" s="276" t="n"/>
      <c r="N104" s="277" t="n"/>
    </row>
    <row r="105">
      <c r="A105" s="275" t="n"/>
      <c r="B105" s="276" t="n"/>
      <c r="C105" s="276" t="n"/>
      <c r="D105" s="276" t="n"/>
      <c r="E105" s="276" t="n"/>
      <c r="F105" s="276" t="n"/>
      <c r="G105" s="276" t="n"/>
      <c r="H105" s="276" t="n"/>
      <c r="I105" s="326" t="n"/>
      <c r="J105" s="326" t="n"/>
      <c r="K105" s="276" t="n"/>
      <c r="L105" s="276" t="n"/>
      <c r="M105" s="276" t="n"/>
      <c r="N105" s="277" t="n"/>
    </row>
    <row r="106">
      <c r="A106" s="275" t="n"/>
      <c r="B106" s="276" t="n"/>
      <c r="C106" s="276" t="n"/>
      <c r="D106" s="276" t="n"/>
      <c r="E106" s="276" t="n"/>
      <c r="F106" s="276" t="n"/>
      <c r="G106" s="276" t="n"/>
      <c r="H106" s="276" t="n"/>
      <c r="I106" s="326" t="n"/>
      <c r="J106" s="326" t="n"/>
      <c r="K106" s="276" t="n"/>
      <c r="L106" s="276" t="n"/>
      <c r="M106" s="276" t="n"/>
      <c r="N106" s="277" t="n"/>
    </row>
    <row r="107">
      <c r="A107" s="275" t="n"/>
      <c r="B107" s="276" t="n"/>
      <c r="C107" s="276" t="n"/>
      <c r="D107" s="276" t="n"/>
      <c r="E107" s="276" t="n"/>
      <c r="F107" s="276" t="n"/>
      <c r="G107" s="276" t="n"/>
      <c r="H107" s="276" t="n"/>
      <c r="I107" s="326" t="n"/>
      <c r="J107" s="326" t="n"/>
      <c r="K107" s="276" t="n"/>
      <c r="L107" s="276" t="n"/>
      <c r="M107" s="276" t="n"/>
      <c r="N107" s="277" t="n"/>
    </row>
    <row r="108">
      <c r="A108" s="275" t="n"/>
      <c r="B108" s="276" t="n"/>
      <c r="C108" s="276" t="n"/>
      <c r="D108" s="276" t="n"/>
      <c r="E108" s="276" t="n"/>
      <c r="F108" s="276" t="n"/>
      <c r="G108" s="276" t="n"/>
      <c r="H108" s="276" t="n"/>
      <c r="I108" s="326" t="n"/>
      <c r="J108" s="326" t="n"/>
      <c r="K108" s="276" t="n"/>
      <c r="L108" s="276" t="n"/>
      <c r="M108" s="276" t="n"/>
      <c r="N108" s="277" t="n"/>
    </row>
    <row r="109">
      <c r="A109" s="275" t="n"/>
      <c r="B109" s="276" t="n"/>
      <c r="C109" s="276" t="n"/>
      <c r="D109" s="276" t="n"/>
      <c r="E109" s="276" t="n"/>
      <c r="F109" s="276" t="n"/>
      <c r="G109" s="276" t="n"/>
      <c r="H109" s="276" t="n"/>
      <c r="I109" s="326" t="n"/>
      <c r="J109" s="326" t="n"/>
      <c r="K109" s="276" t="n"/>
      <c r="L109" s="276" t="n"/>
      <c r="M109" s="276" t="n"/>
      <c r="N109" s="277" t="n"/>
    </row>
    <row r="110">
      <c r="A110" s="275" t="n"/>
      <c r="B110" s="276" t="n"/>
      <c r="C110" s="276" t="n"/>
      <c r="D110" s="276" t="n"/>
      <c r="E110" s="276" t="n"/>
      <c r="F110" s="276" t="n"/>
      <c r="G110" s="276" t="n"/>
      <c r="H110" s="276" t="n"/>
      <c r="I110" s="326" t="n"/>
      <c r="J110" s="326" t="n"/>
      <c r="K110" s="276" t="n"/>
      <c r="L110" s="276" t="n"/>
      <c r="M110" s="276" t="n"/>
      <c r="N110" s="277" t="n"/>
    </row>
    <row r="111">
      <c r="A111" s="275" t="n"/>
      <c r="B111" s="276" t="n"/>
      <c r="C111" s="276" t="n"/>
      <c r="D111" s="276" t="n"/>
      <c r="E111" s="276" t="n"/>
      <c r="F111" s="276" t="n"/>
      <c r="G111" s="276" t="n"/>
      <c r="H111" s="276" t="n"/>
      <c r="I111" s="326" t="n"/>
      <c r="J111" s="326" t="n"/>
      <c r="K111" s="276" t="n"/>
      <c r="L111" s="276" t="n"/>
      <c r="M111" s="276" t="n"/>
      <c r="N111" s="277" t="n"/>
    </row>
    <row r="112">
      <c r="A112" s="275" t="n"/>
      <c r="B112" s="276" t="n"/>
      <c r="C112" s="276" t="n"/>
      <c r="D112" s="276" t="n"/>
      <c r="E112" s="276" t="n"/>
      <c r="F112" s="276" t="n"/>
      <c r="G112" s="276" t="n"/>
      <c r="H112" s="276" t="n"/>
      <c r="I112" s="326" t="n"/>
      <c r="J112" s="326" t="n"/>
      <c r="K112" s="276" t="n"/>
      <c r="L112" s="276" t="n"/>
      <c r="M112" s="276" t="n"/>
      <c r="N112" s="277" t="n"/>
    </row>
    <row r="113">
      <c r="A113" s="275" t="n"/>
      <c r="B113" s="276" t="n"/>
      <c r="C113" s="276" t="n"/>
      <c r="D113" s="276" t="n"/>
      <c r="E113" s="276" t="n"/>
      <c r="F113" s="276" t="n"/>
      <c r="G113" s="276" t="n"/>
      <c r="H113" s="276" t="n"/>
      <c r="I113" s="326" t="n"/>
      <c r="J113" s="326" t="n"/>
      <c r="K113" s="276" t="n"/>
      <c r="L113" s="276" t="n"/>
      <c r="M113" s="276" t="n"/>
      <c r="N113" s="277" t="n"/>
    </row>
    <row r="114">
      <c r="A114" s="275" t="n"/>
      <c r="B114" s="276" t="n"/>
      <c r="C114" s="276" t="n"/>
      <c r="D114" s="276" t="n"/>
      <c r="E114" s="276" t="n"/>
      <c r="F114" s="276" t="n"/>
      <c r="G114" s="276" t="n"/>
      <c r="H114" s="276" t="n"/>
      <c r="I114" s="326" t="n"/>
      <c r="J114" s="326" t="n"/>
      <c r="K114" s="276" t="n"/>
      <c r="L114" s="276" t="n"/>
      <c r="M114" s="276" t="n"/>
      <c r="N114" s="277" t="n"/>
    </row>
    <row r="115">
      <c r="A115" s="275" t="n"/>
      <c r="B115" s="276" t="n"/>
      <c r="C115" s="276" t="n"/>
      <c r="D115" s="276" t="n"/>
      <c r="E115" s="276" t="n"/>
      <c r="F115" s="276" t="n"/>
      <c r="G115" s="276" t="n"/>
      <c r="H115" s="276" t="n"/>
      <c r="I115" s="326" t="n"/>
      <c r="J115" s="326" t="n"/>
      <c r="K115" s="276" t="n"/>
      <c r="L115" s="276" t="n"/>
      <c r="M115" s="276" t="n"/>
      <c r="N115" s="277" t="n"/>
    </row>
    <row r="116">
      <c r="A116" s="275" t="n"/>
      <c r="B116" s="276" t="n"/>
      <c r="C116" s="276" t="n"/>
      <c r="D116" s="276" t="n"/>
      <c r="E116" s="276" t="n"/>
      <c r="F116" s="276" t="n"/>
      <c r="G116" s="276" t="n"/>
      <c r="H116" s="276" t="n"/>
      <c r="I116" s="326" t="n"/>
      <c r="J116" s="326" t="n"/>
      <c r="K116" s="276" t="n"/>
      <c r="L116" s="276" t="n"/>
      <c r="M116" s="276" t="n"/>
      <c r="N116" s="277" t="n"/>
    </row>
    <row r="117">
      <c r="A117" s="275" t="n"/>
      <c r="B117" s="276" t="n"/>
      <c r="C117" s="276" t="n"/>
      <c r="D117" s="276" t="n"/>
      <c r="E117" s="276" t="n"/>
      <c r="F117" s="276" t="n"/>
      <c r="G117" s="276" t="n"/>
      <c r="H117" s="276" t="n"/>
      <c r="I117" s="326" t="n"/>
      <c r="J117" s="326" t="n"/>
      <c r="K117" s="276" t="n"/>
      <c r="L117" s="276" t="n"/>
      <c r="M117" s="276" t="n"/>
      <c r="N117" s="277" t="n"/>
    </row>
    <row r="118">
      <c r="A118" s="275" t="n"/>
      <c r="B118" s="276" t="n"/>
      <c r="C118" s="276" t="n"/>
      <c r="D118" s="276" t="n"/>
      <c r="E118" s="276" t="n"/>
      <c r="F118" s="276" t="n"/>
      <c r="G118" s="276" t="n"/>
      <c r="H118" s="276" t="n"/>
      <c r="I118" s="326" t="n"/>
      <c r="J118" s="326" t="n"/>
      <c r="K118" s="276" t="n"/>
      <c r="L118" s="276" t="n"/>
      <c r="M118" s="276" t="n"/>
      <c r="N118" s="277" t="n"/>
    </row>
    <row r="119">
      <c r="A119" s="275" t="n"/>
      <c r="B119" s="276" t="n"/>
      <c r="C119" s="276" t="n"/>
      <c r="D119" s="276" t="n"/>
      <c r="E119" s="276" t="n"/>
      <c r="F119" s="276" t="n"/>
      <c r="G119" s="276" t="n"/>
      <c r="H119" s="276" t="n"/>
      <c r="I119" s="326" t="n"/>
      <c r="J119" s="326" t="n"/>
      <c r="K119" s="276" t="n"/>
      <c r="L119" s="276" t="n"/>
      <c r="M119" s="276" t="n"/>
      <c r="N119" s="277" t="n"/>
    </row>
    <row r="120">
      <c r="A120" s="275" t="n"/>
      <c r="B120" s="276" t="n"/>
      <c r="C120" s="276" t="n"/>
      <c r="D120" s="276" t="n"/>
      <c r="E120" s="276" t="n"/>
      <c r="F120" s="276" t="n"/>
      <c r="G120" s="276" t="n"/>
      <c r="H120" s="276" t="n"/>
      <c r="I120" s="326" t="n"/>
      <c r="J120" s="326" t="n"/>
      <c r="K120" s="276" t="n"/>
      <c r="L120" s="276" t="n"/>
      <c r="M120" s="276" t="n"/>
      <c r="N120" s="277" t="n"/>
    </row>
    <row r="121">
      <c r="A121" s="275" t="n"/>
      <c r="B121" s="276" t="n"/>
      <c r="C121" s="276" t="n"/>
      <c r="D121" s="276" t="n"/>
      <c r="E121" s="276" t="n"/>
      <c r="F121" s="276" t="n"/>
      <c r="G121" s="276" t="n"/>
      <c r="H121" s="276" t="n"/>
      <c r="I121" s="326" t="n"/>
      <c r="J121" s="326" t="n"/>
      <c r="K121" s="276" t="n"/>
      <c r="L121" s="276" t="n"/>
      <c r="M121" s="276" t="n"/>
      <c r="N121" s="277" t="n"/>
    </row>
    <row r="122">
      <c r="A122" s="275" t="n"/>
      <c r="B122" s="276" t="n"/>
      <c r="C122" s="276" t="n"/>
      <c r="D122" s="276" t="n"/>
      <c r="E122" s="276" t="n"/>
      <c r="F122" s="276" t="n"/>
      <c r="G122" s="276" t="n"/>
      <c r="H122" s="276" t="n"/>
      <c r="I122" s="326" t="n"/>
      <c r="J122" s="326" t="n"/>
      <c r="K122" s="276" t="n"/>
      <c r="L122" s="276" t="n"/>
      <c r="M122" s="276" t="n"/>
      <c r="N122" s="277" t="n"/>
    </row>
    <row r="123">
      <c r="A123" s="275" t="n"/>
      <c r="B123" s="276" t="n"/>
      <c r="C123" s="276" t="n"/>
      <c r="D123" s="276" t="n"/>
      <c r="E123" s="276" t="n"/>
      <c r="F123" s="276" t="n"/>
      <c r="G123" s="276" t="n"/>
      <c r="H123" s="276" t="n"/>
      <c r="I123" s="326" t="n"/>
      <c r="J123" s="326" t="n"/>
      <c r="K123" s="276" t="n"/>
      <c r="L123" s="276" t="n"/>
      <c r="M123" s="276" t="n"/>
      <c r="N123" s="277" t="n"/>
    </row>
    <row r="124">
      <c r="A124" s="275" t="n"/>
      <c r="B124" s="276" t="n"/>
      <c r="C124" s="276" t="n"/>
      <c r="D124" s="276" t="n"/>
      <c r="E124" s="276" t="n"/>
      <c r="F124" s="276" t="n"/>
      <c r="G124" s="276" t="n"/>
      <c r="H124" s="276" t="n"/>
      <c r="I124" s="326" t="n"/>
      <c r="J124" s="326" t="n"/>
      <c r="K124" s="276" t="n"/>
      <c r="L124" s="276" t="n"/>
      <c r="M124" s="276" t="n"/>
      <c r="N124" s="277" t="n"/>
    </row>
    <row r="125">
      <c r="A125" s="275" t="n"/>
      <c r="B125" s="276" t="n"/>
      <c r="C125" s="276" t="n"/>
      <c r="D125" s="276" t="n"/>
      <c r="E125" s="276" t="n"/>
      <c r="F125" s="276" t="n"/>
      <c r="G125" s="276" t="n"/>
      <c r="H125" s="276" t="n"/>
      <c r="I125" s="326" t="n"/>
      <c r="J125" s="326" t="n"/>
      <c r="K125" s="276" t="n"/>
      <c r="L125" s="276" t="n"/>
      <c r="M125" s="276" t="n"/>
      <c r="N125" s="277" t="n"/>
    </row>
    <row r="126">
      <c r="A126" s="275" t="n"/>
      <c r="B126" s="276" t="n"/>
      <c r="C126" s="276" t="n"/>
      <c r="D126" s="276" t="n"/>
      <c r="E126" s="276" t="n"/>
      <c r="F126" s="276" t="n"/>
      <c r="G126" s="276" t="n"/>
      <c r="H126" s="276" t="n"/>
      <c r="I126" s="326" t="n"/>
      <c r="J126" s="326" t="n"/>
      <c r="K126" s="276" t="n"/>
      <c r="L126" s="276" t="n"/>
      <c r="M126" s="276" t="n"/>
      <c r="N126" s="277" t="n"/>
    </row>
    <row r="127">
      <c r="A127" s="275" t="n"/>
      <c r="B127" s="276" t="n"/>
      <c r="C127" s="276" t="n"/>
      <c r="D127" s="276" t="n"/>
      <c r="E127" s="276" t="n"/>
      <c r="F127" s="276" t="n"/>
      <c r="G127" s="276" t="n"/>
      <c r="H127" s="276" t="n"/>
      <c r="I127" s="326" t="n"/>
      <c r="J127" s="326" t="n"/>
      <c r="K127" s="276" t="n"/>
      <c r="L127" s="276" t="n"/>
      <c r="M127" s="276" t="n"/>
      <c r="N127" s="277" t="n"/>
    </row>
    <row r="128">
      <c r="A128" s="275" t="n"/>
      <c r="B128" s="276" t="n"/>
      <c r="C128" s="276" t="n"/>
      <c r="D128" s="276" t="n"/>
      <c r="E128" s="276" t="n"/>
      <c r="F128" s="276" t="n"/>
      <c r="G128" s="276" t="n"/>
      <c r="H128" s="276" t="n"/>
      <c r="I128" s="326" t="n"/>
      <c r="J128" s="326" t="n"/>
      <c r="K128" s="276" t="n"/>
      <c r="L128" s="276" t="n"/>
      <c r="M128" s="276" t="n"/>
      <c r="N128" s="277" t="n"/>
    </row>
    <row r="129">
      <c r="A129" s="275" t="n"/>
      <c r="B129" s="276" t="n"/>
      <c r="C129" s="276" t="n"/>
      <c r="D129" s="276" t="n"/>
      <c r="E129" s="276" t="n"/>
      <c r="F129" s="276" t="n"/>
      <c r="G129" s="276" t="n"/>
      <c r="H129" s="276" t="n"/>
      <c r="I129" s="326" t="n"/>
      <c r="J129" s="326" t="n"/>
      <c r="K129" s="276" t="n"/>
      <c r="L129" s="276" t="n"/>
      <c r="M129" s="276" t="n"/>
      <c r="N129" s="277" t="n"/>
    </row>
    <row r="130">
      <c r="A130" s="275" t="n"/>
      <c r="B130" s="276" t="n"/>
      <c r="C130" s="276" t="n"/>
      <c r="D130" s="276" t="n"/>
      <c r="E130" s="276" t="n"/>
      <c r="F130" s="276" t="n"/>
      <c r="G130" s="276" t="n"/>
      <c r="H130" s="276" t="n"/>
      <c r="I130" s="326" t="n"/>
      <c r="J130" s="326" t="n"/>
      <c r="K130" s="276" t="n"/>
      <c r="L130" s="276" t="n"/>
      <c r="M130" s="276" t="n"/>
      <c r="N130" s="277" t="n"/>
    </row>
    <row r="131">
      <c r="A131" s="275" t="n"/>
      <c r="B131" s="276" t="n"/>
      <c r="C131" s="276" t="n"/>
      <c r="D131" s="276" t="n"/>
      <c r="E131" s="276" t="n"/>
      <c r="F131" s="276" t="n"/>
      <c r="G131" s="276" t="n"/>
      <c r="H131" s="276" t="n"/>
      <c r="I131" s="326" t="n"/>
      <c r="J131" s="326" t="n"/>
      <c r="K131" s="276" t="n"/>
      <c r="L131" s="276" t="n"/>
      <c r="M131" s="276" t="n"/>
      <c r="N131" s="277" t="n"/>
    </row>
    <row r="132">
      <c r="A132" s="275" t="n"/>
      <c r="B132" s="276" t="n"/>
      <c r="C132" s="276" t="n"/>
      <c r="D132" s="276" t="n"/>
      <c r="E132" s="276" t="n"/>
      <c r="F132" s="276" t="n"/>
      <c r="G132" s="276" t="n"/>
      <c r="H132" s="276" t="n"/>
      <c r="I132" s="326" t="n"/>
      <c r="J132" s="326" t="n"/>
      <c r="K132" s="276" t="n"/>
      <c r="L132" s="276" t="n"/>
      <c r="M132" s="276" t="n"/>
      <c r="N132" s="277" t="n"/>
    </row>
    <row r="133">
      <c r="A133" s="275" t="n"/>
      <c r="B133" s="276" t="n"/>
      <c r="C133" s="276" t="n"/>
      <c r="D133" s="276" t="n"/>
      <c r="E133" s="276" t="n"/>
      <c r="F133" s="276" t="n"/>
      <c r="G133" s="276" t="n"/>
      <c r="H133" s="276" t="n"/>
      <c r="I133" s="326" t="n"/>
      <c r="J133" s="326" t="n"/>
      <c r="K133" s="276" t="n"/>
      <c r="L133" s="276" t="n"/>
      <c r="M133" s="276" t="n"/>
      <c r="N133" s="277" t="n"/>
    </row>
    <row r="134">
      <c r="A134" s="275" t="n"/>
      <c r="B134" s="276" t="n"/>
      <c r="C134" s="276" t="n"/>
      <c r="D134" s="276" t="n"/>
      <c r="E134" s="276" t="n"/>
      <c r="F134" s="276" t="n"/>
      <c r="G134" s="276" t="n"/>
      <c r="H134" s="276" t="n"/>
      <c r="I134" s="326" t="n"/>
      <c r="J134" s="326" t="n"/>
      <c r="K134" s="276" t="n"/>
      <c r="L134" s="276" t="n"/>
      <c r="M134" s="276" t="n"/>
      <c r="N134" s="277" t="n"/>
    </row>
    <row r="135">
      <c r="A135" s="275" t="n"/>
      <c r="B135" s="276" t="n"/>
      <c r="C135" s="276" t="n"/>
      <c r="D135" s="276" t="n"/>
      <c r="E135" s="276" t="n"/>
      <c r="F135" s="276" t="n"/>
      <c r="G135" s="276" t="n"/>
      <c r="H135" s="276" t="n"/>
      <c r="I135" s="326" t="n"/>
      <c r="J135" s="326" t="n"/>
      <c r="K135" s="276" t="n"/>
      <c r="L135" s="276" t="n"/>
      <c r="M135" s="276" t="n"/>
      <c r="N135" s="277" t="n"/>
    </row>
    <row r="136">
      <c r="A136" s="275" t="n"/>
      <c r="B136" s="276" t="n"/>
      <c r="C136" s="276" t="n"/>
      <c r="D136" s="276" t="n"/>
      <c r="E136" s="276" t="n"/>
      <c r="F136" s="276" t="n"/>
      <c r="G136" s="276" t="n"/>
      <c r="H136" s="276" t="n"/>
      <c r="I136" s="326" t="n"/>
      <c r="J136" s="326" t="n"/>
      <c r="K136" s="276" t="n"/>
      <c r="L136" s="276" t="n"/>
      <c r="M136" s="276" t="n"/>
      <c r="N136" s="277" t="n"/>
    </row>
    <row r="137">
      <c r="A137" s="275" t="n"/>
      <c r="B137" s="276" t="n"/>
      <c r="C137" s="276" t="n"/>
      <c r="D137" s="276" t="n"/>
      <c r="E137" s="276" t="n"/>
      <c r="F137" s="276" t="n"/>
      <c r="G137" s="276" t="n"/>
      <c r="H137" s="276" t="n"/>
      <c r="I137" s="326" t="n"/>
      <c r="J137" s="326" t="n"/>
      <c r="K137" s="276" t="n"/>
      <c r="L137" s="276" t="n"/>
      <c r="M137" s="276" t="n"/>
      <c r="N137" s="277" t="n"/>
    </row>
    <row r="138">
      <c r="A138" s="275" t="n"/>
      <c r="B138" s="276" t="n"/>
      <c r="C138" s="276" t="n"/>
      <c r="D138" s="276" t="n"/>
      <c r="E138" s="276" t="n"/>
      <c r="F138" s="276" t="n"/>
      <c r="G138" s="276" t="n"/>
      <c r="H138" s="276" t="n"/>
      <c r="I138" s="326" t="n"/>
      <c r="J138" s="326" t="n"/>
      <c r="K138" s="276" t="n"/>
      <c r="L138" s="276" t="n"/>
      <c r="M138" s="276" t="n"/>
      <c r="N138" s="277" t="n"/>
    </row>
    <row r="139">
      <c r="A139" s="275" t="n"/>
      <c r="B139" s="276" t="n"/>
      <c r="C139" s="276" t="n"/>
      <c r="D139" s="276" t="n"/>
      <c r="E139" s="276" t="n"/>
      <c r="F139" s="276" t="n"/>
      <c r="G139" s="276" t="n"/>
      <c r="H139" s="276" t="n"/>
      <c r="I139" s="326" t="n"/>
      <c r="J139" s="326" t="n"/>
      <c r="K139" s="276" t="n"/>
      <c r="L139" s="276" t="n"/>
      <c r="M139" s="276" t="n"/>
      <c r="N139" s="277" t="n"/>
    </row>
    <row r="140">
      <c r="A140" s="275" t="n"/>
      <c r="B140" s="276" t="n"/>
      <c r="C140" s="276" t="n"/>
      <c r="D140" s="276" t="n"/>
      <c r="E140" s="276" t="n"/>
      <c r="F140" s="276" t="n"/>
      <c r="G140" s="276" t="n"/>
      <c r="H140" s="276" t="n"/>
      <c r="I140" s="326" t="n"/>
      <c r="J140" s="326" t="n"/>
      <c r="K140" s="276" t="n"/>
      <c r="L140" s="276" t="n"/>
      <c r="M140" s="276" t="n"/>
      <c r="N140" s="277" t="n"/>
    </row>
    <row r="141">
      <c r="A141" s="275" t="n"/>
      <c r="B141" s="276" t="n"/>
      <c r="C141" s="276" t="n"/>
      <c r="D141" s="276" t="n"/>
      <c r="E141" s="276" t="n"/>
      <c r="F141" s="276" t="n"/>
      <c r="G141" s="276" t="n"/>
      <c r="H141" s="276" t="n"/>
      <c r="I141" s="326" t="n"/>
      <c r="J141" s="326" t="n"/>
      <c r="K141" s="276" t="n"/>
      <c r="L141" s="276" t="n"/>
      <c r="M141" s="276" t="n"/>
      <c r="N141" s="277" t="n"/>
    </row>
    <row r="142">
      <c r="A142" s="275" t="n"/>
      <c r="B142" s="276" t="n"/>
      <c r="C142" s="276" t="n"/>
      <c r="D142" s="276" t="n"/>
      <c r="E142" s="276" t="n"/>
      <c r="F142" s="276" t="n"/>
      <c r="G142" s="276" t="n"/>
      <c r="H142" s="276" t="n"/>
      <c r="I142" s="326" t="n"/>
      <c r="J142" s="326" t="n"/>
      <c r="K142" s="276" t="n"/>
      <c r="L142" s="276" t="n"/>
      <c r="M142" s="276" t="n"/>
      <c r="N142" s="277" t="n"/>
    </row>
    <row r="143">
      <c r="A143" s="275" t="n"/>
      <c r="B143" s="276" t="n"/>
      <c r="C143" s="276" t="n"/>
      <c r="D143" s="276" t="n"/>
      <c r="E143" s="276" t="n"/>
      <c r="F143" s="276" t="n"/>
      <c r="G143" s="276" t="n"/>
      <c r="H143" s="276" t="n"/>
      <c r="I143" s="326" t="n"/>
      <c r="J143" s="326" t="n"/>
      <c r="K143" s="276" t="n"/>
      <c r="L143" s="276" t="n"/>
      <c r="M143" s="276" t="n"/>
      <c r="N143" s="277" t="n"/>
    </row>
    <row r="144">
      <c r="A144" s="275" t="n"/>
      <c r="B144" s="276" t="n"/>
      <c r="C144" s="276" t="n"/>
      <c r="D144" s="276" t="n"/>
      <c r="E144" s="276" t="n"/>
      <c r="F144" s="276" t="n"/>
      <c r="G144" s="276" t="n"/>
      <c r="H144" s="276" t="n"/>
      <c r="I144" s="326" t="n"/>
      <c r="J144" s="326" t="n"/>
      <c r="K144" s="276" t="n"/>
      <c r="L144" s="276" t="n"/>
      <c r="M144" s="276" t="n"/>
      <c r="N144" s="277" t="n"/>
    </row>
    <row r="145">
      <c r="A145" s="275" t="n"/>
      <c r="B145" s="276" t="n"/>
      <c r="C145" s="276" t="n"/>
      <c r="D145" s="276" t="n"/>
      <c r="E145" s="276" t="n"/>
      <c r="F145" s="276" t="n"/>
      <c r="G145" s="276" t="n"/>
      <c r="H145" s="276" t="n"/>
      <c r="I145" s="326" t="n"/>
      <c r="J145" s="326" t="n"/>
      <c r="K145" s="276" t="n"/>
      <c r="L145" s="276" t="n"/>
      <c r="M145" s="276" t="n"/>
      <c r="N145" s="277" t="n"/>
    </row>
    <row r="146">
      <c r="A146" s="275" t="n"/>
      <c r="B146" s="276" t="n"/>
      <c r="C146" s="276" t="n"/>
      <c r="D146" s="276" t="n"/>
      <c r="E146" s="276" t="n"/>
      <c r="F146" s="276" t="n"/>
      <c r="G146" s="276" t="n"/>
      <c r="H146" s="276" t="n"/>
      <c r="I146" s="326" t="n"/>
      <c r="J146" s="326" t="n"/>
      <c r="K146" s="276" t="n"/>
      <c r="L146" s="276" t="n"/>
      <c r="M146" s="276" t="n"/>
      <c r="N146" s="277" t="n"/>
    </row>
    <row r="147">
      <c r="A147" s="275" t="n"/>
      <c r="B147" s="276" t="n"/>
      <c r="C147" s="276" t="n"/>
      <c r="D147" s="276" t="n"/>
      <c r="E147" s="276" t="n"/>
      <c r="F147" s="276" t="n"/>
      <c r="G147" s="276" t="n"/>
      <c r="H147" s="276" t="n"/>
      <c r="I147" s="326" t="n"/>
      <c r="J147" s="326" t="n"/>
      <c r="K147" s="276" t="n"/>
      <c r="L147" s="276" t="n"/>
      <c r="M147" s="276" t="n"/>
      <c r="N147" s="277" t="n"/>
    </row>
    <row r="148">
      <c r="A148" s="275" t="n"/>
      <c r="B148" s="276" t="n"/>
      <c r="C148" s="276" t="n"/>
      <c r="D148" s="276" t="n"/>
      <c r="E148" s="276" t="n"/>
      <c r="F148" s="276" t="n"/>
      <c r="G148" s="276" t="n"/>
      <c r="H148" s="276" t="n"/>
      <c r="I148" s="326" t="n"/>
      <c r="J148" s="326" t="n"/>
      <c r="K148" s="276" t="n"/>
      <c r="L148" s="276" t="n"/>
      <c r="M148" s="276" t="n"/>
      <c r="N148" s="277" t="n"/>
    </row>
    <row r="149">
      <c r="A149" s="275" t="n"/>
      <c r="B149" s="276" t="n"/>
      <c r="C149" s="276" t="n"/>
      <c r="D149" s="276" t="n"/>
      <c r="E149" s="276" t="n"/>
      <c r="F149" s="276" t="n"/>
      <c r="G149" s="276" t="n"/>
      <c r="H149" s="276" t="n"/>
      <c r="I149" s="326" t="n"/>
      <c r="J149" s="326" t="n"/>
      <c r="K149" s="276" t="n"/>
      <c r="L149" s="276" t="n"/>
      <c r="M149" s="276" t="n"/>
      <c r="N149" s="277" t="n"/>
    </row>
    <row r="150">
      <c r="A150" s="275" t="n"/>
      <c r="B150" s="276" t="n"/>
      <c r="C150" s="276" t="n"/>
      <c r="D150" s="276" t="n"/>
      <c r="E150" s="276" t="n"/>
      <c r="F150" s="276" t="n"/>
      <c r="G150" s="276" t="n"/>
      <c r="H150" s="276" t="n"/>
      <c r="I150" s="326" t="n"/>
      <c r="J150" s="326" t="n"/>
      <c r="K150" s="276" t="n"/>
      <c r="L150" s="276" t="n"/>
      <c r="M150" s="276" t="n"/>
      <c r="N150" s="277" t="n"/>
    </row>
    <row r="151">
      <c r="A151" s="275" t="n"/>
      <c r="B151" s="276" t="n"/>
      <c r="C151" s="276" t="n"/>
      <c r="D151" s="276" t="n"/>
      <c r="E151" s="276" t="n"/>
      <c r="F151" s="276" t="n"/>
      <c r="G151" s="276" t="n"/>
      <c r="H151" s="276" t="n"/>
      <c r="I151" s="326" t="n"/>
      <c r="J151" s="326" t="n"/>
      <c r="K151" s="276" t="n"/>
      <c r="L151" s="276" t="n"/>
      <c r="M151" s="276" t="n"/>
      <c r="N151" s="277" t="n"/>
    </row>
    <row r="152">
      <c r="A152" s="275" t="n"/>
      <c r="B152" s="276" t="n"/>
      <c r="C152" s="276" t="n"/>
      <c r="D152" s="276" t="n"/>
      <c r="E152" s="276" t="n"/>
      <c r="F152" s="276" t="n"/>
      <c r="G152" s="276" t="n"/>
      <c r="H152" s="276" t="n"/>
      <c r="I152" s="326" t="n"/>
      <c r="J152" s="326" t="n"/>
      <c r="K152" s="276" t="n"/>
      <c r="L152" s="276" t="n"/>
      <c r="M152" s="276" t="n"/>
      <c r="N152" s="277" t="n"/>
    </row>
    <row r="153">
      <c r="A153" s="275" t="n"/>
      <c r="B153" s="276" t="n"/>
      <c r="C153" s="276" t="n"/>
      <c r="D153" s="276" t="n"/>
      <c r="E153" s="276" t="n"/>
      <c r="F153" s="276" t="n"/>
      <c r="G153" s="276" t="n"/>
      <c r="H153" s="276" t="n"/>
      <c r="I153" s="326" t="n"/>
      <c r="J153" s="326" t="n"/>
      <c r="K153" s="276" t="n"/>
      <c r="L153" s="276" t="n"/>
      <c r="M153" s="276" t="n"/>
      <c r="N153" s="277" t="n"/>
    </row>
    <row r="154">
      <c r="A154" s="275" t="n"/>
      <c r="B154" s="276" t="n"/>
      <c r="C154" s="276" t="n"/>
      <c r="D154" s="276" t="n"/>
      <c r="E154" s="276" t="n"/>
      <c r="F154" s="276" t="n"/>
      <c r="G154" s="276" t="n"/>
      <c r="H154" s="276" t="n"/>
      <c r="I154" s="326" t="n"/>
      <c r="J154" s="326" t="n"/>
      <c r="K154" s="276" t="n"/>
      <c r="L154" s="276" t="n"/>
      <c r="M154" s="276" t="n"/>
      <c r="N154" s="277" t="n"/>
    </row>
    <row r="155">
      <c r="A155" s="275" t="n"/>
      <c r="B155" s="276" t="n"/>
      <c r="C155" s="276" t="n"/>
      <c r="D155" s="276" t="n"/>
      <c r="E155" s="276" t="n"/>
      <c r="F155" s="276" t="n"/>
      <c r="G155" s="276" t="n"/>
      <c r="H155" s="276" t="n"/>
      <c r="I155" s="326" t="n"/>
      <c r="J155" s="326" t="n"/>
      <c r="K155" s="276" t="n"/>
      <c r="L155" s="276" t="n"/>
      <c r="M155" s="276" t="n"/>
      <c r="N155" s="277" t="n"/>
    </row>
    <row r="156">
      <c r="A156" s="275" t="n"/>
      <c r="B156" s="276" t="n"/>
      <c r="C156" s="276" t="n"/>
      <c r="D156" s="276" t="n"/>
      <c r="E156" s="276" t="n"/>
      <c r="F156" s="276" t="n"/>
      <c r="G156" s="276" t="n"/>
      <c r="H156" s="276" t="n"/>
      <c r="I156" s="326" t="n"/>
      <c r="J156" s="326" t="n"/>
      <c r="K156" s="276" t="n"/>
      <c r="L156" s="276" t="n"/>
      <c r="M156" s="276" t="n"/>
      <c r="N156" s="277" t="n"/>
    </row>
    <row r="157">
      <c r="A157" s="275" t="n"/>
      <c r="B157" s="276" t="n"/>
      <c r="C157" s="276" t="n"/>
      <c r="D157" s="276" t="n"/>
      <c r="E157" s="276" t="n"/>
      <c r="F157" s="276" t="n"/>
      <c r="G157" s="276" t="n"/>
      <c r="H157" s="276" t="n"/>
      <c r="I157" s="326" t="n"/>
      <c r="J157" s="326" t="n"/>
      <c r="K157" s="276" t="n"/>
      <c r="L157" s="276" t="n"/>
      <c r="M157" s="276" t="n"/>
      <c r="N157" s="277" t="n"/>
    </row>
    <row r="158">
      <c r="A158" s="275" t="n"/>
      <c r="B158" s="276" t="n"/>
      <c r="C158" s="276" t="n"/>
      <c r="D158" s="276" t="n"/>
      <c r="E158" s="276" t="n"/>
      <c r="F158" s="276" t="n"/>
      <c r="G158" s="276" t="n"/>
      <c r="H158" s="276" t="n"/>
      <c r="I158" s="326" t="n"/>
      <c r="J158" s="326" t="n"/>
      <c r="K158" s="276" t="n"/>
      <c r="L158" s="276" t="n"/>
      <c r="M158" s="276" t="n"/>
      <c r="N158" s="277" t="n"/>
    </row>
    <row r="159">
      <c r="A159" s="275" t="n"/>
      <c r="B159" s="276" t="n"/>
      <c r="C159" s="276" t="n"/>
      <c r="D159" s="276" t="n"/>
      <c r="E159" s="276" t="n"/>
      <c r="F159" s="276" t="n"/>
      <c r="G159" s="276" t="n"/>
      <c r="H159" s="276" t="n"/>
      <c r="I159" s="326" t="n"/>
      <c r="J159" s="326" t="n"/>
      <c r="K159" s="276" t="n"/>
      <c r="L159" s="276" t="n"/>
      <c r="M159" s="276" t="n"/>
      <c r="N159" s="277" t="n"/>
    </row>
    <row r="160">
      <c r="A160" s="275" t="n"/>
      <c r="B160" s="276" t="n"/>
      <c r="C160" s="276" t="n"/>
      <c r="D160" s="276" t="n"/>
      <c r="E160" s="276" t="n"/>
      <c r="F160" s="276" t="n"/>
      <c r="G160" s="276" t="n"/>
      <c r="H160" s="276" t="n"/>
      <c r="I160" s="326" t="n"/>
      <c r="J160" s="326" t="n"/>
      <c r="K160" s="276" t="n"/>
      <c r="L160" s="276" t="n"/>
      <c r="M160" s="276" t="n"/>
      <c r="N160" s="277" t="n"/>
    </row>
    <row r="161">
      <c r="A161" s="275" t="n"/>
      <c r="B161" s="276" t="n"/>
      <c r="C161" s="276" t="n"/>
      <c r="D161" s="276" t="n"/>
      <c r="E161" s="276" t="n"/>
      <c r="F161" s="276" t="n"/>
      <c r="G161" s="276" t="n"/>
      <c r="H161" s="276" t="n"/>
      <c r="I161" s="326" t="n"/>
      <c r="J161" s="326" t="n"/>
      <c r="K161" s="276" t="n"/>
      <c r="L161" s="276" t="n"/>
      <c r="M161" s="276" t="n"/>
      <c r="N161" s="277" t="n"/>
    </row>
    <row r="162">
      <c r="A162" s="275" t="n"/>
      <c r="B162" s="276" t="n"/>
      <c r="C162" s="276" t="n"/>
      <c r="D162" s="276" t="n"/>
      <c r="E162" s="276" t="n"/>
      <c r="F162" s="276" t="n"/>
      <c r="G162" s="276" t="n"/>
      <c r="H162" s="276" t="n"/>
      <c r="I162" s="326" t="n"/>
      <c r="J162" s="326" t="n"/>
      <c r="K162" s="276" t="n"/>
      <c r="L162" s="276" t="n"/>
      <c r="M162" s="276" t="n"/>
      <c r="N162" s="277" t="n"/>
    </row>
    <row r="163">
      <c r="A163" s="275" t="n"/>
      <c r="B163" s="276" t="n"/>
      <c r="C163" s="276" t="n"/>
      <c r="D163" s="276" t="n"/>
      <c r="E163" s="276" t="n"/>
      <c r="F163" s="276" t="n"/>
      <c r="G163" s="276" t="n"/>
      <c r="H163" s="276" t="n"/>
      <c r="I163" s="326" t="n"/>
      <c r="J163" s="326" t="n"/>
      <c r="K163" s="276" t="n"/>
      <c r="L163" s="276" t="n"/>
      <c r="M163" s="276" t="n"/>
      <c r="N163" s="277" t="n"/>
    </row>
    <row r="164">
      <c r="A164" s="275" t="n"/>
      <c r="B164" s="276" t="n"/>
      <c r="C164" s="276" t="n"/>
      <c r="D164" s="276" t="n"/>
      <c r="E164" s="276" t="n"/>
      <c r="F164" s="276" t="n"/>
      <c r="G164" s="276" t="n"/>
      <c r="H164" s="276" t="n"/>
      <c r="I164" s="326" t="n"/>
      <c r="J164" s="326" t="n"/>
      <c r="K164" s="276" t="n"/>
      <c r="L164" s="276" t="n"/>
      <c r="M164" s="276" t="n"/>
      <c r="N164" s="277" t="n"/>
    </row>
    <row r="165">
      <c r="A165" s="275" t="n"/>
      <c r="B165" s="276" t="n"/>
      <c r="C165" s="276" t="n"/>
      <c r="D165" s="276" t="n"/>
      <c r="E165" s="276" t="n"/>
      <c r="F165" s="276" t="n"/>
      <c r="G165" s="276" t="n"/>
      <c r="H165" s="276" t="n"/>
      <c r="I165" s="326" t="n"/>
      <c r="J165" s="326" t="n"/>
      <c r="K165" s="276" t="n"/>
      <c r="L165" s="276" t="n"/>
      <c r="M165" s="276" t="n"/>
      <c r="N165" s="277" t="n"/>
    </row>
    <row r="166">
      <c r="A166" s="275" t="n"/>
      <c r="B166" s="276" t="n"/>
      <c r="C166" s="276" t="n"/>
      <c r="D166" s="276" t="n"/>
      <c r="E166" s="276" t="n"/>
      <c r="F166" s="276" t="n"/>
      <c r="G166" s="276" t="n"/>
      <c r="H166" s="276" t="n"/>
      <c r="I166" s="326" t="n"/>
      <c r="J166" s="326" t="n"/>
      <c r="K166" s="276" t="n"/>
      <c r="L166" s="276" t="n"/>
      <c r="M166" s="276" t="n"/>
      <c r="N166" s="277" t="n"/>
    </row>
    <row r="167">
      <c r="A167" s="275" t="n"/>
      <c r="B167" s="276" t="n"/>
      <c r="C167" s="276" t="n"/>
      <c r="D167" s="276" t="n"/>
      <c r="E167" s="276" t="n"/>
      <c r="F167" s="276" t="n"/>
      <c r="G167" s="276" t="n"/>
      <c r="H167" s="276" t="n"/>
      <c r="I167" s="326" t="n"/>
      <c r="J167" s="326" t="n"/>
      <c r="K167" s="276" t="n"/>
      <c r="L167" s="276" t="n"/>
      <c r="M167" s="276" t="n"/>
      <c r="N167" s="277" t="n"/>
    </row>
    <row r="168">
      <c r="A168" s="275" t="n"/>
      <c r="B168" s="276" t="n"/>
      <c r="C168" s="276" t="n"/>
      <c r="D168" s="276" t="n"/>
      <c r="E168" s="276" t="n"/>
      <c r="F168" s="276" t="n"/>
      <c r="G168" s="276" t="n"/>
      <c r="H168" s="276" t="n"/>
      <c r="I168" s="326" t="n"/>
      <c r="J168" s="326" t="n"/>
      <c r="K168" s="276" t="n"/>
      <c r="L168" s="276" t="n"/>
      <c r="M168" s="276" t="n"/>
      <c r="N168" s="277" t="n"/>
    </row>
    <row r="169">
      <c r="A169" s="275" t="n"/>
      <c r="B169" s="276" t="n"/>
      <c r="C169" s="276" t="n"/>
      <c r="D169" s="276" t="n"/>
      <c r="E169" s="276" t="n"/>
      <c r="F169" s="276" t="n"/>
      <c r="G169" s="276" t="n"/>
      <c r="H169" s="276" t="n"/>
      <c r="I169" s="326" t="n"/>
      <c r="J169" s="326" t="n"/>
      <c r="K169" s="276" t="n"/>
      <c r="L169" s="276" t="n"/>
      <c r="M169" s="276" t="n"/>
      <c r="N169" s="277" t="n"/>
    </row>
    <row r="170">
      <c r="A170" s="275" t="n"/>
      <c r="B170" s="276" t="n"/>
      <c r="C170" s="276" t="n"/>
      <c r="D170" s="276" t="n"/>
      <c r="E170" s="276" t="n"/>
      <c r="F170" s="276" t="n"/>
      <c r="G170" s="276" t="n"/>
      <c r="H170" s="276" t="n"/>
      <c r="I170" s="326" t="n"/>
      <c r="J170" s="326" t="n"/>
      <c r="K170" s="276" t="n"/>
      <c r="L170" s="276" t="n"/>
      <c r="M170" s="276" t="n"/>
      <c r="N170" s="277" t="n"/>
    </row>
    <row r="171">
      <c r="A171" s="275" t="n"/>
      <c r="B171" s="276" t="n"/>
      <c r="C171" s="276" t="n"/>
      <c r="D171" s="276" t="n"/>
      <c r="E171" s="276" t="n"/>
      <c r="F171" s="276" t="n"/>
      <c r="G171" s="276" t="n"/>
      <c r="H171" s="276" t="n"/>
      <c r="I171" s="326" t="n"/>
      <c r="J171" s="326" t="n"/>
      <c r="K171" s="276" t="n"/>
      <c r="L171" s="276" t="n"/>
      <c r="M171" s="276" t="n"/>
      <c r="N171" s="277" t="n"/>
    </row>
    <row r="172">
      <c r="A172" s="275" t="n"/>
      <c r="B172" s="276" t="n"/>
      <c r="C172" s="276" t="n"/>
      <c r="D172" s="276" t="n"/>
      <c r="E172" s="276" t="n"/>
      <c r="F172" s="276" t="n"/>
      <c r="G172" s="276" t="n"/>
      <c r="H172" s="276" t="n"/>
      <c r="I172" s="326" t="n"/>
      <c r="J172" s="326" t="n"/>
      <c r="K172" s="276" t="n"/>
      <c r="L172" s="276" t="n"/>
      <c r="M172" s="276" t="n"/>
      <c r="N172" s="277" t="n"/>
    </row>
    <row r="173">
      <c r="A173" s="275" t="n"/>
      <c r="B173" s="276" t="n"/>
      <c r="C173" s="276" t="n"/>
      <c r="D173" s="276" t="n"/>
      <c r="E173" s="276" t="n"/>
      <c r="F173" s="276" t="n"/>
      <c r="G173" s="276" t="n"/>
      <c r="H173" s="276" t="n"/>
      <c r="I173" s="326" t="n"/>
      <c r="J173" s="326" t="n"/>
      <c r="K173" s="276" t="n"/>
      <c r="L173" s="276" t="n"/>
      <c r="M173" s="276" t="n"/>
      <c r="N173" s="277" t="n"/>
    </row>
    <row r="174">
      <c r="A174" s="275" t="n"/>
      <c r="B174" s="276" t="n"/>
      <c r="C174" s="276" t="n"/>
      <c r="D174" s="276" t="n"/>
      <c r="E174" s="276" t="n"/>
      <c r="F174" s="276" t="n"/>
      <c r="G174" s="276" t="n"/>
      <c r="H174" s="276" t="n"/>
      <c r="I174" s="326" t="n"/>
      <c r="J174" s="326" t="n"/>
      <c r="K174" s="276" t="n"/>
      <c r="L174" s="276" t="n"/>
      <c r="M174" s="276" t="n"/>
      <c r="N174" s="277" t="n"/>
    </row>
    <row r="175">
      <c r="A175" s="275" t="n"/>
      <c r="B175" s="276" t="n"/>
      <c r="C175" s="276" t="n"/>
      <c r="D175" s="276" t="n"/>
      <c r="E175" s="276" t="n"/>
      <c r="F175" s="276" t="n"/>
      <c r="G175" s="276" t="n"/>
      <c r="H175" s="276" t="n"/>
      <c r="I175" s="326" t="n"/>
      <c r="J175" s="326" t="n"/>
      <c r="K175" s="276" t="n"/>
      <c r="L175" s="276" t="n"/>
      <c r="M175" s="276" t="n"/>
      <c r="N175" s="277" t="n"/>
    </row>
    <row r="176">
      <c r="A176" s="275" t="n"/>
      <c r="B176" s="276" t="n"/>
      <c r="C176" s="276" t="n"/>
      <c r="D176" s="276" t="n"/>
      <c r="E176" s="276" t="n"/>
      <c r="F176" s="276" t="n"/>
      <c r="G176" s="276" t="n"/>
      <c r="H176" s="276" t="n"/>
      <c r="I176" s="326" t="n"/>
      <c r="J176" s="326" t="n"/>
      <c r="K176" s="276" t="n"/>
      <c r="L176" s="276" t="n"/>
      <c r="M176" s="276" t="n"/>
      <c r="N176" s="277" t="n"/>
    </row>
    <row r="177">
      <c r="A177" s="275" t="n"/>
      <c r="B177" s="276" t="n"/>
      <c r="C177" s="276" t="n"/>
      <c r="D177" s="276" t="n"/>
      <c r="E177" s="276" t="n"/>
      <c r="F177" s="276" t="n"/>
      <c r="G177" s="276" t="n"/>
      <c r="H177" s="276" t="n"/>
      <c r="I177" s="326" t="n"/>
      <c r="J177" s="326" t="n"/>
      <c r="K177" s="276" t="n"/>
      <c r="L177" s="276" t="n"/>
      <c r="M177" s="276" t="n"/>
      <c r="N177" s="277" t="n"/>
    </row>
    <row r="178">
      <c r="A178" s="275" t="n"/>
      <c r="B178" s="276" t="n"/>
      <c r="C178" s="276" t="n"/>
      <c r="D178" s="276" t="n"/>
      <c r="E178" s="276" t="n"/>
      <c r="F178" s="276" t="n"/>
      <c r="G178" s="276" t="n"/>
      <c r="H178" s="276" t="n"/>
      <c r="I178" s="326" t="n"/>
      <c r="J178" s="326" t="n"/>
      <c r="K178" s="276" t="n"/>
      <c r="L178" s="276" t="n"/>
      <c r="M178" s="276" t="n"/>
      <c r="N178" s="277" t="n"/>
    </row>
    <row r="179">
      <c r="A179" s="275" t="n"/>
      <c r="B179" s="276" t="n"/>
      <c r="C179" s="276" t="n"/>
      <c r="D179" s="276" t="n"/>
      <c r="E179" s="276" t="n"/>
      <c r="F179" s="276" t="n"/>
      <c r="G179" s="276" t="n"/>
      <c r="H179" s="276" t="n"/>
      <c r="I179" s="326" t="n"/>
      <c r="J179" s="326" t="n"/>
      <c r="K179" s="276" t="n"/>
      <c r="L179" s="276" t="n"/>
      <c r="M179" s="276" t="n"/>
      <c r="N179" s="277" t="n"/>
    </row>
    <row r="180">
      <c r="A180" s="275" t="n"/>
      <c r="B180" s="276" t="n"/>
      <c r="C180" s="276" t="n"/>
      <c r="D180" s="276" t="n"/>
      <c r="E180" s="276" t="n"/>
      <c r="F180" s="276" t="n"/>
      <c r="G180" s="276" t="n"/>
      <c r="H180" s="276" t="n"/>
      <c r="I180" s="326" t="n"/>
      <c r="J180" s="326" t="n"/>
      <c r="K180" s="276" t="n"/>
      <c r="L180" s="276" t="n"/>
      <c r="M180" s="276" t="n"/>
      <c r="N180" s="277" t="n"/>
    </row>
    <row r="181">
      <c r="A181" s="275" t="n"/>
      <c r="B181" s="276" t="n"/>
      <c r="C181" s="276" t="n"/>
      <c r="D181" s="276" t="n"/>
      <c r="E181" s="276" t="n"/>
      <c r="F181" s="276" t="n"/>
      <c r="G181" s="276" t="n"/>
      <c r="H181" s="276" t="n"/>
      <c r="I181" s="326" t="n"/>
      <c r="J181" s="326" t="n"/>
      <c r="K181" s="276" t="n"/>
      <c r="L181" s="276" t="n"/>
      <c r="M181" s="276" t="n"/>
      <c r="N181" s="277" t="n"/>
    </row>
    <row r="182">
      <c r="A182" s="275" t="n"/>
      <c r="B182" s="276" t="n"/>
      <c r="C182" s="276" t="n"/>
      <c r="D182" s="276" t="n"/>
      <c r="E182" s="276" t="n"/>
      <c r="F182" s="276" t="n"/>
      <c r="G182" s="276" t="n"/>
      <c r="H182" s="276" t="n"/>
      <c r="I182" s="326" t="n"/>
      <c r="J182" s="326" t="n"/>
      <c r="K182" s="276" t="n"/>
      <c r="L182" s="276" t="n"/>
      <c r="M182" s="276" t="n"/>
      <c r="N182" s="277" t="n"/>
    </row>
    <row r="183">
      <c r="A183" s="275" t="n"/>
      <c r="B183" s="276" t="n"/>
      <c r="C183" s="276" t="n"/>
      <c r="D183" s="276" t="n"/>
      <c r="E183" s="276" t="n"/>
      <c r="F183" s="276" t="n"/>
      <c r="G183" s="276" t="n"/>
      <c r="H183" s="276" t="n"/>
      <c r="I183" s="326" t="n"/>
      <c r="J183" s="326" t="n"/>
      <c r="K183" s="276" t="n"/>
      <c r="L183" s="276" t="n"/>
      <c r="M183" s="276" t="n"/>
      <c r="N183" s="277" t="n"/>
    </row>
    <row r="184">
      <c r="A184" s="275" t="n"/>
      <c r="B184" s="276" t="n"/>
      <c r="C184" s="276" t="n"/>
      <c r="D184" s="276" t="n"/>
      <c r="E184" s="276" t="n"/>
      <c r="F184" s="276" t="n"/>
      <c r="G184" s="276" t="n"/>
      <c r="H184" s="276" t="n"/>
      <c r="I184" s="326" t="n"/>
      <c r="J184" s="326" t="n"/>
      <c r="K184" s="276" t="n"/>
      <c r="L184" s="276" t="n"/>
      <c r="M184" s="276" t="n"/>
      <c r="N184" s="277" t="n"/>
    </row>
    <row r="185">
      <c r="A185" s="275" t="n"/>
      <c r="B185" s="276" t="n"/>
      <c r="C185" s="276" t="n"/>
      <c r="D185" s="276" t="n"/>
      <c r="E185" s="276" t="n"/>
      <c r="F185" s="276" t="n"/>
      <c r="G185" s="276" t="n"/>
      <c r="H185" s="276" t="n"/>
      <c r="I185" s="326" t="n"/>
      <c r="J185" s="326" t="n"/>
      <c r="K185" s="276" t="n"/>
      <c r="L185" s="276" t="n"/>
      <c r="M185" s="276" t="n"/>
      <c r="N185" s="277" t="n"/>
    </row>
    <row r="186">
      <c r="A186" s="275" t="n"/>
      <c r="B186" s="276" t="n"/>
      <c r="C186" s="276" t="n"/>
      <c r="D186" s="276" t="n"/>
      <c r="E186" s="276" t="n"/>
      <c r="F186" s="276" t="n"/>
      <c r="G186" s="276" t="n"/>
      <c r="H186" s="276" t="n"/>
      <c r="I186" s="326" t="n"/>
      <c r="J186" s="326" t="n"/>
      <c r="K186" s="276" t="n"/>
      <c r="L186" s="276" t="n"/>
      <c r="M186" s="276" t="n"/>
      <c r="N186" s="277" t="n"/>
    </row>
    <row r="187">
      <c r="A187" s="275" t="n"/>
      <c r="B187" s="276" t="n"/>
      <c r="C187" s="276" t="n"/>
      <c r="D187" s="276" t="n"/>
      <c r="E187" s="276" t="n"/>
      <c r="F187" s="276" t="n"/>
      <c r="G187" s="276" t="n"/>
      <c r="H187" s="276" t="n"/>
      <c r="I187" s="326" t="n"/>
      <c r="J187" s="326" t="n"/>
      <c r="K187" s="276" t="n"/>
      <c r="L187" s="276" t="n"/>
      <c r="M187" s="276" t="n"/>
      <c r="N187" s="277" t="n"/>
    </row>
    <row r="188">
      <c r="A188" s="275" t="n"/>
      <c r="B188" s="276" t="n"/>
      <c r="C188" s="276" t="n"/>
      <c r="D188" s="276" t="n"/>
      <c r="E188" s="276" t="n"/>
      <c r="F188" s="276" t="n"/>
      <c r="G188" s="276" t="n"/>
      <c r="H188" s="276" t="n"/>
      <c r="I188" s="326" t="n"/>
      <c r="J188" s="326" t="n"/>
      <c r="K188" s="276" t="n"/>
      <c r="L188" s="276" t="n"/>
      <c r="M188" s="276" t="n"/>
      <c r="N188" s="277" t="n"/>
    </row>
    <row r="189">
      <c r="A189" s="275" t="n"/>
      <c r="B189" s="276" t="n"/>
      <c r="C189" s="276" t="n"/>
      <c r="D189" s="276" t="n"/>
      <c r="E189" s="276" t="n"/>
      <c r="F189" s="276" t="n"/>
      <c r="G189" s="276" t="n"/>
      <c r="H189" s="276" t="n"/>
      <c r="I189" s="326" t="n"/>
      <c r="J189" s="326" t="n"/>
      <c r="K189" s="276" t="n"/>
      <c r="L189" s="276" t="n"/>
      <c r="M189" s="276" t="n"/>
      <c r="N189" s="277" t="n"/>
    </row>
    <row r="190">
      <c r="A190" s="275" t="n"/>
      <c r="B190" s="276" t="n"/>
      <c r="C190" s="276" t="n"/>
      <c r="D190" s="276" t="n"/>
      <c r="E190" s="276" t="n"/>
      <c r="F190" s="276" t="n"/>
      <c r="G190" s="276" t="n"/>
      <c r="H190" s="276" t="n"/>
      <c r="I190" s="326" t="n"/>
      <c r="J190" s="326" t="n"/>
      <c r="K190" s="276" t="n"/>
      <c r="L190" s="276" t="n"/>
      <c r="M190" s="276" t="n"/>
      <c r="N190" s="277" t="n"/>
    </row>
    <row r="191">
      <c r="A191" s="275" t="n"/>
      <c r="B191" s="276" t="n"/>
      <c r="C191" s="276" t="n"/>
      <c r="D191" s="276" t="n"/>
      <c r="E191" s="276" t="n"/>
      <c r="F191" s="276" t="n"/>
      <c r="G191" s="276" t="n"/>
      <c r="H191" s="276" t="n"/>
      <c r="I191" s="326" t="n"/>
      <c r="J191" s="326" t="n"/>
      <c r="K191" s="276" t="n"/>
      <c r="L191" s="276" t="n"/>
      <c r="M191" s="276" t="n"/>
      <c r="N191" s="277" t="n"/>
    </row>
    <row r="192">
      <c r="A192" s="275" t="n"/>
      <c r="B192" s="276" t="n"/>
      <c r="C192" s="276" t="n"/>
      <c r="D192" s="276" t="n"/>
      <c r="E192" s="276" t="n"/>
      <c r="F192" s="276" t="n"/>
      <c r="G192" s="276" t="n"/>
      <c r="H192" s="276" t="n"/>
      <c r="I192" s="326" t="n"/>
      <c r="J192" s="326" t="n"/>
      <c r="K192" s="276" t="n"/>
      <c r="L192" s="276" t="n"/>
      <c r="M192" s="276" t="n"/>
      <c r="N192" s="277" t="n"/>
    </row>
    <row r="193">
      <c r="A193" s="275" t="n"/>
      <c r="B193" s="276" t="n"/>
      <c r="C193" s="276" t="n"/>
      <c r="D193" s="276" t="n"/>
      <c r="E193" s="276" t="n"/>
      <c r="F193" s="276" t="n"/>
      <c r="G193" s="276" t="n"/>
      <c r="H193" s="276" t="n"/>
      <c r="I193" s="326" t="n"/>
      <c r="J193" s="326" t="n"/>
      <c r="K193" s="276" t="n"/>
      <c r="L193" s="276" t="n"/>
      <c r="M193" s="276" t="n"/>
      <c r="N193" s="277" t="n"/>
    </row>
    <row r="194">
      <c r="A194" s="275" t="n"/>
      <c r="B194" s="276" t="n"/>
      <c r="C194" s="276" t="n"/>
      <c r="D194" s="276" t="n"/>
      <c r="E194" s="276" t="n"/>
      <c r="F194" s="276" t="n"/>
      <c r="G194" s="276" t="n"/>
      <c r="H194" s="276" t="n"/>
      <c r="I194" s="326" t="n"/>
      <c r="J194" s="326" t="n"/>
      <c r="K194" s="276" t="n"/>
      <c r="L194" s="276" t="n"/>
      <c r="M194" s="276" t="n"/>
      <c r="N194" s="277" t="n"/>
    </row>
    <row r="195">
      <c r="A195" s="275" t="n"/>
      <c r="B195" s="276" t="n"/>
      <c r="C195" s="276" t="n"/>
      <c r="D195" s="276" t="n"/>
      <c r="E195" s="276" t="n"/>
      <c r="F195" s="276" t="n"/>
      <c r="G195" s="276" t="n"/>
      <c r="H195" s="276" t="n"/>
      <c r="I195" s="326" t="n"/>
      <c r="J195" s="326" t="n"/>
      <c r="K195" s="276" t="n"/>
      <c r="L195" s="276" t="n"/>
      <c r="M195" s="276" t="n"/>
      <c r="N195" s="277" t="n"/>
    </row>
    <row r="196">
      <c r="A196" s="275" t="n"/>
      <c r="B196" s="276" t="n"/>
      <c r="C196" s="276" t="n"/>
      <c r="D196" s="276" t="n"/>
      <c r="E196" s="276" t="n"/>
      <c r="F196" s="276" t="n"/>
      <c r="G196" s="276" t="n"/>
      <c r="H196" s="276" t="n"/>
      <c r="I196" s="326" t="n"/>
      <c r="J196" s="326" t="n"/>
      <c r="K196" s="276" t="n"/>
      <c r="L196" s="276" t="n"/>
      <c r="M196" s="276" t="n"/>
      <c r="N196" s="277" t="n"/>
    </row>
    <row r="197">
      <c r="A197" s="275" t="n"/>
      <c r="B197" s="276" t="n"/>
      <c r="C197" s="276" t="n"/>
      <c r="D197" s="276" t="n"/>
      <c r="E197" s="276" t="n"/>
      <c r="F197" s="276" t="n"/>
      <c r="G197" s="276" t="n"/>
      <c r="H197" s="276" t="n"/>
      <c r="I197" s="326" t="n"/>
      <c r="J197" s="326" t="n"/>
      <c r="K197" s="276" t="n"/>
      <c r="L197" s="276" t="n"/>
      <c r="M197" s="276" t="n"/>
      <c r="N197" s="277" t="n"/>
    </row>
    <row r="198">
      <c r="A198" s="275" t="n"/>
      <c r="B198" s="276" t="n"/>
      <c r="C198" s="276" t="n"/>
      <c r="D198" s="276" t="n"/>
      <c r="E198" s="276" t="n"/>
      <c r="F198" s="276" t="n"/>
      <c r="G198" s="276" t="n"/>
      <c r="H198" s="276" t="n"/>
      <c r="I198" s="326" t="n"/>
      <c r="J198" s="326" t="n"/>
      <c r="K198" s="276" t="n"/>
      <c r="L198" s="276" t="n"/>
      <c r="M198" s="276" t="n"/>
      <c r="N198" s="277" t="n"/>
    </row>
    <row r="199">
      <c r="A199" s="275" t="n"/>
      <c r="B199" s="276" t="n"/>
      <c r="C199" s="276" t="n"/>
      <c r="D199" s="276" t="n"/>
      <c r="E199" s="276" t="n"/>
      <c r="F199" s="276" t="n"/>
      <c r="G199" s="276" t="n"/>
      <c r="H199" s="276" t="n"/>
      <c r="I199" s="326" t="n"/>
      <c r="J199" s="326" t="n"/>
      <c r="K199" s="276" t="n"/>
      <c r="L199" s="276" t="n"/>
      <c r="M199" s="276" t="n"/>
      <c r="N199" s="277" t="n"/>
    </row>
    <row r="200">
      <c r="A200" s="275" t="n"/>
      <c r="B200" s="276" t="n"/>
      <c r="C200" s="276" t="n"/>
      <c r="D200" s="276" t="n"/>
      <c r="E200" s="276" t="n"/>
      <c r="F200" s="276" t="n"/>
      <c r="G200" s="276" t="n"/>
      <c r="H200" s="276" t="n"/>
      <c r="I200" s="326" t="n"/>
      <c r="J200" s="326" t="n"/>
      <c r="K200" s="276" t="n"/>
      <c r="L200" s="276" t="n"/>
      <c r="M200" s="276" t="n"/>
      <c r="N200" s="277" t="n"/>
    </row>
    <row r="201">
      <c r="A201" s="275" t="n"/>
      <c r="B201" s="276" t="n"/>
      <c r="C201" s="276" t="n"/>
      <c r="D201" s="276" t="n"/>
      <c r="E201" s="276" t="n"/>
      <c r="F201" s="276" t="n"/>
      <c r="G201" s="276" t="n"/>
      <c r="H201" s="276" t="n"/>
      <c r="I201" s="326" t="n"/>
      <c r="J201" s="326" t="n"/>
      <c r="K201" s="276" t="n"/>
      <c r="L201" s="276" t="n"/>
      <c r="M201" s="276" t="n"/>
      <c r="N201" s="277" t="n"/>
    </row>
    <row r="202">
      <c r="A202" s="275" t="n"/>
      <c r="B202" s="276" t="n"/>
      <c r="C202" s="276" t="n"/>
      <c r="D202" s="276" t="n"/>
      <c r="E202" s="276" t="n"/>
      <c r="F202" s="276" t="n"/>
      <c r="G202" s="276" t="n"/>
      <c r="H202" s="276" t="n"/>
      <c r="I202" s="326" t="n"/>
      <c r="J202" s="326" t="n"/>
      <c r="K202" s="276" t="n"/>
      <c r="L202" s="276" t="n"/>
      <c r="M202" s="276" t="n"/>
      <c r="N202" s="277" t="n"/>
    </row>
    <row r="203">
      <c r="A203" s="275" t="n"/>
      <c r="B203" s="276" t="n"/>
      <c r="C203" s="276" t="n"/>
      <c r="D203" s="276" t="n"/>
      <c r="E203" s="276" t="n"/>
      <c r="F203" s="276" t="n"/>
      <c r="G203" s="276" t="n"/>
      <c r="H203" s="276" t="n"/>
      <c r="I203" s="326" t="n"/>
      <c r="J203" s="326" t="n"/>
      <c r="K203" s="276" t="n"/>
      <c r="L203" s="276" t="n"/>
      <c r="M203" s="276" t="n"/>
      <c r="N203" s="277" t="n"/>
    </row>
    <row r="204">
      <c r="A204" s="275" t="n"/>
      <c r="B204" s="276" t="n"/>
      <c r="C204" s="276" t="n"/>
      <c r="D204" s="276" t="n"/>
      <c r="E204" s="276" t="n"/>
      <c r="F204" s="276" t="n"/>
      <c r="G204" s="276" t="n"/>
      <c r="H204" s="276" t="n"/>
      <c r="I204" s="326" t="n"/>
      <c r="J204" s="326" t="n"/>
      <c r="K204" s="276" t="n"/>
      <c r="L204" s="276" t="n"/>
      <c r="M204" s="276" t="n"/>
      <c r="N204" s="277" t="n"/>
    </row>
    <row r="205">
      <c r="A205" s="275" t="n"/>
      <c r="B205" s="276" t="n"/>
      <c r="C205" s="276" t="n"/>
      <c r="D205" s="276" t="n"/>
      <c r="E205" s="276" t="n"/>
      <c r="F205" s="276" t="n"/>
      <c r="G205" s="276" t="n"/>
      <c r="H205" s="276" t="n"/>
      <c r="I205" s="326" t="n"/>
      <c r="J205" s="326" t="n"/>
      <c r="K205" s="276" t="n"/>
      <c r="L205" s="276" t="n"/>
      <c r="M205" s="276" t="n"/>
      <c r="N205" s="277" t="n"/>
    </row>
    <row r="206">
      <c r="A206" s="275" t="n"/>
      <c r="B206" s="276" t="n"/>
      <c r="C206" s="276" t="n"/>
      <c r="D206" s="276" t="n"/>
      <c r="E206" s="276" t="n"/>
      <c r="F206" s="276" t="n"/>
      <c r="G206" s="276" t="n"/>
      <c r="H206" s="276" t="n"/>
      <c r="I206" s="326" t="n"/>
      <c r="J206" s="326" t="n"/>
      <c r="K206" s="276" t="n"/>
      <c r="L206" s="276" t="n"/>
      <c r="M206" s="276" t="n"/>
      <c r="N206" s="277" t="n"/>
    </row>
    <row r="207">
      <c r="A207" s="275" t="n"/>
      <c r="B207" s="276" t="n"/>
      <c r="C207" s="276" t="n"/>
      <c r="D207" s="276" t="n"/>
      <c r="E207" s="276" t="n"/>
      <c r="F207" s="276" t="n"/>
      <c r="G207" s="276" t="n"/>
      <c r="H207" s="276" t="n"/>
      <c r="I207" s="326" t="n"/>
      <c r="J207" s="326" t="n"/>
      <c r="K207" s="276" t="n"/>
      <c r="L207" s="276" t="n"/>
      <c r="M207" s="276" t="n"/>
      <c r="N207" s="277" t="n"/>
    </row>
    <row r="208">
      <c r="A208" s="275" t="n"/>
      <c r="B208" s="276" t="n"/>
      <c r="C208" s="276" t="n"/>
      <c r="D208" s="276" t="n"/>
      <c r="E208" s="276" t="n"/>
      <c r="F208" s="276" t="n"/>
      <c r="G208" s="276" t="n"/>
      <c r="H208" s="276" t="n"/>
      <c r="I208" s="326" t="n"/>
      <c r="J208" s="326" t="n"/>
      <c r="K208" s="276" t="n"/>
      <c r="L208" s="276" t="n"/>
      <c r="M208" s="276" t="n"/>
      <c r="N208" s="277" t="n"/>
    </row>
    <row r="209">
      <c r="A209" s="275" t="n"/>
      <c r="B209" s="276" t="n"/>
      <c r="C209" s="276" t="n"/>
      <c r="D209" s="276" t="n"/>
      <c r="E209" s="276" t="n"/>
      <c r="F209" s="276" t="n"/>
      <c r="G209" s="276" t="n"/>
      <c r="H209" s="276" t="n"/>
      <c r="I209" s="326" t="n"/>
      <c r="J209" s="326" t="n"/>
      <c r="K209" s="276" t="n"/>
      <c r="L209" s="276" t="n"/>
      <c r="M209" s="276" t="n"/>
      <c r="N209" s="277" t="n"/>
    </row>
    <row r="210">
      <c r="A210" s="275" t="n"/>
      <c r="B210" s="276" t="n"/>
      <c r="C210" s="276" t="n"/>
      <c r="D210" s="276" t="n"/>
      <c r="E210" s="276" t="n"/>
      <c r="F210" s="276" t="n"/>
      <c r="G210" s="276" t="n"/>
      <c r="H210" s="276" t="n"/>
      <c r="I210" s="326" t="n"/>
      <c r="J210" s="326" t="n"/>
      <c r="K210" s="276" t="n"/>
      <c r="L210" s="276" t="n"/>
      <c r="M210" s="276" t="n"/>
      <c r="N210" s="277" t="n"/>
    </row>
    <row r="211">
      <c r="A211" s="275" t="n"/>
      <c r="B211" s="276" t="n"/>
      <c r="C211" s="276" t="n"/>
      <c r="D211" s="276" t="n"/>
      <c r="E211" s="276" t="n"/>
      <c r="F211" s="276" t="n"/>
      <c r="G211" s="276" t="n"/>
      <c r="H211" s="276" t="n"/>
      <c r="I211" s="326" t="n"/>
      <c r="J211" s="326" t="n"/>
      <c r="K211" s="276" t="n"/>
      <c r="L211" s="276" t="n"/>
      <c r="M211" s="276" t="n"/>
      <c r="N211" s="277" t="n"/>
    </row>
    <row r="212">
      <c r="A212" s="275" t="n"/>
      <c r="B212" s="276" t="n"/>
      <c r="C212" s="276" t="n"/>
      <c r="D212" s="276" t="n"/>
      <c r="E212" s="276" t="n"/>
      <c r="F212" s="276" t="n"/>
      <c r="G212" s="276" t="n"/>
      <c r="H212" s="276" t="n"/>
      <c r="I212" s="326" t="n"/>
      <c r="J212" s="326" t="n"/>
      <c r="K212" s="276" t="n"/>
      <c r="L212" s="276" t="n"/>
      <c r="M212" s="276" t="n"/>
      <c r="N212" s="277" t="n"/>
    </row>
    <row r="213">
      <c r="A213" s="275" t="n"/>
      <c r="B213" s="276" t="n"/>
      <c r="C213" s="276" t="n"/>
      <c r="D213" s="276" t="n"/>
      <c r="E213" s="276" t="n"/>
      <c r="F213" s="276" t="n"/>
      <c r="G213" s="276" t="n"/>
      <c r="H213" s="276" t="n"/>
      <c r="I213" s="326" t="n"/>
      <c r="J213" s="326" t="n"/>
      <c r="K213" s="276" t="n"/>
      <c r="L213" s="276" t="n"/>
      <c r="M213" s="276" t="n"/>
      <c r="N213" s="277" t="n"/>
    </row>
    <row r="214">
      <c r="A214" s="275" t="n"/>
      <c r="B214" s="276" t="n"/>
      <c r="C214" s="276" t="n"/>
      <c r="D214" s="276" t="n"/>
      <c r="E214" s="276" t="n"/>
      <c r="F214" s="276" t="n"/>
      <c r="G214" s="276" t="n"/>
      <c r="H214" s="276" t="n"/>
      <c r="I214" s="326" t="n"/>
      <c r="J214" s="326" t="n"/>
      <c r="K214" s="276" t="n"/>
      <c r="L214" s="276" t="n"/>
      <c r="M214" s="276" t="n"/>
      <c r="N214" s="277" t="n"/>
    </row>
    <row r="215">
      <c r="A215" s="275" t="n"/>
      <c r="B215" s="276" t="n"/>
      <c r="C215" s="276" t="n"/>
      <c r="D215" s="276" t="n"/>
      <c r="E215" s="276" t="n"/>
      <c r="F215" s="276" t="n"/>
      <c r="G215" s="276" t="n"/>
      <c r="H215" s="276" t="n"/>
      <c r="I215" s="326" t="n"/>
      <c r="J215" s="326" t="n"/>
      <c r="K215" s="276" t="n"/>
      <c r="L215" s="276" t="n"/>
      <c r="M215" s="276" t="n"/>
      <c r="N215" s="277" t="n"/>
    </row>
    <row r="216">
      <c r="A216" s="275" t="n"/>
      <c r="B216" s="276" t="n"/>
      <c r="C216" s="276" t="n"/>
      <c r="D216" s="276" t="n"/>
      <c r="E216" s="276" t="n"/>
      <c r="F216" s="276" t="n"/>
      <c r="G216" s="276" t="n"/>
      <c r="H216" s="276" t="n"/>
      <c r="I216" s="326" t="n"/>
      <c r="J216" s="326" t="n"/>
      <c r="K216" s="276" t="n"/>
      <c r="L216" s="276" t="n"/>
      <c r="M216" s="276" t="n"/>
      <c r="N216" s="277" t="n"/>
    </row>
    <row r="217">
      <c r="A217" s="275" t="n"/>
      <c r="B217" s="276" t="n"/>
      <c r="C217" s="276" t="n"/>
      <c r="D217" s="276" t="n"/>
      <c r="E217" s="276" t="n"/>
      <c r="F217" s="276" t="n"/>
      <c r="G217" s="276" t="n"/>
      <c r="H217" s="276" t="n"/>
      <c r="I217" s="326" t="n"/>
      <c r="J217" s="326" t="n"/>
      <c r="K217" s="276" t="n"/>
      <c r="L217" s="276" t="n"/>
      <c r="M217" s="276" t="n"/>
      <c r="N217" s="277" t="n"/>
    </row>
    <row r="218">
      <c r="A218" s="275" t="n"/>
      <c r="B218" s="276" t="n"/>
      <c r="C218" s="276" t="n"/>
      <c r="D218" s="276" t="n"/>
      <c r="E218" s="276" t="n"/>
      <c r="F218" s="276" t="n"/>
      <c r="G218" s="276" t="n"/>
      <c r="H218" s="276" t="n"/>
      <c r="I218" s="326" t="n"/>
      <c r="J218" s="326" t="n"/>
      <c r="K218" s="276" t="n"/>
      <c r="L218" s="276" t="n"/>
      <c r="M218" s="276" t="n"/>
      <c r="N218" s="277" t="n"/>
    </row>
    <row r="219">
      <c r="A219" s="275" t="n"/>
      <c r="B219" s="276" t="n"/>
      <c r="C219" s="276" t="n"/>
      <c r="D219" s="276" t="n"/>
      <c r="E219" s="276" t="n"/>
      <c r="F219" s="276" t="n"/>
      <c r="G219" s="276" t="n"/>
      <c r="H219" s="276" t="n"/>
      <c r="I219" s="326" t="n"/>
      <c r="J219" s="326" t="n"/>
      <c r="K219" s="276" t="n"/>
      <c r="L219" s="276" t="n"/>
      <c r="M219" s="276" t="n"/>
      <c r="N219" s="277" t="n"/>
    </row>
    <row r="220">
      <c r="A220" s="275" t="n"/>
      <c r="B220" s="276" t="n"/>
      <c r="C220" s="276" t="n"/>
      <c r="D220" s="276" t="n"/>
      <c r="E220" s="276" t="n"/>
      <c r="F220" s="276" t="n"/>
      <c r="G220" s="276" t="n"/>
      <c r="H220" s="276" t="n"/>
      <c r="I220" s="326" t="n"/>
      <c r="J220" s="326" t="n"/>
      <c r="K220" s="276" t="n"/>
      <c r="L220" s="276" t="n"/>
      <c r="M220" s="276" t="n"/>
      <c r="N220" s="277" t="n"/>
    </row>
    <row r="221">
      <c r="A221" s="275" t="n"/>
      <c r="B221" s="276" t="n"/>
      <c r="C221" s="276" t="n"/>
      <c r="D221" s="276" t="n"/>
      <c r="E221" s="276" t="n"/>
      <c r="F221" s="276" t="n"/>
      <c r="G221" s="276" t="n"/>
      <c r="H221" s="276" t="n"/>
      <c r="I221" s="326" t="n"/>
      <c r="J221" s="326" t="n"/>
      <c r="K221" s="276" t="n"/>
      <c r="L221" s="276" t="n"/>
      <c r="M221" s="276" t="n"/>
      <c r="N221" s="277" t="n"/>
    </row>
    <row r="222">
      <c r="A222" s="275" t="n"/>
      <c r="B222" s="276" t="n"/>
      <c r="C222" s="276" t="n"/>
      <c r="D222" s="276" t="n"/>
      <c r="E222" s="276" t="n"/>
      <c r="F222" s="276" t="n"/>
      <c r="G222" s="276" t="n"/>
      <c r="H222" s="276" t="n"/>
      <c r="I222" s="326" t="n"/>
      <c r="J222" s="326" t="n"/>
      <c r="K222" s="276" t="n"/>
      <c r="L222" s="276" t="n"/>
      <c r="M222" s="276" t="n"/>
      <c r="N222" s="277" t="n"/>
    </row>
    <row r="223">
      <c r="A223" s="275" t="n"/>
      <c r="B223" s="276" t="n"/>
      <c r="C223" s="276" t="n"/>
      <c r="D223" s="276" t="n"/>
      <c r="E223" s="276" t="n"/>
      <c r="F223" s="276" t="n"/>
      <c r="G223" s="276" t="n"/>
      <c r="H223" s="276" t="n"/>
      <c r="I223" s="326" t="n"/>
      <c r="J223" s="326" t="n"/>
      <c r="K223" s="276" t="n"/>
      <c r="L223" s="276" t="n"/>
      <c r="M223" s="276" t="n"/>
      <c r="N223" s="277" t="n"/>
    </row>
    <row r="224">
      <c r="A224" s="275" t="n"/>
      <c r="B224" s="276" t="n"/>
      <c r="C224" s="276" t="n"/>
      <c r="D224" s="276" t="n"/>
      <c r="E224" s="276" t="n"/>
      <c r="F224" s="276" t="n"/>
      <c r="G224" s="276" t="n"/>
      <c r="H224" s="276" t="n"/>
      <c r="I224" s="326" t="n"/>
      <c r="J224" s="326" t="n"/>
      <c r="K224" s="276" t="n"/>
      <c r="L224" s="276" t="n"/>
      <c r="M224" s="276" t="n"/>
      <c r="N224" s="277" t="n"/>
    </row>
    <row r="225">
      <c r="A225" s="275" t="n"/>
      <c r="B225" s="276" t="n"/>
      <c r="C225" s="276" t="n"/>
      <c r="D225" s="276" t="n"/>
      <c r="E225" s="276" t="n"/>
      <c r="F225" s="276" t="n"/>
      <c r="G225" s="276" t="n"/>
      <c r="H225" s="276" t="n"/>
      <c r="I225" s="326" t="n"/>
      <c r="J225" s="326" t="n"/>
      <c r="K225" s="276" t="n"/>
      <c r="L225" s="276" t="n"/>
      <c r="M225" s="276" t="n"/>
      <c r="N225" s="277" t="n"/>
    </row>
    <row r="226">
      <c r="A226" s="275" t="n"/>
      <c r="B226" s="276" t="n"/>
      <c r="C226" s="276" t="n"/>
      <c r="D226" s="276" t="n"/>
      <c r="E226" s="276" t="n"/>
      <c r="F226" s="276" t="n"/>
      <c r="G226" s="276" t="n"/>
      <c r="H226" s="276" t="n"/>
      <c r="I226" s="326" t="n"/>
      <c r="J226" s="326" t="n"/>
      <c r="K226" s="276" t="n"/>
      <c r="L226" s="276" t="n"/>
      <c r="M226" s="276" t="n"/>
      <c r="N226" s="277" t="n"/>
    </row>
    <row r="227">
      <c r="A227" s="275" t="n"/>
      <c r="B227" s="276" t="n"/>
      <c r="C227" s="276" t="n"/>
      <c r="D227" s="276" t="n"/>
      <c r="E227" s="276" t="n"/>
      <c r="F227" s="276" t="n"/>
      <c r="G227" s="276" t="n"/>
      <c r="H227" s="276" t="n"/>
      <c r="I227" s="326" t="n"/>
      <c r="J227" s="326" t="n"/>
      <c r="K227" s="276" t="n"/>
      <c r="L227" s="276" t="n"/>
      <c r="M227" s="276" t="n"/>
      <c r="N227" s="277" t="n"/>
    </row>
    <row r="228">
      <c r="A228" s="275" t="n"/>
      <c r="B228" s="276" t="n"/>
      <c r="C228" s="276" t="n"/>
      <c r="D228" s="276" t="n"/>
      <c r="E228" s="276" t="n"/>
      <c r="F228" s="276" t="n"/>
      <c r="G228" s="276" t="n"/>
      <c r="H228" s="276" t="n"/>
      <c r="I228" s="326" t="n"/>
      <c r="J228" s="326" t="n"/>
      <c r="K228" s="276" t="n"/>
      <c r="L228" s="276" t="n"/>
      <c r="M228" s="276" t="n"/>
      <c r="N228" s="277" t="n"/>
    </row>
    <row r="229">
      <c r="A229" s="275" t="n"/>
      <c r="B229" s="276" t="n"/>
      <c r="C229" s="276" t="n"/>
      <c r="D229" s="276" t="n"/>
      <c r="E229" s="276" t="n"/>
      <c r="F229" s="276" t="n"/>
      <c r="G229" s="276" t="n"/>
      <c r="H229" s="276" t="n"/>
      <c r="I229" s="326" t="n"/>
      <c r="J229" s="326" t="n"/>
      <c r="K229" s="276" t="n"/>
      <c r="L229" s="276" t="n"/>
      <c r="M229" s="276" t="n"/>
      <c r="N229" s="277" t="n"/>
    </row>
    <row r="230">
      <c r="A230" s="275" t="n"/>
      <c r="B230" s="276" t="n"/>
      <c r="C230" s="276" t="n"/>
      <c r="D230" s="276" t="n"/>
      <c r="E230" s="276" t="n"/>
      <c r="F230" s="276" t="n"/>
      <c r="G230" s="276" t="n"/>
      <c r="H230" s="276" t="n"/>
      <c r="I230" s="326" t="n"/>
      <c r="J230" s="326" t="n"/>
      <c r="K230" s="276" t="n"/>
      <c r="L230" s="276" t="n"/>
      <c r="M230" s="276" t="n"/>
      <c r="N230" s="277" t="n"/>
    </row>
    <row r="231">
      <c r="A231" s="275" t="n"/>
      <c r="B231" s="276" t="n"/>
      <c r="C231" s="276" t="n"/>
      <c r="D231" s="276" t="n"/>
      <c r="E231" s="276" t="n"/>
      <c r="F231" s="276" t="n"/>
      <c r="G231" s="276" t="n"/>
      <c r="H231" s="276" t="n"/>
      <c r="I231" s="326" t="n"/>
      <c r="J231" s="326" t="n"/>
      <c r="K231" s="276" t="n"/>
      <c r="L231" s="276" t="n"/>
      <c r="M231" s="276" t="n"/>
      <c r="N231" s="277" t="n"/>
    </row>
    <row r="232">
      <c r="A232" s="275" t="n"/>
      <c r="B232" s="276" t="n"/>
      <c r="C232" s="276" t="n"/>
      <c r="D232" s="276" t="n"/>
      <c r="E232" s="276" t="n"/>
      <c r="F232" s="276" t="n"/>
      <c r="G232" s="276" t="n"/>
      <c r="H232" s="276" t="n"/>
      <c r="I232" s="326" t="n"/>
      <c r="J232" s="326" t="n"/>
      <c r="K232" s="276" t="n"/>
      <c r="L232" s="276" t="n"/>
      <c r="M232" s="276" t="n"/>
      <c r="N232" s="277" t="n"/>
    </row>
    <row r="233">
      <c r="A233" s="275" t="n"/>
      <c r="B233" s="276" t="n"/>
      <c r="C233" s="276" t="n"/>
      <c r="D233" s="276" t="n"/>
      <c r="E233" s="276" t="n"/>
      <c r="F233" s="276" t="n"/>
      <c r="G233" s="276" t="n"/>
      <c r="H233" s="276" t="n"/>
      <c r="I233" s="326" t="n"/>
      <c r="J233" s="326" t="n"/>
      <c r="K233" s="276" t="n"/>
      <c r="L233" s="276" t="n"/>
      <c r="M233" s="276" t="n"/>
      <c r="N233" s="277" t="n"/>
    </row>
    <row r="234">
      <c r="A234" s="275" t="n"/>
      <c r="B234" s="276" t="n"/>
      <c r="C234" s="276" t="n"/>
      <c r="D234" s="276" t="n"/>
      <c r="E234" s="276" t="n"/>
      <c r="F234" s="276" t="n"/>
      <c r="G234" s="276" t="n"/>
      <c r="H234" s="276" t="n"/>
      <c r="I234" s="326" t="n"/>
      <c r="J234" s="326" t="n"/>
      <c r="K234" s="276" t="n"/>
      <c r="L234" s="276" t="n"/>
      <c r="M234" s="276" t="n"/>
      <c r="N234" s="277" t="n"/>
    </row>
    <row r="235">
      <c r="A235" s="275" t="n"/>
      <c r="B235" s="276" t="n"/>
      <c r="C235" s="276" t="n"/>
      <c r="D235" s="276" t="n"/>
      <c r="E235" s="276" t="n"/>
      <c r="F235" s="276" t="n"/>
      <c r="G235" s="276" t="n"/>
      <c r="H235" s="276" t="n"/>
      <c r="I235" s="326" t="n"/>
      <c r="J235" s="326" t="n"/>
      <c r="K235" s="276" t="n"/>
      <c r="L235" s="276" t="n"/>
      <c r="M235" s="276" t="n"/>
      <c r="N235" s="277" t="n"/>
    </row>
    <row r="236">
      <c r="A236" s="275" t="n"/>
      <c r="B236" s="276" t="n"/>
      <c r="C236" s="276" t="n"/>
      <c r="D236" s="276" t="n"/>
      <c r="E236" s="276" t="n"/>
      <c r="F236" s="276" t="n"/>
      <c r="G236" s="276" t="n"/>
      <c r="H236" s="276" t="n"/>
      <c r="I236" s="326" t="n"/>
      <c r="J236" s="326" t="n"/>
      <c r="K236" s="276" t="n"/>
      <c r="L236" s="276" t="n"/>
      <c r="M236" s="276" t="n"/>
      <c r="N236" s="277" t="n"/>
    </row>
    <row r="237">
      <c r="A237" s="275" t="n"/>
      <c r="B237" s="276" t="n"/>
      <c r="C237" s="276" t="n"/>
      <c r="D237" s="276" t="n"/>
      <c r="E237" s="276" t="n"/>
      <c r="F237" s="276" t="n"/>
      <c r="G237" s="276" t="n"/>
      <c r="H237" s="276" t="n"/>
      <c r="I237" s="326" t="n"/>
      <c r="J237" s="326" t="n"/>
      <c r="K237" s="276" t="n"/>
      <c r="L237" s="276" t="n"/>
      <c r="M237" s="276" t="n"/>
      <c r="N237" s="277" t="n"/>
    </row>
    <row r="238">
      <c r="A238" s="275" t="n"/>
      <c r="B238" s="276" t="n"/>
      <c r="C238" s="276" t="n"/>
      <c r="D238" s="276" t="n"/>
      <c r="E238" s="276" t="n"/>
      <c r="F238" s="276" t="n"/>
      <c r="G238" s="276" t="n"/>
      <c r="H238" s="276" t="n"/>
      <c r="I238" s="326" t="n"/>
      <c r="J238" s="326" t="n"/>
      <c r="K238" s="276" t="n"/>
      <c r="L238" s="276" t="n"/>
      <c r="M238" s="276" t="n"/>
      <c r="N238" s="277" t="n"/>
    </row>
    <row r="239">
      <c r="A239" s="275" t="n"/>
      <c r="B239" s="276" t="n"/>
      <c r="C239" s="276" t="n"/>
      <c r="D239" s="276" t="n"/>
      <c r="E239" s="276" t="n"/>
      <c r="F239" s="276" t="n"/>
      <c r="G239" s="276" t="n"/>
      <c r="H239" s="276" t="n"/>
      <c r="I239" s="326" t="n"/>
      <c r="J239" s="326" t="n"/>
      <c r="K239" s="276" t="n"/>
      <c r="L239" s="276" t="n"/>
      <c r="M239" s="276" t="n"/>
      <c r="N239" s="277" t="n"/>
    </row>
    <row r="240">
      <c r="A240" s="275" t="n"/>
      <c r="B240" s="276" t="n"/>
      <c r="C240" s="276" t="n"/>
      <c r="D240" s="276" t="n"/>
      <c r="E240" s="276" t="n"/>
      <c r="F240" s="276" t="n"/>
      <c r="G240" s="276" t="n"/>
      <c r="H240" s="276" t="n"/>
      <c r="I240" s="326" t="n"/>
      <c r="J240" s="326" t="n"/>
      <c r="K240" s="276" t="n"/>
      <c r="L240" s="276" t="n"/>
      <c r="M240" s="276" t="n"/>
      <c r="N240" s="277" t="n"/>
    </row>
    <row r="241">
      <c r="A241" s="275" t="n"/>
      <c r="B241" s="276" t="n"/>
      <c r="C241" s="276" t="n"/>
      <c r="D241" s="276" t="n"/>
      <c r="E241" s="276" t="n"/>
      <c r="F241" s="276" t="n"/>
      <c r="G241" s="276" t="n"/>
      <c r="H241" s="276" t="n"/>
      <c r="I241" s="326" t="n"/>
      <c r="J241" s="326" t="n"/>
      <c r="K241" s="276" t="n"/>
      <c r="L241" s="276" t="n"/>
      <c r="M241" s="276" t="n"/>
      <c r="N241" s="277" t="n"/>
    </row>
    <row r="242">
      <c r="A242" s="275" t="n"/>
      <c r="B242" s="276" t="n"/>
      <c r="C242" s="276" t="n"/>
      <c r="D242" s="276" t="n"/>
      <c r="E242" s="276" t="n"/>
      <c r="F242" s="276" t="n"/>
      <c r="G242" s="276" t="n"/>
      <c r="H242" s="276" t="n"/>
      <c r="I242" s="326" t="n"/>
      <c r="J242" s="326" t="n"/>
      <c r="K242" s="276" t="n"/>
      <c r="L242" s="276" t="n"/>
      <c r="M242" s="276" t="n"/>
      <c r="N242" s="277" t="n"/>
    </row>
    <row r="243">
      <c r="A243" s="275" t="n"/>
      <c r="B243" s="276" t="n"/>
      <c r="C243" s="276" t="n"/>
      <c r="D243" s="276" t="n"/>
      <c r="E243" s="276" t="n"/>
      <c r="F243" s="276" t="n"/>
      <c r="G243" s="276" t="n"/>
      <c r="H243" s="276" t="n"/>
      <c r="I243" s="326" t="n"/>
      <c r="J243" s="326" t="n"/>
      <c r="K243" s="276" t="n"/>
      <c r="L243" s="276" t="n"/>
      <c r="M243" s="276" t="n"/>
      <c r="N243" s="277" t="n"/>
    </row>
    <row r="244">
      <c r="A244" s="275" t="n"/>
      <c r="B244" s="276" t="n"/>
      <c r="C244" s="276" t="n"/>
      <c r="D244" s="276" t="n"/>
      <c r="E244" s="276" t="n"/>
      <c r="F244" s="276" t="n"/>
      <c r="G244" s="276" t="n"/>
      <c r="H244" s="276" t="n"/>
      <c r="I244" s="326" t="n"/>
      <c r="J244" s="326" t="n"/>
      <c r="K244" s="276" t="n"/>
      <c r="L244" s="276" t="n"/>
      <c r="M244" s="276" t="n"/>
      <c r="N244" s="277" t="n"/>
    </row>
    <row r="245">
      <c r="A245" s="275" t="n"/>
      <c r="B245" s="276" t="n"/>
      <c r="C245" s="276" t="n"/>
      <c r="D245" s="276" t="n"/>
      <c r="E245" s="276" t="n"/>
      <c r="F245" s="276" t="n"/>
      <c r="G245" s="276" t="n"/>
      <c r="H245" s="276" t="n"/>
      <c r="I245" s="326" t="n"/>
      <c r="J245" s="326" t="n"/>
      <c r="K245" s="276" t="n"/>
      <c r="L245" s="276" t="n"/>
      <c r="M245" s="276" t="n"/>
      <c r="N245" s="277" t="n"/>
    </row>
    <row r="246">
      <c r="A246" s="275" t="n"/>
      <c r="B246" s="276" t="n"/>
      <c r="C246" s="276" t="n"/>
      <c r="D246" s="276" t="n"/>
      <c r="E246" s="276" t="n"/>
      <c r="F246" s="276" t="n"/>
      <c r="G246" s="276" t="n"/>
      <c r="H246" s="276" t="n"/>
      <c r="I246" s="326" t="n"/>
      <c r="J246" s="326" t="n"/>
      <c r="K246" s="276" t="n"/>
      <c r="L246" s="276" t="n"/>
      <c r="M246" s="276" t="n"/>
      <c r="N246" s="277" t="n"/>
    </row>
    <row r="247">
      <c r="A247" s="275" t="n"/>
      <c r="B247" s="276" t="n"/>
      <c r="C247" s="276" t="n"/>
      <c r="D247" s="276" t="n"/>
      <c r="E247" s="276" t="n"/>
      <c r="F247" s="276" t="n"/>
      <c r="G247" s="276" t="n"/>
      <c r="H247" s="276" t="n"/>
      <c r="I247" s="326" t="n"/>
      <c r="J247" s="326" t="n"/>
      <c r="K247" s="276" t="n"/>
      <c r="L247" s="276" t="n"/>
      <c r="M247" s="276" t="n"/>
      <c r="N247" s="277" t="n"/>
    </row>
    <row r="248">
      <c r="A248" s="275" t="n"/>
      <c r="B248" s="276" t="n"/>
      <c r="C248" s="276" t="n"/>
      <c r="D248" s="276" t="n"/>
      <c r="E248" s="276" t="n"/>
      <c r="F248" s="276" t="n"/>
      <c r="G248" s="276" t="n"/>
      <c r="H248" s="276" t="n"/>
      <c r="I248" s="326" t="n"/>
      <c r="J248" s="326" t="n"/>
      <c r="K248" s="276" t="n"/>
      <c r="L248" s="276" t="n"/>
      <c r="M248" s="276" t="n"/>
      <c r="N248" s="277" t="n"/>
    </row>
    <row r="249">
      <c r="A249" s="275" t="n"/>
      <c r="B249" s="276" t="n"/>
      <c r="C249" s="276" t="n"/>
      <c r="D249" s="276" t="n"/>
      <c r="E249" s="276" t="n"/>
      <c r="F249" s="276" t="n"/>
      <c r="G249" s="276" t="n"/>
      <c r="H249" s="276" t="n"/>
      <c r="I249" s="326" t="n"/>
      <c r="J249" s="326" t="n"/>
      <c r="K249" s="276" t="n"/>
      <c r="L249" s="276" t="n"/>
      <c r="M249" s="276" t="n"/>
      <c r="N249" s="277" t="n"/>
    </row>
    <row r="250">
      <c r="A250" s="278" t="n"/>
      <c r="B250" s="279" t="n"/>
      <c r="C250" s="279" t="n"/>
      <c r="D250" s="279" t="n"/>
      <c r="E250" s="279" t="n"/>
      <c r="F250" s="279" t="n"/>
      <c r="G250" s="279" t="n"/>
      <c r="H250" s="279" t="n"/>
      <c r="I250" s="327" t="n"/>
      <c r="J250" s="327" t="n"/>
      <c r="K250" s="279" t="n"/>
      <c r="L250" s="279" t="n"/>
      <c r="M250" s="279" t="n"/>
      <c r="N250" s="280" t="n"/>
    </row>
  </sheetData>
  <mergeCells count="4">
    <mergeCell ref="A5:N5"/>
    <mergeCell ref="A2:L2"/>
    <mergeCell ref="A1:L1"/>
    <mergeCell ref="A15:N15"/>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30"/>
  <sheetViews>
    <sheetView showGridLines="0" workbookViewId="0">
      <selection activeCell="A1" sqref="A1"/>
    </sheetView>
  </sheetViews>
  <sheetFormatPr baseColWidth="8" defaultRowHeight="15"/>
  <cols>
    <col width="28.88999938964844" customWidth="1" style="242" min="1" max="1"/>
    <col width="12.22000026702881" customWidth="1" style="242" min="2" max="2"/>
    <col width="16.67000007629395" customWidth="1" style="242" min="3" max="3"/>
    <col width="46.66999816894531" customWidth="1" style="242" min="4" max="4"/>
    <col width="15.5600004196167" customWidth="1" style="242" min="5" max="5"/>
    <col width="37.77999877929688" customWidth="1" style="242" min="6" max="6"/>
  </cols>
  <sheetData>
    <row r="1" ht="27" customHeight="1" s="242">
      <c r="A1" s="365" t="inlineStr">
        <is>
          <t>07 — Frequency Assumptions</t>
        </is>
      </c>
    </row>
    <row r="2" ht="34" customHeight="1" s="242">
      <c r="A2" s="247" t="inlineStr">
        <is>
          <t>Best-estimate campaign frequency remains separate from conditional attack-path success and prudence.</t>
        </is>
      </c>
    </row>
    <row r="15">
      <c r="A15" s="373" t="inlineStr">
        <is>
          <t>Parameter</t>
        </is>
      </c>
      <c r="B15" s="374" t="inlineStr">
        <is>
          <t>Value</t>
        </is>
      </c>
      <c r="C15" s="374" t="inlineStr">
        <is>
          <t>Unit</t>
        </is>
      </c>
      <c r="D15" s="374" t="inlineStr">
        <is>
          <t>How used</t>
        </is>
      </c>
      <c r="E15" s="374" t="inlineStr">
        <is>
          <t>Status</t>
        </is>
      </c>
      <c r="F15" s="375" t="inlineStr">
        <is>
          <t>Source / rationale</t>
        </is>
      </c>
    </row>
    <row r="16">
      <c r="A16" s="272" t="inlineStr">
        <is>
          <t>ORGANISATION_EXPOSURE_MULT</t>
        </is>
      </c>
      <c r="B16" s="344" t="n">
        <v>1</v>
      </c>
      <c r="C16" s="273" t="inlineStr">
        <is>
          <t>multiplier</t>
        </is>
      </c>
      <c r="D16" s="273" t="inlineStr">
        <is>
          <t>Scales reference material campaign rate before actor/scenario/route allocation</t>
        </is>
      </c>
      <c r="E16" s="273" t="inlineStr">
        <is>
          <t>User input</t>
        </is>
      </c>
      <c r="F16" s="274" t="inlineStr">
        <is>
          <t>Organisation context; avoid duplicating sheet 04 route factors</t>
        </is>
      </c>
    </row>
    <row r="17">
      <c r="A17" s="275" t="inlineStr">
        <is>
          <t>GEOGRAPHY_THREAT_MULT</t>
        </is>
      </c>
      <c r="B17" s="345" t="n">
        <v>1</v>
      </c>
      <c r="C17" s="276" t="inlineStr">
        <is>
          <t>multiplier</t>
        </is>
      </c>
      <c r="D17" s="276" t="inlineStr">
        <is>
          <t>Scales campaign rate for geography-specific threat context</t>
        </is>
      </c>
      <c r="E17" s="276" t="inlineStr">
        <is>
          <t>User input</t>
        </is>
      </c>
      <c r="F17" s="277" t="inlineStr">
        <is>
          <t>Use 1.00 unless evidence supports adjustment</t>
        </is>
      </c>
    </row>
    <row r="18">
      <c r="A18" s="275" t="inlineStr">
        <is>
          <t>PRUDENCE_FREQUENCY_FACTOR</t>
        </is>
      </c>
      <c r="B18" s="345" t="n">
        <v>1.25</v>
      </c>
      <c r="C18" s="276" t="inlineStr">
        <is>
          <t>multiplier</t>
        </is>
      </c>
      <c r="D18" s="276" t="inlineStr">
        <is>
          <t>Applied only to prudent frequency view</t>
        </is>
      </c>
      <c r="E18" s="276" t="inlineStr">
        <is>
          <t>User input</t>
        </is>
      </c>
      <c r="F18" s="277" t="inlineStr">
        <is>
          <t>Separate named prudence margin</t>
        </is>
      </c>
    </row>
    <row r="19">
      <c r="A19" s="275" t="inlineStr">
        <is>
          <t>NATION_STATE_ACTIVITY</t>
        </is>
      </c>
      <c r="B19" s="345" t="n">
        <v>1</v>
      </c>
      <c r="C19" s="276" t="inlineStr">
        <is>
          <t>multiplier</t>
        </is>
      </c>
      <c r="D19" s="276" t="inlineStr">
        <is>
          <t>Actor-specific activity adjustment</t>
        </is>
      </c>
      <c r="E19" s="276" t="inlineStr">
        <is>
          <t>User input</t>
        </is>
      </c>
      <c r="F19" s="277" t="inlineStr">
        <is>
          <t>Client threat intelligence</t>
        </is>
      </c>
    </row>
    <row r="20">
      <c r="A20" s="275" t="inlineStr">
        <is>
          <t>CYBERCRIMINAL_ACTIVITY</t>
        </is>
      </c>
      <c r="B20" s="345" t="n">
        <v>1</v>
      </c>
      <c r="C20" s="276" t="inlineStr">
        <is>
          <t>multiplier</t>
        </is>
      </c>
      <c r="D20" s="276" t="inlineStr">
        <is>
          <t>Actor-specific activity adjustment</t>
        </is>
      </c>
      <c r="E20" s="276" t="inlineStr">
        <is>
          <t>User input</t>
        </is>
      </c>
      <c r="F20" s="277" t="inlineStr">
        <is>
          <t>Client threat intelligence</t>
        </is>
      </c>
    </row>
    <row r="21">
      <c r="A21" s="275" t="inlineStr">
        <is>
          <t>MALICIOUS_INSIDER_ACTIVITY</t>
        </is>
      </c>
      <c r="B21" s="345" t="n">
        <v>1</v>
      </c>
      <c r="C21" s="276" t="inlineStr">
        <is>
          <t>multiplier</t>
        </is>
      </c>
      <c r="D21" s="276" t="inlineStr">
        <is>
          <t>Actor-specific activity adjustment</t>
        </is>
      </c>
      <c r="E21" s="276" t="inlineStr">
        <is>
          <t>User input</t>
        </is>
      </c>
      <c r="F21" s="277" t="inlineStr">
        <is>
          <t>Client threat intelligence</t>
        </is>
      </c>
    </row>
    <row r="22">
      <c r="A22" s="278" t="inlineStr">
        <is>
          <t>HACKTIVIST_ACTIVITY</t>
        </is>
      </c>
      <c r="B22" s="376" t="n">
        <v>1</v>
      </c>
      <c r="C22" s="279" t="inlineStr">
        <is>
          <t>multiplier</t>
        </is>
      </c>
      <c r="D22" s="279" t="inlineStr">
        <is>
          <t>Actor-specific activity adjustment</t>
        </is>
      </c>
      <c r="E22" s="279" t="inlineStr">
        <is>
          <t>User input</t>
        </is>
      </c>
      <c r="F22" s="280" t="inlineStr">
        <is>
          <t>Client threat intelligence</t>
        </is>
      </c>
    </row>
    <row r="25" ht="22" customHeight="1" s="242">
      <c r="A25" s="366" t="inlineStr">
        <is>
          <t>RESOLVED PACK FREQUENCY</t>
        </is>
      </c>
    </row>
    <row r="26">
      <c r="A26" s="272" t="inlineStr">
        <is>
          <t>REFERENCE_CAMPAIGNS_PER_YEAR</t>
        </is>
      </c>
      <c r="B26" s="273" t="n">
        <v>1</v>
      </c>
      <c r="C26" s="273" t="inlineStr">
        <is>
          <t>campaigns/org-year</t>
        </is>
      </c>
      <c r="D26" s="273" t="inlineStr">
        <is>
          <t>Loaded from selected sector pack</t>
        </is>
      </c>
      <c r="E26" s="273" t="inlineStr">
        <is>
          <t>Engine output</t>
        </is>
      </c>
      <c r="F26" s="274" t="inlineStr">
        <is>
          <t>Development working prior</t>
        </is>
      </c>
    </row>
    <row r="27">
      <c r="A27" s="275" t="inlineStr">
        <is>
          <t>PACK_WEIGHTED_ACTIVITY</t>
        </is>
      </c>
      <c r="B27" s="276" t="n">
        <v>1</v>
      </c>
      <c r="C27" s="276" t="inlineStr">
        <is>
          <t>multiplier</t>
        </is>
      </c>
      <c r="D27" s="276" t="inlineStr">
        <is>
          <t>Σ(actor weight × actor activity)</t>
        </is>
      </c>
      <c r="E27" s="276" t="inlineStr">
        <is>
          <t>Engine output</t>
        </is>
      </c>
      <c r="F27" s="277" t="inlineStr">
        <is>
          <t>Calculation</t>
        </is>
      </c>
    </row>
    <row r="28">
      <c r="A28" s="275" t="inlineStr">
        <is>
          <t>BEST_ESTIMATE_LAMBDA</t>
        </is>
      </c>
      <c r="B28" s="276" t="n">
        <v>1</v>
      </c>
      <c r="C28" s="276" t="inlineStr">
        <is>
          <t>campaigns/org-year</t>
        </is>
      </c>
      <c r="D28" s="276" t="inlineStr">
        <is>
          <t>Reference × organisation × geography × weighted activity</t>
        </is>
      </c>
      <c r="E28" s="276" t="inlineStr">
        <is>
          <t>Engine output</t>
        </is>
      </c>
      <c r="F28" s="277" t="inlineStr">
        <is>
          <t>Calculation</t>
        </is>
      </c>
    </row>
    <row r="29">
      <c r="A29" s="275" t="inlineStr">
        <is>
          <t>PRUDENT_LAMBDA</t>
        </is>
      </c>
      <c r="B29" s="276" t="n">
        <v>1.25</v>
      </c>
      <c r="C29" s="276" t="inlineStr">
        <is>
          <t>campaigns/org-year</t>
        </is>
      </c>
      <c r="D29" s="276" t="inlineStr">
        <is>
          <t>Best estimate × prudence factor</t>
        </is>
      </c>
      <c r="E29" s="276" t="inlineStr">
        <is>
          <t>Engine output</t>
        </is>
      </c>
      <c r="F29" s="277" t="inlineStr">
        <is>
          <t>Calculation</t>
        </is>
      </c>
    </row>
    <row r="30">
      <c r="A30" s="278" t="inlineStr">
        <is>
          <t>ACTIVE_ROUTE_OPPORTUNITY</t>
        </is>
      </c>
      <c r="B30" s="279" t="n">
        <v>1</v>
      </c>
      <c r="C30" s="279" t="inlineStr">
        <is>
          <t>multiplier</t>
        </is>
      </c>
      <c r="D30" s="279" t="inlineStr">
        <is>
          <t>Resulting route-level exposure effect</t>
        </is>
      </c>
      <c r="E30" s="279" t="inlineStr">
        <is>
          <t>Engine output</t>
        </is>
      </c>
      <c r="F30" s="280" t="inlineStr">
        <is>
          <t>Calculation</t>
        </is>
      </c>
    </row>
  </sheetData>
  <mergeCells count="3">
    <mergeCell ref="A2:L2"/>
    <mergeCell ref="A1:L1"/>
    <mergeCell ref="A25:F25"/>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19"/>
  <sheetViews>
    <sheetView showGridLines="0" workbookViewId="0">
      <selection activeCell="A1" sqref="A1"/>
    </sheetView>
  </sheetViews>
  <sheetFormatPr baseColWidth="8" defaultRowHeight="15"/>
  <cols>
    <col width="26.67000007629395" customWidth="1" style="242" min="1" max="1"/>
    <col width="24.44000053405762" customWidth="1" style="242" min="2" max="2"/>
    <col width="13.32999992370605" customWidth="1" style="242" min="3" max="3"/>
    <col width="36.66999816894531" customWidth="1" style="242" min="4" max="4"/>
    <col width="14.4399995803833" customWidth="1" style="242" min="5" max="5"/>
    <col width="45.56000137329102" customWidth="1" style="242" min="6" max="6"/>
  </cols>
  <sheetData>
    <row r="1" ht="27" customHeight="1" s="242">
      <c r="A1" s="365" t="inlineStr">
        <is>
          <t>08 — Tail-Risk and Reporting Settings</t>
        </is>
      </c>
    </row>
    <row r="2" ht="34" customHeight="1" s="242">
      <c r="A2" s="247" t="inlineStr">
        <is>
          <t>User-selected tail metric and insurance retention; both best-estimate and prudent views remain available.</t>
        </is>
      </c>
    </row>
    <row r="15">
      <c r="A15" s="373" t="inlineStr">
        <is>
          <t>Parameter</t>
        </is>
      </c>
      <c r="B15" s="374" t="inlineStr">
        <is>
          <t>Value</t>
        </is>
      </c>
      <c r="C15" s="374" t="inlineStr">
        <is>
          <t>Type</t>
        </is>
      </c>
      <c r="D15" s="374" t="inlineStr">
        <is>
          <t>How used</t>
        </is>
      </c>
      <c r="E15" s="374" t="inlineStr">
        <is>
          <t>Status</t>
        </is>
      </c>
      <c r="F15" s="375" t="inlineStr">
        <is>
          <t>Notes</t>
        </is>
      </c>
    </row>
    <row r="16">
      <c r="A16" s="272" t="inlineStr">
        <is>
          <t>REPORTING_VIEW</t>
        </is>
      </c>
      <c r="B16" s="325" t="inlineStr">
        <is>
          <t>Prudent</t>
        </is>
      </c>
      <c r="C16" s="273" t="inlineStr">
        <is>
          <t>Dropdown</t>
        </is>
      </c>
      <c r="D16" s="273" t="inlineStr">
        <is>
          <t>Detailed-sheet presentation</t>
        </is>
      </c>
      <c r="E16" s="273" t="inlineStr">
        <is>
          <t>User input</t>
        </is>
      </c>
      <c r="F16" s="274" t="inlineStr">
        <is>
          <t>Executive summary always shows both views</t>
        </is>
      </c>
    </row>
    <row r="17">
      <c r="A17" s="275" t="inlineStr">
        <is>
          <t>TVAR_SELECTION</t>
        </is>
      </c>
      <c r="B17" s="326" t="inlineStr">
        <is>
          <t>TVaR 99%</t>
        </is>
      </c>
      <c r="C17" s="276" t="inlineStr">
        <is>
          <t>Dropdown</t>
        </is>
      </c>
      <c r="D17" s="276" t="inlineStr">
        <is>
          <t>Selected tail metric</t>
        </is>
      </c>
      <c r="E17" s="276" t="inlineStr">
        <is>
          <t>User input</t>
        </is>
      </c>
      <c r="F17" s="277" t="inlineStr">
        <is>
          <t>Does not alter the simulated distribution</t>
        </is>
      </c>
    </row>
    <row r="18">
      <c r="A18" s="275" t="inlineStr">
        <is>
          <t>INSURANCE_RETENTION</t>
        </is>
      </c>
      <c r="B18" s="328" t="n">
        <v>0</v>
      </c>
      <c r="C18" s="276" t="inlineStr">
        <is>
          <t>Currency</t>
        </is>
      </c>
      <c r="D18" s="276" t="inlineStr">
        <is>
          <t>Tail loss above retention</t>
        </is>
      </c>
      <c r="E18" s="276" t="inlineStr">
        <is>
          <t>User input</t>
        </is>
      </c>
      <c r="F18" s="277" t="inlineStr">
        <is>
          <t>Indicative risk-transfer view only</t>
        </is>
      </c>
    </row>
    <row r="19">
      <c r="A19" s="278" t="inlineStr">
        <is>
          <t>LEC_RETURN_PERIODS</t>
        </is>
      </c>
      <c r="B19" s="327" t="inlineStr">
        <is>
          <t>2,5,10,20,25,50,100,200,250,500</t>
        </is>
      </c>
      <c r="C19" s="279" t="inlineStr">
        <is>
          <t>Text</t>
        </is>
      </c>
      <c r="D19" s="279" t="inlineStr">
        <is>
          <t>AEP/OEP curve points</t>
        </is>
      </c>
      <c r="E19" s="279" t="inlineStr">
        <is>
          <t>Model setting</t>
        </is>
      </c>
      <c r="F19" s="280" t="inlineStr">
        <is>
          <t>Fixed engine-supported list</t>
        </is>
      </c>
    </row>
  </sheetData>
  <mergeCells count="2">
    <mergeCell ref="A2:L2"/>
    <mergeCell ref="A1:L1"/>
  </mergeCells>
  <dataValidations count="2">
    <dataValidation sqref="B16" showDropDown="0" showInputMessage="0" showErrorMessage="0" allowBlank="0" type="list">
      <formula1>"Best Estimate,Prudent"</formula1>
    </dataValidation>
    <dataValidation sqref="B17" showDropDown="0" showInputMessage="0" showErrorMessage="0" allowBlank="0" type="list">
      <formula1>"TVaR 95%,TVaR 99%"</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40"/>
  <sheetViews>
    <sheetView showGridLines="0" workbookViewId="0">
      <selection activeCell="A1" sqref="A1"/>
    </sheetView>
  </sheetViews>
  <sheetFormatPr baseColWidth="8" defaultRowHeight="15"/>
  <cols>
    <col width="24.44000053405762" customWidth="1" style="242" min="1" max="1"/>
    <col width="12.22000026702881" customWidth="1" style="242" min="2" max="2"/>
    <col width="11.10999965667725" customWidth="1" style="242" min="3" max="3"/>
    <col width="52.22000122070312" customWidth="1" style="242" min="4" max="4"/>
    <col width="17.78000068664551" customWidth="1" style="242" min="5" max="5"/>
    <col width="31.11000061035156" customWidth="1" style="242" min="6" max="6"/>
    <col width="13.32999992370605" customWidth="1" style="242" min="7" max="7"/>
    <col width="47.77999877929688" customWidth="1" style="242" min="8" max="8"/>
  </cols>
  <sheetData>
    <row r="1" ht="27" customHeight="1" s="242">
      <c r="A1" s="365" t="inlineStr">
        <is>
          <t>09 — Sector Pack Registry</t>
        </is>
      </c>
    </row>
    <row r="2" ht="34" customHeight="1" s="242">
      <c r="A2" s="247" t="inlineStr">
        <is>
          <t>The selected sector resolves to one separate workbook. Add future sectors by copying the pack schema and registering the file here.</t>
        </is>
      </c>
    </row>
    <row r="15">
      <c r="A15" s="373" t="inlineStr">
        <is>
          <t>Sector</t>
        </is>
      </c>
      <c r="B15" s="374" t="inlineStr">
        <is>
          <t>Pack ID</t>
        </is>
      </c>
      <c r="C15" s="374" t="inlineStr">
        <is>
          <t>Pack version</t>
        </is>
      </c>
      <c r="D15" s="374" t="inlineStr">
        <is>
          <t>Relative file path</t>
        </is>
      </c>
      <c r="E15" s="374" t="inlineStr">
        <is>
          <t>Schema version</t>
        </is>
      </c>
      <c r="F15" s="374" t="inlineStr">
        <is>
          <t>Status</t>
        </is>
      </c>
      <c r="G15" s="374" t="inlineStr">
        <is>
          <t>Minimum engine</t>
        </is>
      </c>
      <c r="H15" s="375" t="inlineStr">
        <is>
          <t>Description</t>
        </is>
      </c>
    </row>
    <row r="16">
      <c r="A16" s="383" t="inlineStr">
        <is>
          <t>Financial Services</t>
        </is>
      </c>
      <c r="B16" s="325" t="inlineStr">
        <is>
          <t>FS-v1.1.1</t>
        </is>
      </c>
      <c r="C16" s="325" t="inlineStr">
        <is>
          <t>1.1.1</t>
        </is>
      </c>
      <c r="D16" s="325" t="inlineStr">
        <is>
          <t>sector_packs/IT/IT_CRQ_Sector_Pack_Financial_Services_v1_1_1.xlsx</t>
        </is>
      </c>
      <c r="E16" s="325" t="inlineStr">
        <is>
          <t>CRQ-PACK-1.1</t>
        </is>
      </c>
      <c r="F16" s="325" t="inlineStr">
        <is>
          <t>Development — working priors; calibration required</t>
        </is>
      </c>
      <c r="G16" s="325" t="inlineStr">
        <is>
          <t>1.1.1</t>
        </is>
      </c>
      <c r="H16" s="384" t="inlineStr">
        <is>
          <t>Broad Financial Services pack; no granular banking/insurance sub-packs.</t>
        </is>
      </c>
    </row>
    <row r="17">
      <c r="A17" s="385" t="n"/>
      <c r="B17" s="326" t="n"/>
      <c r="C17" s="326" t="n"/>
      <c r="D17" s="326" t="n"/>
      <c r="E17" s="326" t="n"/>
      <c r="F17" s="326" t="n"/>
      <c r="G17" s="326" t="n"/>
      <c r="H17" s="386" t="n"/>
    </row>
    <row r="18">
      <c r="A18" s="385" t="n"/>
      <c r="B18" s="326" t="n"/>
      <c r="C18" s="326" t="n"/>
      <c r="D18" s="326" t="n"/>
      <c r="E18" s="326" t="n"/>
      <c r="F18" s="326" t="n"/>
      <c r="G18" s="326" t="n"/>
      <c r="H18" s="386" t="n"/>
    </row>
    <row r="19">
      <c r="A19" s="385" t="n"/>
      <c r="B19" s="326" t="n"/>
      <c r="C19" s="326" t="n"/>
      <c r="D19" s="326" t="n"/>
      <c r="E19" s="326" t="n"/>
      <c r="F19" s="326" t="n"/>
      <c r="G19" s="326" t="n"/>
      <c r="H19" s="386" t="n"/>
    </row>
    <row r="20">
      <c r="A20" s="385" t="n"/>
      <c r="B20" s="326" t="n"/>
      <c r="C20" s="326" t="n"/>
      <c r="D20" s="326" t="n"/>
      <c r="E20" s="326" t="n"/>
      <c r="F20" s="326" t="n"/>
      <c r="G20" s="326" t="n"/>
      <c r="H20" s="386" t="n"/>
    </row>
    <row r="21">
      <c r="A21" s="385" t="n"/>
      <c r="B21" s="326" t="n"/>
      <c r="C21" s="326" t="n"/>
      <c r="D21" s="326" t="n"/>
      <c r="E21" s="326" t="n"/>
      <c r="F21" s="326" t="n"/>
      <c r="G21" s="326" t="n"/>
      <c r="H21" s="386" t="n"/>
    </row>
    <row r="22">
      <c r="A22" s="385" t="n"/>
      <c r="B22" s="326" t="n"/>
      <c r="C22" s="326" t="n"/>
      <c r="D22" s="326" t="n"/>
      <c r="E22" s="326" t="n"/>
      <c r="F22" s="326" t="n"/>
      <c r="G22" s="326" t="n"/>
      <c r="H22" s="386" t="n"/>
    </row>
    <row r="23">
      <c r="A23" s="385" t="n"/>
      <c r="B23" s="326" t="n"/>
      <c r="C23" s="326" t="n"/>
      <c r="D23" s="326" t="n"/>
      <c r="E23" s="326" t="n"/>
      <c r="F23" s="326" t="n"/>
      <c r="G23" s="326" t="n"/>
      <c r="H23" s="386" t="n"/>
    </row>
    <row r="24">
      <c r="A24" s="385" t="n"/>
      <c r="B24" s="326" t="n"/>
      <c r="C24" s="326" t="n"/>
      <c r="D24" s="326" t="n"/>
      <c r="E24" s="326" t="n"/>
      <c r="F24" s="326" t="n"/>
      <c r="G24" s="326" t="n"/>
      <c r="H24" s="386" t="n"/>
    </row>
    <row r="25">
      <c r="A25" s="385" t="n"/>
      <c r="B25" s="326" t="n"/>
      <c r="C25" s="326" t="n"/>
      <c r="D25" s="326" t="n"/>
      <c r="E25" s="326" t="n"/>
      <c r="F25" s="326" t="n"/>
      <c r="G25" s="326" t="n"/>
      <c r="H25" s="386" t="n"/>
    </row>
    <row r="26">
      <c r="A26" s="385" t="n"/>
      <c r="B26" s="326" t="n"/>
      <c r="C26" s="326" t="n"/>
      <c r="D26" s="326" t="n"/>
      <c r="E26" s="326" t="n"/>
      <c r="F26" s="326" t="n"/>
      <c r="G26" s="326" t="n"/>
      <c r="H26" s="386" t="n"/>
    </row>
    <row r="27">
      <c r="A27" s="385" t="n"/>
      <c r="B27" s="326" t="n"/>
      <c r="C27" s="326" t="n"/>
      <c r="D27" s="326" t="n"/>
      <c r="E27" s="326" t="n"/>
      <c r="F27" s="326" t="n"/>
      <c r="G27" s="326" t="n"/>
      <c r="H27" s="386" t="n"/>
    </row>
    <row r="28">
      <c r="A28" s="385" t="n"/>
      <c r="B28" s="326" t="n"/>
      <c r="C28" s="326" t="n"/>
      <c r="D28" s="326" t="n"/>
      <c r="E28" s="326" t="n"/>
      <c r="F28" s="326" t="n"/>
      <c r="G28" s="326" t="n"/>
      <c r="H28" s="386" t="n"/>
    </row>
    <row r="29">
      <c r="A29" s="385" t="n"/>
      <c r="B29" s="326" t="n"/>
      <c r="C29" s="326" t="n"/>
      <c r="D29" s="326" t="n"/>
      <c r="E29" s="326" t="n"/>
      <c r="F29" s="326" t="n"/>
      <c r="G29" s="326" t="n"/>
      <c r="H29" s="386" t="n"/>
    </row>
    <row r="30">
      <c r="A30" s="385" t="n"/>
      <c r="B30" s="326" t="n"/>
      <c r="C30" s="326" t="n"/>
      <c r="D30" s="326" t="n"/>
      <c r="E30" s="326" t="n"/>
      <c r="F30" s="326" t="n"/>
      <c r="G30" s="326" t="n"/>
      <c r="H30" s="386" t="n"/>
    </row>
    <row r="31">
      <c r="A31" s="385" t="n"/>
      <c r="B31" s="326" t="n"/>
      <c r="C31" s="326" t="n"/>
      <c r="D31" s="326" t="n"/>
      <c r="E31" s="326" t="n"/>
      <c r="F31" s="326" t="n"/>
      <c r="G31" s="326" t="n"/>
      <c r="H31" s="386" t="n"/>
    </row>
    <row r="32">
      <c r="A32" s="385" t="n"/>
      <c r="B32" s="326" t="n"/>
      <c r="C32" s="326" t="n"/>
      <c r="D32" s="326" t="n"/>
      <c r="E32" s="326" t="n"/>
      <c r="F32" s="326" t="n"/>
      <c r="G32" s="326" t="n"/>
      <c r="H32" s="386" t="n"/>
    </row>
    <row r="33">
      <c r="A33" s="385" t="n"/>
      <c r="B33" s="326" t="n"/>
      <c r="C33" s="326" t="n"/>
      <c r="D33" s="326" t="n"/>
      <c r="E33" s="326" t="n"/>
      <c r="F33" s="326" t="n"/>
      <c r="G33" s="326" t="n"/>
      <c r="H33" s="386" t="n"/>
    </row>
    <row r="34">
      <c r="A34" s="385" t="n"/>
      <c r="B34" s="326" t="n"/>
      <c r="C34" s="326" t="n"/>
      <c r="D34" s="326" t="n"/>
      <c r="E34" s="326" t="n"/>
      <c r="F34" s="326" t="n"/>
      <c r="G34" s="326" t="n"/>
      <c r="H34" s="386" t="n"/>
    </row>
    <row r="35">
      <c r="A35" s="385" t="n"/>
      <c r="B35" s="326" t="n"/>
      <c r="C35" s="326" t="n"/>
      <c r="D35" s="326" t="n"/>
      <c r="E35" s="326" t="n"/>
      <c r="F35" s="326" t="n"/>
      <c r="G35" s="326" t="n"/>
      <c r="H35" s="386" t="n"/>
    </row>
    <row r="36">
      <c r="A36" s="385" t="n"/>
      <c r="B36" s="326" t="n"/>
      <c r="C36" s="326" t="n"/>
      <c r="D36" s="326" t="n"/>
      <c r="E36" s="326" t="n"/>
      <c r="F36" s="326" t="n"/>
      <c r="G36" s="326" t="n"/>
      <c r="H36" s="386" t="n"/>
    </row>
    <row r="37">
      <c r="A37" s="385" t="n"/>
      <c r="B37" s="326" t="n"/>
      <c r="C37" s="326" t="n"/>
      <c r="D37" s="326" t="n"/>
      <c r="E37" s="326" t="n"/>
      <c r="F37" s="326" t="n"/>
      <c r="G37" s="326" t="n"/>
      <c r="H37" s="386" t="n"/>
    </row>
    <row r="38">
      <c r="A38" s="385" t="n"/>
      <c r="B38" s="326" t="n"/>
      <c r="C38" s="326" t="n"/>
      <c r="D38" s="326" t="n"/>
      <c r="E38" s="326" t="n"/>
      <c r="F38" s="326" t="n"/>
      <c r="G38" s="326" t="n"/>
      <c r="H38" s="386" t="n"/>
    </row>
    <row r="39">
      <c r="A39" s="385" t="n"/>
      <c r="B39" s="326" t="n"/>
      <c r="C39" s="326" t="n"/>
      <c r="D39" s="326" t="n"/>
      <c r="E39" s="326" t="n"/>
      <c r="F39" s="326" t="n"/>
      <c r="G39" s="326" t="n"/>
      <c r="H39" s="386" t="n"/>
    </row>
    <row r="40">
      <c r="A40" s="387" t="n"/>
      <c r="B40" s="327" t="n"/>
      <c r="C40" s="327" t="n"/>
      <c r="D40" s="327" t="n"/>
      <c r="E40" s="327" t="n"/>
      <c r="F40" s="327" t="n"/>
      <c r="G40" s="327" t="n"/>
      <c r="H40" s="388" t="n"/>
    </row>
  </sheetData>
  <mergeCells count="2">
    <mergeCell ref="A2:L2"/>
    <mergeCell ref="A1:L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P800"/>
  <sheetViews>
    <sheetView showGridLines="0" workbookViewId="0">
      <selection activeCell="A1" sqref="A1"/>
    </sheetView>
  </sheetViews>
  <sheetFormatPr baseColWidth="8" defaultRowHeight="15"/>
  <sheetData>
    <row r="1" ht="27" customHeight="1" s="242">
      <c r="A1" s="390" t="inlineStr">
        <is>
          <t>10 — TTP Relevance Calculation</t>
        </is>
      </c>
    </row>
    <row r="2" ht="34" customHeight="1" s="242">
      <c r="A2" s="247" t="inlineStr">
        <is>
          <t>Actor × scenario × route × TTP applicability and control barrier audit.</t>
        </is>
      </c>
    </row>
    <row r="5">
      <c r="A5" s="333" t="inlineStr">
        <is>
          <t>ENGINE OUTPUT — do not edit. Run the Python engine after changing inputs or sector packs.</t>
        </is>
      </c>
    </row>
    <row r="15">
      <c r="A15" s="235" t="inlineStr">
        <is>
          <t>Threat actor</t>
        </is>
      </c>
      <c r="B15" s="236" t="inlineStr">
        <is>
          <t>Scenario</t>
        </is>
      </c>
      <c r="C15" s="236" t="inlineStr">
        <is>
          <t>Route</t>
        </is>
      </c>
      <c r="D15" s="236" t="inlineStr">
        <is>
          <t>TTP ID</t>
        </is>
      </c>
      <c r="E15" s="236" t="inlineStr">
        <is>
          <t>Technique</t>
        </is>
      </c>
      <c r="F15" s="236" t="inlineStr">
        <is>
          <t>Stage</t>
        </is>
      </c>
      <c r="G15" s="236" t="inlineStr">
        <is>
          <t>Actor applicable</t>
        </is>
      </c>
      <c r="H15" s="236" t="inlineStr">
        <is>
          <t>Scenario applicable</t>
        </is>
      </c>
      <c r="I15" s="236" t="inlineStr">
        <is>
          <t>Relevant</t>
        </is>
      </c>
      <c r="J15" s="236" t="inlineStr">
        <is>
          <t>Weight</t>
        </is>
      </c>
      <c r="K15" s="236" t="inlineStr">
        <is>
          <t>Actual barrier</t>
        </is>
      </c>
      <c r="L15" s="236" t="inlineStr">
        <is>
          <t>Reference barrier</t>
        </is>
      </c>
      <c r="M15" s="236" t="inlineStr">
        <is>
          <t>Platforms</t>
        </is>
      </c>
      <c r="N15" s="236" t="inlineStr">
        <is>
          <t>MITRE URL</t>
        </is>
      </c>
      <c r="O15" s="273" t="n"/>
      <c r="P15" s="274" t="n"/>
    </row>
    <row r="16">
      <c r="A16" s="275" t="inlineStr">
        <is>
          <t>Nation-state</t>
        </is>
      </c>
      <c r="B16" s="276" t="inlineStr">
        <is>
          <t>Critical business-service disruption</t>
        </is>
      </c>
      <c r="C16" s="276" t="inlineStr">
        <is>
          <t>Identity and credential compromise</t>
        </is>
      </c>
      <c r="D16" s="276" t="inlineStr">
        <is>
          <t>T1566</t>
        </is>
      </c>
      <c r="E16" s="276" t="inlineStr">
        <is>
          <t>Phishing</t>
        </is>
      </c>
      <c r="F16" s="276" t="inlineStr">
        <is>
          <t>S1</t>
        </is>
      </c>
      <c r="G16" s="276" t="b">
        <v>1</v>
      </c>
      <c r="H16" s="276" t="b">
        <v>1</v>
      </c>
      <c r="I16" s="276" t="b">
        <v>1</v>
      </c>
      <c r="J16" s="276" t="n">
        <v>1</v>
      </c>
      <c r="K16" s="276" t="n">
        <v>0.20625</v>
      </c>
      <c r="L16" s="276" t="n">
        <v>0.20625</v>
      </c>
      <c r="M16" s="276" t="inlineStr">
        <is>
          <t>Windows; SaaS; Office Suite</t>
        </is>
      </c>
      <c r="N16" s="276" t="inlineStr">
        <is>
          <t>https://attack.mitre.org/techniques/T1566/</t>
        </is>
      </c>
      <c r="O16" s="276" t="n"/>
      <c r="P16" s="277" t="n"/>
    </row>
    <row r="17">
      <c r="A17" s="275" t="inlineStr">
        <is>
          <t>Nation-state</t>
        </is>
      </c>
      <c r="B17" s="276" t="inlineStr">
        <is>
          <t>Critical business-service disruption</t>
        </is>
      </c>
      <c r="C17" s="276" t="inlineStr">
        <is>
          <t>Identity and credential compromise</t>
        </is>
      </c>
      <c r="D17" s="276" t="inlineStr">
        <is>
          <t>T1078</t>
        </is>
      </c>
      <c r="E17" s="276" t="inlineStr">
        <is>
          <t>Valid Accounts</t>
        </is>
      </c>
      <c r="F17" s="276" t="inlineStr">
        <is>
          <t>S1</t>
        </is>
      </c>
      <c r="G17" s="276" t="b">
        <v>1</v>
      </c>
      <c r="H17" s="276" t="b">
        <v>1</v>
      </c>
      <c r="I17" s="276" t="b">
        <v>1</v>
      </c>
      <c r="J17" s="276" t="n">
        <v>1</v>
      </c>
      <c r="K17" s="276" t="n">
        <v>0.272109375</v>
      </c>
      <c r="L17" s="276" t="n">
        <v>0.272109375</v>
      </c>
      <c r="M17" s="276" t="inlineStr">
        <is>
          <t>Identity Provider; SaaS; IaaS; Windows</t>
        </is>
      </c>
      <c r="N17" s="276" t="inlineStr">
        <is>
          <t>https://attack.mitre.org/techniques/T1078/</t>
        </is>
      </c>
      <c r="O17" s="276" t="n"/>
      <c r="P17" s="277" t="n"/>
    </row>
    <row r="18">
      <c r="A18" s="275" t="inlineStr">
        <is>
          <t>Nation-state</t>
        </is>
      </c>
      <c r="B18" s="276" t="inlineStr">
        <is>
          <t>Critical business-service disruption</t>
        </is>
      </c>
      <c r="C18" s="276" t="inlineStr">
        <is>
          <t>Identity and credential compromise</t>
        </is>
      </c>
      <c r="D18" s="276" t="inlineStr">
        <is>
          <t>T1110</t>
        </is>
      </c>
      <c r="E18" s="276" t="inlineStr">
        <is>
          <t>Brute Force</t>
        </is>
      </c>
      <c r="F18" s="276" t="inlineStr">
        <is>
          <t>S1</t>
        </is>
      </c>
      <c r="G18" s="276" t="b">
        <v>1</v>
      </c>
      <c r="H18" s="276" t="b">
        <v>1</v>
      </c>
      <c r="I18" s="276" t="b">
        <v>1</v>
      </c>
      <c r="J18" s="276" t="n">
        <v>0.7</v>
      </c>
      <c r="K18" s="276" t="n">
        <v>0.24375</v>
      </c>
      <c r="L18" s="276" t="n">
        <v>0.24375</v>
      </c>
      <c r="M18" s="276" t="inlineStr">
        <is>
          <t>Identity Provider; SaaS; Windows</t>
        </is>
      </c>
      <c r="N18" s="276" t="inlineStr">
        <is>
          <t>https://attack.mitre.org/techniques/T1110/</t>
        </is>
      </c>
      <c r="O18" s="276" t="n"/>
      <c r="P18" s="277" t="n"/>
    </row>
    <row r="19">
      <c r="A19" s="275" t="inlineStr">
        <is>
          <t>Nation-state</t>
        </is>
      </c>
      <c r="B19" s="276" t="inlineStr">
        <is>
          <t>Critical business-service disruption</t>
        </is>
      </c>
      <c r="C19" s="276" t="inlineStr">
        <is>
          <t>Identity and credential compromise</t>
        </is>
      </c>
      <c r="D19" s="276" t="inlineStr">
        <is>
          <t>T1098</t>
        </is>
      </c>
      <c r="E19" s="276" t="inlineStr">
        <is>
          <t>Account Manipulation</t>
        </is>
      </c>
      <c r="F19" s="276" t="inlineStr">
        <is>
          <t>S3</t>
        </is>
      </c>
      <c r="G19" s="276" t="b">
        <v>1</v>
      </c>
      <c r="H19" s="276" t="b">
        <v>1</v>
      </c>
      <c r="I19" s="276" t="b">
        <v>1</v>
      </c>
      <c r="J19" s="276" t="n">
        <v>0.7</v>
      </c>
      <c r="K19" s="276" t="n">
        <v>0.2477547340393066</v>
      </c>
      <c r="L19" s="276" t="n">
        <v>0.2477547340393066</v>
      </c>
      <c r="M19" s="276" t="inlineStr">
        <is>
          <t>Identity Provider; SaaS; Windows</t>
        </is>
      </c>
      <c r="N19" s="276" t="inlineStr">
        <is>
          <t>https://attack.mitre.org/techniques/T1098/</t>
        </is>
      </c>
      <c r="O19" s="276" t="n"/>
      <c r="P19" s="277" t="n"/>
    </row>
    <row r="20">
      <c r="A20" s="275" t="inlineStr">
        <is>
          <t>Nation-state</t>
        </is>
      </c>
      <c r="B20" s="276" t="inlineStr">
        <is>
          <t>Critical business-service disruption</t>
        </is>
      </c>
      <c r="C20" s="276" t="inlineStr">
        <is>
          <t>Identity and credential compromise</t>
        </is>
      </c>
      <c r="D20" s="276" t="inlineStr">
        <is>
          <t>T1087</t>
        </is>
      </c>
      <c r="E20" s="276" t="inlineStr">
        <is>
          <t>Account Discovery</t>
        </is>
      </c>
      <c r="F20" s="276" t="inlineStr">
        <is>
          <t>S4</t>
        </is>
      </c>
      <c r="G20" s="276" t="b">
        <v>1</v>
      </c>
      <c r="H20" s="276" t="b">
        <v>1</v>
      </c>
      <c r="I20" s="276" t="b">
        <v>1</v>
      </c>
      <c r="J20" s="276" t="n">
        <v>0.6</v>
      </c>
      <c r="K20" s="276" t="n">
        <v>0</v>
      </c>
      <c r="L20" s="276" t="n">
        <v>0</v>
      </c>
      <c r="M20" s="276" t="inlineStr">
        <is>
          <t>Identity Provider; SaaS; Windows</t>
        </is>
      </c>
      <c r="N20" s="276" t="inlineStr">
        <is>
          <t>https://attack.mitre.org/techniques/T1087/</t>
        </is>
      </c>
      <c r="O20" s="276" t="n"/>
      <c r="P20" s="277" t="n"/>
    </row>
    <row r="21">
      <c r="A21" s="275" t="inlineStr">
        <is>
          <t>Nation-state</t>
        </is>
      </c>
      <c r="B21" s="276" t="inlineStr">
        <is>
          <t>Critical business-service disruption</t>
        </is>
      </c>
      <c r="C21" s="276" t="inlineStr">
        <is>
          <t>Identity and credential compromise</t>
        </is>
      </c>
      <c r="D21" s="276" t="inlineStr">
        <is>
          <t>T1213</t>
        </is>
      </c>
      <c r="E21" s="276" t="inlineStr">
        <is>
          <t>Data from Information Repositories</t>
        </is>
      </c>
      <c r="F21" s="276" t="inlineStr">
        <is>
          <t>S4</t>
        </is>
      </c>
      <c r="G21" s="276" t="b">
        <v>1</v>
      </c>
      <c r="H21" s="276" t="b">
        <v>0</v>
      </c>
      <c r="I21" s="276" t="b">
        <v>0</v>
      </c>
      <c r="J21" s="276" t="n">
        <v>0.8</v>
      </c>
      <c r="K21" s="276" t="n">
        <v>0.177890625</v>
      </c>
      <c r="L21" s="276" t="n">
        <v>0.177890625</v>
      </c>
      <c r="M21" s="276" t="inlineStr">
        <is>
          <t>SaaS; Office Suite; Windows</t>
        </is>
      </c>
      <c r="N21" s="276" t="inlineStr">
        <is>
          <t>https://attack.mitre.org/techniques/T1213/</t>
        </is>
      </c>
      <c r="O21" s="276" t="n"/>
      <c r="P21" s="277" t="n"/>
    </row>
    <row r="22">
      <c r="A22" s="275" t="inlineStr">
        <is>
          <t>Nation-state</t>
        </is>
      </c>
      <c r="B22" s="276" t="inlineStr">
        <is>
          <t>Critical business-service disruption</t>
        </is>
      </c>
      <c r="C22" s="276" t="inlineStr">
        <is>
          <t>Identity and credential compromise</t>
        </is>
      </c>
      <c r="D22" s="276" t="inlineStr">
        <is>
          <t>T1567</t>
        </is>
      </c>
      <c r="E22" s="276" t="inlineStr">
        <is>
          <t>Exfiltration Over Web Service</t>
        </is>
      </c>
      <c r="F22" s="276" t="inlineStr">
        <is>
          <t>S5</t>
        </is>
      </c>
      <c r="G22" s="276" t="b">
        <v>1</v>
      </c>
      <c r="H22" s="276" t="b">
        <v>0</v>
      </c>
      <c r="I22" s="276" t="b">
        <v>0</v>
      </c>
      <c r="J22" s="276" t="n">
        <v>0.7</v>
      </c>
      <c r="K22" s="276" t="n">
        <v>0.20625</v>
      </c>
      <c r="L22" s="276" t="n">
        <v>0.20625</v>
      </c>
      <c r="M22" s="276" t="inlineStr">
        <is>
          <t>SaaS; Office Suite</t>
        </is>
      </c>
      <c r="N22" s="276" t="inlineStr">
        <is>
          <t>https://attack.mitre.org/techniques/T1567/</t>
        </is>
      </c>
      <c r="O22" s="276" t="n"/>
      <c r="P22" s="277" t="n"/>
    </row>
    <row r="23">
      <c r="A23" s="275" t="inlineStr">
        <is>
          <t>Nation-state</t>
        </is>
      </c>
      <c r="B23" s="276" t="inlineStr">
        <is>
          <t>Critical business-service disruption</t>
        </is>
      </c>
      <c r="C23" s="276" t="inlineStr">
        <is>
          <t>Identity and credential compromise</t>
        </is>
      </c>
      <c r="D23" s="276" t="inlineStr">
        <is>
          <t>T1657</t>
        </is>
      </c>
      <c r="E23" s="276" t="inlineStr">
        <is>
          <t>Financial Theft</t>
        </is>
      </c>
      <c r="F23" s="276" t="inlineStr">
        <is>
          <t>S5</t>
        </is>
      </c>
      <c r="G23" s="276" t="b">
        <v>1</v>
      </c>
      <c r="H23" s="276" t="b">
        <v>0</v>
      </c>
      <c r="I23" s="276" t="b">
        <v>0</v>
      </c>
      <c r="J23" s="276" t="n">
        <v>0.8</v>
      </c>
      <c r="K23" s="276" t="n">
        <v>0.275654296875</v>
      </c>
      <c r="L23" s="276" t="n">
        <v>0.275654296875</v>
      </c>
      <c r="M23" s="276" t="inlineStr">
        <is>
          <t>SaaS; Office Suite; Identity Provider</t>
        </is>
      </c>
      <c r="N23" s="276" t="inlineStr">
        <is>
          <t>https://attack.mitre.org/techniques/T1657/</t>
        </is>
      </c>
      <c r="O23" s="276" t="n"/>
      <c r="P23" s="277" t="n"/>
    </row>
    <row r="24">
      <c r="A24" s="275" t="inlineStr">
        <is>
          <t>Nation-state</t>
        </is>
      </c>
      <c r="B24" s="276" t="inlineStr">
        <is>
          <t>Critical business-service disruption</t>
        </is>
      </c>
      <c r="C24" s="276" t="inlineStr">
        <is>
          <t>Identity and credential compromise</t>
        </is>
      </c>
      <c r="D24" s="276" t="inlineStr">
        <is>
          <t>T1565</t>
        </is>
      </c>
      <c r="E24" s="276" t="inlineStr">
        <is>
          <t>Data Manipulation</t>
        </is>
      </c>
      <c r="F24" s="276" t="inlineStr">
        <is>
          <t>S5</t>
        </is>
      </c>
      <c r="G24" s="276" t="b">
        <v>1</v>
      </c>
      <c r="H24" s="276" t="b">
        <v>1</v>
      </c>
      <c r="I24" s="276" t="b">
        <v>1</v>
      </c>
      <c r="J24" s="276" t="n">
        <v>0.5</v>
      </c>
      <c r="K24" s="276" t="n">
        <v>0.2206064987182617</v>
      </c>
      <c r="L24" s="276" t="n">
        <v>0.2206064987182617</v>
      </c>
      <c r="M24" s="276" t="inlineStr">
        <is>
          <t>SaaS; Databases; Windows</t>
        </is>
      </c>
      <c r="N24" s="276" t="inlineStr">
        <is>
          <t>https://attack.mitre.org/techniques/T1565/</t>
        </is>
      </c>
      <c r="O24" s="276" t="n"/>
      <c r="P24" s="277" t="n"/>
    </row>
    <row r="25">
      <c r="A25" s="275" t="inlineStr">
        <is>
          <t>Nation-state</t>
        </is>
      </c>
      <c r="B25" s="276" t="inlineStr">
        <is>
          <t>Critical business-service disruption</t>
        </is>
      </c>
      <c r="C25" s="276" t="inlineStr">
        <is>
          <t>Identity and credential compromise</t>
        </is>
      </c>
      <c r="D25" s="276" t="inlineStr">
        <is>
          <t>T1486</t>
        </is>
      </c>
      <c r="E25" s="276" t="inlineStr">
        <is>
          <t>Data Encrypted for Impact</t>
        </is>
      </c>
      <c r="F25" s="276" t="inlineStr">
        <is>
          <t>S5</t>
        </is>
      </c>
      <c r="G25" s="276" t="b">
        <v>1</v>
      </c>
      <c r="H25" s="276" t="b">
        <v>1</v>
      </c>
      <c r="I25" s="276" t="b">
        <v>1</v>
      </c>
      <c r="J25" s="276" t="n">
        <v>0.7</v>
      </c>
      <c r="K25" s="276" t="n">
        <v>0.16875</v>
      </c>
      <c r="L25" s="276" t="n">
        <v>0.16875</v>
      </c>
      <c r="M25" s="276" t="inlineStr">
        <is>
          <t>Windows; Linux; IaaS</t>
        </is>
      </c>
      <c r="N25" s="276" t="inlineStr">
        <is>
          <t>https://attack.mitre.org/techniques/T1486/</t>
        </is>
      </c>
      <c r="O25" s="276" t="n"/>
      <c r="P25" s="277" t="n"/>
    </row>
    <row r="26">
      <c r="A26" s="275" t="inlineStr">
        <is>
          <t>Nation-state</t>
        </is>
      </c>
      <c r="B26" s="276" t="inlineStr">
        <is>
          <t>Critical business-service disruption</t>
        </is>
      </c>
      <c r="C26" s="276" t="inlineStr">
        <is>
          <t>Identity and credential compromise</t>
        </is>
      </c>
      <c r="D26" s="276" t="inlineStr">
        <is>
          <t>T1490</t>
        </is>
      </c>
      <c r="E26" s="276" t="inlineStr">
        <is>
          <t>Inhibit System Recovery</t>
        </is>
      </c>
      <c r="F26" s="276" t="inlineStr">
        <is>
          <t>S5</t>
        </is>
      </c>
      <c r="G26" s="276" t="b">
        <v>1</v>
      </c>
      <c r="H26" s="276" t="b">
        <v>1</v>
      </c>
      <c r="I26" s="276" t="b">
        <v>1</v>
      </c>
      <c r="J26" s="276" t="n">
        <v>0.6</v>
      </c>
      <c r="K26" s="276" t="n">
        <v>0</v>
      </c>
      <c r="L26" s="276" t="n">
        <v>0</v>
      </c>
      <c r="M26" s="276" t="inlineStr">
        <is>
          <t>Windows; Linux; IaaS</t>
        </is>
      </c>
      <c r="N26" s="276" t="inlineStr">
        <is>
          <t>https://attack.mitre.org/techniques/T1490/</t>
        </is>
      </c>
      <c r="O26" s="276" t="n"/>
      <c r="P26" s="277" t="n"/>
    </row>
    <row r="27">
      <c r="A27" s="275" t="inlineStr">
        <is>
          <t>Nation-state</t>
        </is>
      </c>
      <c r="B27" s="276" t="inlineStr">
        <is>
          <t>Critical business-service disruption</t>
        </is>
      </c>
      <c r="C27" s="276" t="inlineStr">
        <is>
          <t>User endpoint and social engineering</t>
        </is>
      </c>
      <c r="D27" s="276" t="inlineStr">
        <is>
          <t>T1566</t>
        </is>
      </c>
      <c r="E27" s="276" t="inlineStr">
        <is>
          <t>Phishing</t>
        </is>
      </c>
      <c r="F27" s="276" t="inlineStr">
        <is>
          <t>S1</t>
        </is>
      </c>
      <c r="G27" s="276" t="b">
        <v>1</v>
      </c>
      <c r="H27" s="276" t="b">
        <v>1</v>
      </c>
      <c r="I27" s="276" t="b">
        <v>1</v>
      </c>
      <c r="J27" s="276" t="n">
        <v>1</v>
      </c>
      <c r="K27" s="276" t="n">
        <v>0.20625</v>
      </c>
      <c r="L27" s="276" t="n">
        <v>0.20625</v>
      </c>
      <c r="M27" s="276" t="inlineStr">
        <is>
          <t>Windows; SaaS; Office Suite</t>
        </is>
      </c>
      <c r="N27" s="276" t="inlineStr">
        <is>
          <t>https://attack.mitre.org/techniques/T1566/</t>
        </is>
      </c>
      <c r="O27" s="276" t="n"/>
      <c r="P27" s="277" t="n"/>
    </row>
    <row r="28">
      <c r="A28" s="275" t="inlineStr">
        <is>
          <t>Nation-state</t>
        </is>
      </c>
      <c r="B28" s="276" t="inlineStr">
        <is>
          <t>Critical business-service disruption</t>
        </is>
      </c>
      <c r="C28" s="276" t="inlineStr">
        <is>
          <t>User endpoint and social engineering</t>
        </is>
      </c>
      <c r="D28" s="276" t="inlineStr">
        <is>
          <t>T1203</t>
        </is>
      </c>
      <c r="E28" s="276" t="inlineStr">
        <is>
          <t>Exploitation for Client Execution</t>
        </is>
      </c>
      <c r="F28" s="276" t="inlineStr">
        <is>
          <t>S2</t>
        </is>
      </c>
      <c r="G28" s="276" t="b">
        <v>1</v>
      </c>
      <c r="H28" s="276" t="b">
        <v>1</v>
      </c>
      <c r="I28" s="276" t="b">
        <v>1</v>
      </c>
      <c r="J28" s="276" t="n">
        <v>0.8</v>
      </c>
      <c r="K28" s="276" t="n">
        <v>0.2404920959472656</v>
      </c>
      <c r="L28" s="276" t="n">
        <v>0.2404920959472656</v>
      </c>
      <c r="M28" s="276" t="inlineStr">
        <is>
          <t>Windows; macOS; Linux</t>
        </is>
      </c>
      <c r="N28" s="276" t="inlineStr">
        <is>
          <t>https://attack.mitre.org/techniques/T1203/</t>
        </is>
      </c>
      <c r="O28" s="276" t="n"/>
      <c r="P28" s="277" t="n"/>
    </row>
    <row r="29">
      <c r="A29" s="275" t="inlineStr">
        <is>
          <t>Nation-state</t>
        </is>
      </c>
      <c r="B29" s="276" t="inlineStr">
        <is>
          <t>Critical business-service disruption</t>
        </is>
      </c>
      <c r="C29" s="276" t="inlineStr">
        <is>
          <t>User endpoint and social engineering</t>
        </is>
      </c>
      <c r="D29" s="276" t="inlineStr">
        <is>
          <t>T1059</t>
        </is>
      </c>
      <c r="E29" s="276" t="inlineStr">
        <is>
          <t>Command and Scripting Interpreter</t>
        </is>
      </c>
      <c r="F29" s="276" t="inlineStr">
        <is>
          <t>S2</t>
        </is>
      </c>
      <c r="G29" s="276" t="b">
        <v>1</v>
      </c>
      <c r="H29" s="276" t="b">
        <v>1</v>
      </c>
      <c r="I29" s="276" t="b">
        <v>1</v>
      </c>
      <c r="J29" s="276" t="n">
        <v>0.9</v>
      </c>
      <c r="K29" s="276" t="n">
        <v>0.1875</v>
      </c>
      <c r="L29" s="276" t="n">
        <v>0.1875</v>
      </c>
      <c r="M29" s="276" t="inlineStr">
        <is>
          <t>Windows; macOS; Linux; IaaS</t>
        </is>
      </c>
      <c r="N29" s="276" t="inlineStr">
        <is>
          <t>https://attack.mitre.org/techniques/T1059/</t>
        </is>
      </c>
      <c r="O29" s="276" t="n"/>
      <c r="P29" s="277" t="n"/>
    </row>
    <row r="30">
      <c r="A30" s="275" t="inlineStr">
        <is>
          <t>Nation-state</t>
        </is>
      </c>
      <c r="B30" s="276" t="inlineStr">
        <is>
          <t>Critical business-service disruption</t>
        </is>
      </c>
      <c r="C30" s="276" t="inlineStr">
        <is>
          <t>User endpoint and social engineering</t>
        </is>
      </c>
      <c r="D30" s="276" t="inlineStr">
        <is>
          <t>T1068</t>
        </is>
      </c>
      <c r="E30" s="276" t="inlineStr">
        <is>
          <t>Exploitation for Privilege Escalation</t>
        </is>
      </c>
      <c r="F30" s="276" t="inlineStr">
        <is>
          <t>S3</t>
        </is>
      </c>
      <c r="G30" s="276" t="b">
        <v>1</v>
      </c>
      <c r="H30" s="276" t="b">
        <v>1</v>
      </c>
      <c r="I30" s="276" t="b">
        <v>1</v>
      </c>
      <c r="J30" s="276" t="n">
        <v>0.7</v>
      </c>
      <c r="K30" s="276" t="n">
        <v>0.2094165115356445</v>
      </c>
      <c r="L30" s="276" t="n">
        <v>0.2094165115356445</v>
      </c>
      <c r="M30" s="276" t="inlineStr">
        <is>
          <t>Windows; macOS; Linux</t>
        </is>
      </c>
      <c r="N30" s="276" t="inlineStr">
        <is>
          <t>https://attack.mitre.org/techniques/T1068/</t>
        </is>
      </c>
      <c r="O30" s="276" t="n"/>
      <c r="P30" s="277" t="n"/>
    </row>
    <row r="31">
      <c r="A31" s="275" t="inlineStr">
        <is>
          <t>Nation-state</t>
        </is>
      </c>
      <c r="B31" s="276" t="inlineStr">
        <is>
          <t>Critical business-service disruption</t>
        </is>
      </c>
      <c r="C31" s="276" t="inlineStr">
        <is>
          <t>User endpoint and social engineering</t>
        </is>
      </c>
      <c r="D31" s="276" t="inlineStr">
        <is>
          <t>T1003</t>
        </is>
      </c>
      <c r="E31" s="276" t="inlineStr">
        <is>
          <t>OS Credential Dumping</t>
        </is>
      </c>
      <c r="F31" s="276" t="inlineStr">
        <is>
          <t>S3</t>
        </is>
      </c>
      <c r="G31" s="276" t="b">
        <v>1</v>
      </c>
      <c r="H31" s="276" t="b">
        <v>1</v>
      </c>
      <c r="I31" s="276" t="b">
        <v>1</v>
      </c>
      <c r="J31" s="276" t="n">
        <v>0.8</v>
      </c>
      <c r="K31" s="276" t="n">
        <v>0.232294921875</v>
      </c>
      <c r="L31" s="276" t="n">
        <v>0.232294921875</v>
      </c>
      <c r="M31" s="276" t="inlineStr">
        <is>
          <t>Windows; Linux; macOS</t>
        </is>
      </c>
      <c r="N31" s="276" t="inlineStr">
        <is>
          <t>https://attack.mitre.org/techniques/T1003/</t>
        </is>
      </c>
      <c r="O31" s="276" t="n"/>
      <c r="P31" s="277" t="n"/>
    </row>
    <row r="32">
      <c r="A32" s="275" t="inlineStr">
        <is>
          <t>Nation-state</t>
        </is>
      </c>
      <c r="B32" s="276" t="inlineStr">
        <is>
          <t>Critical business-service disruption</t>
        </is>
      </c>
      <c r="C32" s="276" t="inlineStr">
        <is>
          <t>User endpoint and social engineering</t>
        </is>
      </c>
      <c r="D32" s="276" t="inlineStr">
        <is>
          <t>T1046</t>
        </is>
      </c>
      <c r="E32" s="276" t="inlineStr">
        <is>
          <t>Network Service Discovery</t>
        </is>
      </c>
      <c r="F32" s="276" t="inlineStr">
        <is>
          <t>S4</t>
        </is>
      </c>
      <c r="G32" s="276" t="b">
        <v>1</v>
      </c>
      <c r="H32" s="276" t="b">
        <v>1</v>
      </c>
      <c r="I32" s="276" t="b">
        <v>1</v>
      </c>
      <c r="J32" s="276" t="n">
        <v>0.6</v>
      </c>
      <c r="K32" s="276" t="n">
        <v>0.16875</v>
      </c>
      <c r="L32" s="276" t="n">
        <v>0.16875</v>
      </c>
      <c r="M32" s="276" t="inlineStr">
        <is>
          <t>Network Devices; Windows; Linux</t>
        </is>
      </c>
      <c r="N32" s="276" t="inlineStr">
        <is>
          <t>https://attack.mitre.org/techniques/T1046/</t>
        </is>
      </c>
      <c r="O32" s="276" t="n"/>
      <c r="P32" s="277" t="n"/>
    </row>
    <row r="33">
      <c r="A33" s="275" t="inlineStr">
        <is>
          <t>Nation-state</t>
        </is>
      </c>
      <c r="B33" s="276" t="inlineStr">
        <is>
          <t>Critical business-service disruption</t>
        </is>
      </c>
      <c r="C33" s="276" t="inlineStr">
        <is>
          <t>User endpoint and social engineering</t>
        </is>
      </c>
      <c r="D33" s="276" t="inlineStr">
        <is>
          <t>T1021</t>
        </is>
      </c>
      <c r="E33" s="276" t="inlineStr">
        <is>
          <t>Remote Services</t>
        </is>
      </c>
      <c r="F33" s="276" t="inlineStr">
        <is>
          <t>S4</t>
        </is>
      </c>
      <c r="G33" s="276" t="b">
        <v>1</v>
      </c>
      <c r="H33" s="276" t="b">
        <v>1</v>
      </c>
      <c r="I33" s="276" t="b">
        <v>1</v>
      </c>
      <c r="J33" s="276" t="n">
        <v>0.8</v>
      </c>
      <c r="K33" s="276" t="n">
        <v>0.1875</v>
      </c>
      <c r="L33" s="276" t="n">
        <v>0.1875</v>
      </c>
      <c r="M33" s="276" t="inlineStr">
        <is>
          <t>Windows; Linux; Network Devices</t>
        </is>
      </c>
      <c r="N33" s="276" t="inlineStr">
        <is>
          <t>https://attack.mitre.org/techniques/T1021/</t>
        </is>
      </c>
      <c r="O33" s="276" t="n"/>
      <c r="P33" s="277" t="n"/>
    </row>
    <row r="34">
      <c r="A34" s="275" t="inlineStr">
        <is>
          <t>Nation-state</t>
        </is>
      </c>
      <c r="B34" s="276" t="inlineStr">
        <is>
          <t>Critical business-service disruption</t>
        </is>
      </c>
      <c r="C34" s="276" t="inlineStr">
        <is>
          <t>User endpoint and social engineering</t>
        </is>
      </c>
      <c r="D34" s="276" t="inlineStr">
        <is>
          <t>T1213</t>
        </is>
      </c>
      <c r="E34" s="276" t="inlineStr">
        <is>
          <t>Data from Information Repositories</t>
        </is>
      </c>
      <c r="F34" s="276" t="inlineStr">
        <is>
          <t>S4</t>
        </is>
      </c>
      <c r="G34" s="276" t="b">
        <v>1</v>
      </c>
      <c r="H34" s="276" t="b">
        <v>0</v>
      </c>
      <c r="I34" s="276" t="b">
        <v>0</v>
      </c>
      <c r="J34" s="276" t="n">
        <v>0.7</v>
      </c>
      <c r="K34" s="276" t="n">
        <v>0.177890625</v>
      </c>
      <c r="L34" s="276" t="n">
        <v>0.177890625</v>
      </c>
      <c r="M34" s="276" t="inlineStr">
        <is>
          <t>SaaS; Office Suite; Windows</t>
        </is>
      </c>
      <c r="N34" s="276" t="inlineStr">
        <is>
          <t>https://attack.mitre.org/techniques/T1213/</t>
        </is>
      </c>
      <c r="O34" s="276" t="n"/>
      <c r="P34" s="277" t="n"/>
    </row>
    <row r="35">
      <c r="A35" s="275" t="inlineStr">
        <is>
          <t>Nation-state</t>
        </is>
      </c>
      <c r="B35" s="276" t="inlineStr">
        <is>
          <t>Critical business-service disruption</t>
        </is>
      </c>
      <c r="C35" s="276" t="inlineStr">
        <is>
          <t>User endpoint and social engineering</t>
        </is>
      </c>
      <c r="D35" s="276" t="inlineStr">
        <is>
          <t>T1486</t>
        </is>
      </c>
      <c r="E35" s="276" t="inlineStr">
        <is>
          <t>Data Encrypted for Impact</t>
        </is>
      </c>
      <c r="F35" s="276" t="inlineStr">
        <is>
          <t>S5</t>
        </is>
      </c>
      <c r="G35" s="276" t="b">
        <v>1</v>
      </c>
      <c r="H35" s="276" t="b">
        <v>1</v>
      </c>
      <c r="I35" s="276" t="b">
        <v>1</v>
      </c>
      <c r="J35" s="276" t="n">
        <v>0.8</v>
      </c>
      <c r="K35" s="276" t="n">
        <v>0.16875</v>
      </c>
      <c r="L35" s="276" t="n">
        <v>0.16875</v>
      </c>
      <c r="M35" s="276" t="inlineStr">
        <is>
          <t>Windows; Linux; IaaS</t>
        </is>
      </c>
      <c r="N35" s="276" t="inlineStr">
        <is>
          <t>https://attack.mitre.org/techniques/T1486/</t>
        </is>
      </c>
      <c r="O35" s="276" t="n"/>
      <c r="P35" s="277" t="n"/>
    </row>
    <row r="36">
      <c r="A36" s="275" t="inlineStr">
        <is>
          <t>Nation-state</t>
        </is>
      </c>
      <c r="B36" s="276" t="inlineStr">
        <is>
          <t>Critical business-service disruption</t>
        </is>
      </c>
      <c r="C36" s="276" t="inlineStr">
        <is>
          <t>User endpoint and social engineering</t>
        </is>
      </c>
      <c r="D36" s="276" t="inlineStr">
        <is>
          <t>T1490</t>
        </is>
      </c>
      <c r="E36" s="276" t="inlineStr">
        <is>
          <t>Inhibit System Recovery</t>
        </is>
      </c>
      <c r="F36" s="276" t="inlineStr">
        <is>
          <t>S5</t>
        </is>
      </c>
      <c r="G36" s="276" t="b">
        <v>1</v>
      </c>
      <c r="H36" s="276" t="b">
        <v>1</v>
      </c>
      <c r="I36" s="276" t="b">
        <v>1</v>
      </c>
      <c r="J36" s="276" t="n">
        <v>0.7</v>
      </c>
      <c r="K36" s="276" t="n">
        <v>0</v>
      </c>
      <c r="L36" s="276" t="n">
        <v>0</v>
      </c>
      <c r="M36" s="276" t="inlineStr">
        <is>
          <t>Windows; Linux; IaaS</t>
        </is>
      </c>
      <c r="N36" s="276" t="inlineStr">
        <is>
          <t>https://attack.mitre.org/techniques/T1490/</t>
        </is>
      </c>
      <c r="O36" s="276" t="n"/>
      <c r="P36" s="277" t="n"/>
    </row>
    <row r="37">
      <c r="A37" s="275" t="inlineStr">
        <is>
          <t>Nation-state</t>
        </is>
      </c>
      <c r="B37" s="276" t="inlineStr">
        <is>
          <t>Critical business-service disruption</t>
        </is>
      </c>
      <c r="C37" s="276" t="inlineStr">
        <is>
          <t>User endpoint and social engineering</t>
        </is>
      </c>
      <c r="D37" s="276" t="inlineStr">
        <is>
          <t>T1567</t>
        </is>
      </c>
      <c r="E37" s="276" t="inlineStr">
        <is>
          <t>Exfiltration Over Web Service</t>
        </is>
      </c>
      <c r="F37" s="276" t="inlineStr">
        <is>
          <t>S5</t>
        </is>
      </c>
      <c r="G37" s="276" t="b">
        <v>1</v>
      </c>
      <c r="H37" s="276" t="b">
        <v>0</v>
      </c>
      <c r="I37" s="276" t="b">
        <v>0</v>
      </c>
      <c r="J37" s="276" t="n">
        <v>0.7</v>
      </c>
      <c r="K37" s="276" t="n">
        <v>0.20625</v>
      </c>
      <c r="L37" s="276" t="n">
        <v>0.20625</v>
      </c>
      <c r="M37" s="276" t="inlineStr">
        <is>
          <t>SaaS; Office Suite</t>
        </is>
      </c>
      <c r="N37" s="276" t="inlineStr">
        <is>
          <t>https://attack.mitre.org/techniques/T1567/</t>
        </is>
      </c>
      <c r="O37" s="276" t="n"/>
      <c r="P37" s="277" t="n"/>
    </row>
    <row r="38">
      <c r="A38" s="275" t="inlineStr">
        <is>
          <t>Nation-state</t>
        </is>
      </c>
      <c r="B38" s="276" t="inlineStr">
        <is>
          <t>Critical business-service disruption</t>
        </is>
      </c>
      <c r="C38" s="276" t="inlineStr">
        <is>
          <t>User endpoint and social engineering</t>
        </is>
      </c>
      <c r="D38" s="276" t="inlineStr">
        <is>
          <t>T1657</t>
        </is>
      </c>
      <c r="E38" s="276" t="inlineStr">
        <is>
          <t>Financial Theft</t>
        </is>
      </c>
      <c r="F38" s="276" t="inlineStr">
        <is>
          <t>S5</t>
        </is>
      </c>
      <c r="G38" s="276" t="b">
        <v>1</v>
      </c>
      <c r="H38" s="276" t="b">
        <v>0</v>
      </c>
      <c r="I38" s="276" t="b">
        <v>0</v>
      </c>
      <c r="J38" s="276" t="n">
        <v>0.5</v>
      </c>
      <c r="K38" s="276" t="n">
        <v>0.275654296875</v>
      </c>
      <c r="L38" s="276" t="n">
        <v>0.275654296875</v>
      </c>
      <c r="M38" s="276" t="inlineStr">
        <is>
          <t>SaaS; Office Suite; Identity Provider</t>
        </is>
      </c>
      <c r="N38" s="276" t="inlineStr">
        <is>
          <t>https://attack.mitre.org/techniques/T1657/</t>
        </is>
      </c>
      <c r="O38" s="276" t="n"/>
      <c r="P38" s="277" t="n"/>
    </row>
    <row r="39">
      <c r="A39" s="275" t="inlineStr">
        <is>
          <t>Nation-state</t>
        </is>
      </c>
      <c r="B39" s="276" t="inlineStr">
        <is>
          <t>Critical business-service disruption</t>
        </is>
      </c>
      <c r="C39" s="276" t="inlineStr">
        <is>
          <t>User endpoint and social engineering</t>
        </is>
      </c>
      <c r="D39" s="276" t="inlineStr">
        <is>
          <t>T1565</t>
        </is>
      </c>
      <c r="E39" s="276" t="inlineStr">
        <is>
          <t>Data Manipulation</t>
        </is>
      </c>
      <c r="F39" s="276" t="inlineStr">
        <is>
          <t>S5</t>
        </is>
      </c>
      <c r="G39" s="276" t="b">
        <v>1</v>
      </c>
      <c r="H39" s="276" t="b">
        <v>1</v>
      </c>
      <c r="I39" s="276" t="b">
        <v>1</v>
      </c>
      <c r="J39" s="276" t="n">
        <v>0.5</v>
      </c>
      <c r="K39" s="276" t="n">
        <v>0.2206064987182617</v>
      </c>
      <c r="L39" s="276" t="n">
        <v>0.2206064987182617</v>
      </c>
      <c r="M39" s="276" t="inlineStr">
        <is>
          <t>SaaS; Databases; Windows</t>
        </is>
      </c>
      <c r="N39" s="276" t="inlineStr">
        <is>
          <t>https://attack.mitre.org/techniques/T1565/</t>
        </is>
      </c>
      <c r="O39" s="276" t="n"/>
      <c r="P39" s="277" t="n"/>
    </row>
    <row r="40">
      <c r="A40" s="275" t="inlineStr">
        <is>
          <t>Nation-state</t>
        </is>
      </c>
      <c r="B40" s="276" t="inlineStr">
        <is>
          <t>Critical business-service disruption</t>
        </is>
      </c>
      <c r="C40" s="276" t="inlineStr">
        <is>
          <t>Public-facing application exploitation</t>
        </is>
      </c>
      <c r="D40" s="276" t="inlineStr">
        <is>
          <t>T1190</t>
        </is>
      </c>
      <c r="E40" s="276" t="inlineStr">
        <is>
          <t>Exploit Public-Facing Application</t>
        </is>
      </c>
      <c r="F40" s="276" t="inlineStr">
        <is>
          <t>S1</t>
        </is>
      </c>
      <c r="G40" s="276" t="b">
        <v>1</v>
      </c>
      <c r="H40" s="276" t="b">
        <v>1</v>
      </c>
      <c r="I40" s="276" t="b">
        <v>1</v>
      </c>
      <c r="J40" s="276" t="n">
        <v>1</v>
      </c>
      <c r="K40" s="276" t="n">
        <v>0.2496630477905274</v>
      </c>
      <c r="L40" s="276" t="n">
        <v>0.2496630477905274</v>
      </c>
      <c r="M40" s="276" t="inlineStr">
        <is>
          <t>Network Devices; SaaS; IaaS</t>
        </is>
      </c>
      <c r="N40" s="276" t="inlineStr">
        <is>
          <t>https://attack.mitre.org/techniques/T1190/</t>
        </is>
      </c>
      <c r="O40" s="276" t="n"/>
      <c r="P40" s="277" t="n"/>
    </row>
    <row r="41">
      <c r="A41" s="275" t="inlineStr">
        <is>
          <t>Nation-state</t>
        </is>
      </c>
      <c r="B41" s="276" t="inlineStr">
        <is>
          <t>Critical business-service disruption</t>
        </is>
      </c>
      <c r="C41" s="276" t="inlineStr">
        <is>
          <t>Public-facing application exploitation</t>
        </is>
      </c>
      <c r="D41" s="276" t="inlineStr">
        <is>
          <t>T1059</t>
        </is>
      </c>
      <c r="E41" s="276" t="inlineStr">
        <is>
          <t>Command and Scripting Interpreter</t>
        </is>
      </c>
      <c r="F41" s="276" t="inlineStr">
        <is>
          <t>S2</t>
        </is>
      </c>
      <c r="G41" s="276" t="b">
        <v>1</v>
      </c>
      <c r="H41" s="276" t="b">
        <v>1</v>
      </c>
      <c r="I41" s="276" t="b">
        <v>1</v>
      </c>
      <c r="J41" s="276" t="n">
        <v>0.8</v>
      </c>
      <c r="K41" s="276" t="n">
        <v>0.1875</v>
      </c>
      <c r="L41" s="276" t="n">
        <v>0.1875</v>
      </c>
      <c r="M41" s="276" t="inlineStr">
        <is>
          <t>Windows; macOS; Linux; IaaS</t>
        </is>
      </c>
      <c r="N41" s="276" t="inlineStr">
        <is>
          <t>https://attack.mitre.org/techniques/T1059/</t>
        </is>
      </c>
      <c r="O41" s="276" t="n"/>
      <c r="P41" s="277" t="n"/>
    </row>
    <row r="42">
      <c r="A42" s="275" t="inlineStr">
        <is>
          <t>Nation-state</t>
        </is>
      </c>
      <c r="B42" s="276" t="inlineStr">
        <is>
          <t>Critical business-service disruption</t>
        </is>
      </c>
      <c r="C42" s="276" t="inlineStr">
        <is>
          <t>Public-facing application exploitation</t>
        </is>
      </c>
      <c r="D42" s="276" t="inlineStr">
        <is>
          <t>T1068</t>
        </is>
      </c>
      <c r="E42" s="276" t="inlineStr">
        <is>
          <t>Exploitation for Privilege Escalation</t>
        </is>
      </c>
      <c r="F42" s="276" t="inlineStr">
        <is>
          <t>S3</t>
        </is>
      </c>
      <c r="G42" s="276" t="b">
        <v>1</v>
      </c>
      <c r="H42" s="276" t="b">
        <v>1</v>
      </c>
      <c r="I42" s="276" t="b">
        <v>1</v>
      </c>
      <c r="J42" s="276" t="n">
        <v>0.7</v>
      </c>
      <c r="K42" s="276" t="n">
        <v>0.2094165115356445</v>
      </c>
      <c r="L42" s="276" t="n">
        <v>0.2094165115356445</v>
      </c>
      <c r="M42" s="276" t="inlineStr">
        <is>
          <t>Windows; macOS; Linux</t>
        </is>
      </c>
      <c r="N42" s="276" t="inlineStr">
        <is>
          <t>https://attack.mitre.org/techniques/T1068/</t>
        </is>
      </c>
      <c r="O42" s="276" t="n"/>
      <c r="P42" s="277" t="n"/>
    </row>
    <row r="43">
      <c r="A43" s="275" t="inlineStr">
        <is>
          <t>Nation-state</t>
        </is>
      </c>
      <c r="B43" s="276" t="inlineStr">
        <is>
          <t>Critical business-service disruption</t>
        </is>
      </c>
      <c r="C43" s="276" t="inlineStr">
        <is>
          <t>Public-facing application exploitation</t>
        </is>
      </c>
      <c r="D43" s="276" t="inlineStr">
        <is>
          <t>T1003</t>
        </is>
      </c>
      <c r="E43" s="276" t="inlineStr">
        <is>
          <t>OS Credential Dumping</t>
        </is>
      </c>
      <c r="F43" s="276" t="inlineStr">
        <is>
          <t>S3</t>
        </is>
      </c>
      <c r="G43" s="276" t="b">
        <v>1</v>
      </c>
      <c r="H43" s="276" t="b">
        <v>1</v>
      </c>
      <c r="I43" s="276" t="b">
        <v>1</v>
      </c>
      <c r="J43" s="276" t="n">
        <v>0.6</v>
      </c>
      <c r="K43" s="276" t="n">
        <v>0.232294921875</v>
      </c>
      <c r="L43" s="276" t="n">
        <v>0.232294921875</v>
      </c>
      <c r="M43" s="276" t="inlineStr">
        <is>
          <t>Windows; Linux; macOS</t>
        </is>
      </c>
      <c r="N43" s="276" t="inlineStr">
        <is>
          <t>https://attack.mitre.org/techniques/T1003/</t>
        </is>
      </c>
      <c r="O43" s="276" t="n"/>
      <c r="P43" s="277" t="n"/>
    </row>
    <row r="44">
      <c r="A44" s="275" t="inlineStr">
        <is>
          <t>Nation-state</t>
        </is>
      </c>
      <c r="B44" s="276" t="inlineStr">
        <is>
          <t>Critical business-service disruption</t>
        </is>
      </c>
      <c r="C44" s="276" t="inlineStr">
        <is>
          <t>Public-facing application exploitation</t>
        </is>
      </c>
      <c r="D44" s="276" t="inlineStr">
        <is>
          <t>T1046</t>
        </is>
      </c>
      <c r="E44" s="276" t="inlineStr">
        <is>
          <t>Network Service Discovery</t>
        </is>
      </c>
      <c r="F44" s="276" t="inlineStr">
        <is>
          <t>S4</t>
        </is>
      </c>
      <c r="G44" s="276" t="b">
        <v>1</v>
      </c>
      <c r="H44" s="276" t="b">
        <v>1</v>
      </c>
      <c r="I44" s="276" t="b">
        <v>1</v>
      </c>
      <c r="J44" s="276" t="n">
        <v>0.7</v>
      </c>
      <c r="K44" s="276" t="n">
        <v>0.16875</v>
      </c>
      <c r="L44" s="276" t="n">
        <v>0.16875</v>
      </c>
      <c r="M44" s="276" t="inlineStr">
        <is>
          <t>Network Devices; Windows; Linux</t>
        </is>
      </c>
      <c r="N44" s="276" t="inlineStr">
        <is>
          <t>https://attack.mitre.org/techniques/T1046/</t>
        </is>
      </c>
      <c r="O44" s="276" t="n"/>
      <c r="P44" s="277" t="n"/>
    </row>
    <row r="45">
      <c r="A45" s="275" t="inlineStr">
        <is>
          <t>Nation-state</t>
        </is>
      </c>
      <c r="B45" s="276" t="inlineStr">
        <is>
          <t>Critical business-service disruption</t>
        </is>
      </c>
      <c r="C45" s="276" t="inlineStr">
        <is>
          <t>Public-facing application exploitation</t>
        </is>
      </c>
      <c r="D45" s="276" t="inlineStr">
        <is>
          <t>T1210</t>
        </is>
      </c>
      <c r="E45" s="276" t="inlineStr">
        <is>
          <t>Exploitation of Remote Services</t>
        </is>
      </c>
      <c r="F45" s="276" t="inlineStr">
        <is>
          <t>S4</t>
        </is>
      </c>
      <c r="G45" s="276" t="b">
        <v>1</v>
      </c>
      <c r="H45" s="276" t="b">
        <v>1</v>
      </c>
      <c r="I45" s="276" t="b">
        <v>1</v>
      </c>
      <c r="J45" s="276" t="n">
        <v>0.9</v>
      </c>
      <c r="K45" s="276" t="n">
        <v>0.2103495368957519</v>
      </c>
      <c r="L45" s="276" t="n">
        <v>0.2103495368957519</v>
      </c>
      <c r="M45" s="276" t="inlineStr">
        <is>
          <t>Windows; Linux; Network Devices</t>
        </is>
      </c>
      <c r="N45" s="276" t="inlineStr">
        <is>
          <t>https://attack.mitre.org/techniques/T1210/</t>
        </is>
      </c>
      <c r="O45" s="276" t="n"/>
      <c r="P45" s="277" t="n"/>
    </row>
    <row r="46">
      <c r="A46" s="275" t="inlineStr">
        <is>
          <t>Nation-state</t>
        </is>
      </c>
      <c r="B46" s="276" t="inlineStr">
        <is>
          <t>Critical business-service disruption</t>
        </is>
      </c>
      <c r="C46" s="276" t="inlineStr">
        <is>
          <t>Public-facing application exploitation</t>
        </is>
      </c>
      <c r="D46" s="276" t="inlineStr">
        <is>
          <t>T1021</t>
        </is>
      </c>
      <c r="E46" s="276" t="inlineStr">
        <is>
          <t>Remote Services</t>
        </is>
      </c>
      <c r="F46" s="276" t="inlineStr">
        <is>
          <t>S4</t>
        </is>
      </c>
      <c r="G46" s="276" t="b">
        <v>1</v>
      </c>
      <c r="H46" s="276" t="b">
        <v>1</v>
      </c>
      <c r="I46" s="276" t="b">
        <v>1</v>
      </c>
      <c r="J46" s="276" t="n">
        <v>0.7</v>
      </c>
      <c r="K46" s="276" t="n">
        <v>0.1875</v>
      </c>
      <c r="L46" s="276" t="n">
        <v>0.1875</v>
      </c>
      <c r="M46" s="276" t="inlineStr">
        <is>
          <t>Windows; Linux; Network Devices</t>
        </is>
      </c>
      <c r="N46" s="276" t="inlineStr">
        <is>
          <t>https://attack.mitre.org/techniques/T1021/</t>
        </is>
      </c>
      <c r="O46" s="276" t="n"/>
      <c r="P46" s="277" t="n"/>
    </row>
    <row r="47">
      <c r="A47" s="275" t="inlineStr">
        <is>
          <t>Nation-state</t>
        </is>
      </c>
      <c r="B47" s="276" t="inlineStr">
        <is>
          <t>Critical business-service disruption</t>
        </is>
      </c>
      <c r="C47" s="276" t="inlineStr">
        <is>
          <t>Public-facing application exploitation</t>
        </is>
      </c>
      <c r="D47" s="276" t="inlineStr">
        <is>
          <t>T1486</t>
        </is>
      </c>
      <c r="E47" s="276" t="inlineStr">
        <is>
          <t>Data Encrypted for Impact</t>
        </is>
      </c>
      <c r="F47" s="276" t="inlineStr">
        <is>
          <t>S5</t>
        </is>
      </c>
      <c r="G47" s="276" t="b">
        <v>1</v>
      </c>
      <c r="H47" s="276" t="b">
        <v>1</v>
      </c>
      <c r="I47" s="276" t="b">
        <v>1</v>
      </c>
      <c r="J47" s="276" t="n">
        <v>0.6</v>
      </c>
      <c r="K47" s="276" t="n">
        <v>0.16875</v>
      </c>
      <c r="L47" s="276" t="n">
        <v>0.16875</v>
      </c>
      <c r="M47" s="276" t="inlineStr">
        <is>
          <t>Windows; Linux; IaaS</t>
        </is>
      </c>
      <c r="N47" s="276" t="inlineStr">
        <is>
          <t>https://attack.mitre.org/techniques/T1486/</t>
        </is>
      </c>
      <c r="O47" s="276" t="n"/>
      <c r="P47" s="277" t="n"/>
    </row>
    <row r="48">
      <c r="A48" s="275" t="inlineStr">
        <is>
          <t>Nation-state</t>
        </is>
      </c>
      <c r="B48" s="276" t="inlineStr">
        <is>
          <t>Critical business-service disruption</t>
        </is>
      </c>
      <c r="C48" s="276" t="inlineStr">
        <is>
          <t>Public-facing application exploitation</t>
        </is>
      </c>
      <c r="D48" s="276" t="inlineStr">
        <is>
          <t>T1490</t>
        </is>
      </c>
      <c r="E48" s="276" t="inlineStr">
        <is>
          <t>Inhibit System Recovery</t>
        </is>
      </c>
      <c r="F48" s="276" t="inlineStr">
        <is>
          <t>S5</t>
        </is>
      </c>
      <c r="G48" s="276" t="b">
        <v>1</v>
      </c>
      <c r="H48" s="276" t="b">
        <v>1</v>
      </c>
      <c r="I48" s="276" t="b">
        <v>1</v>
      </c>
      <c r="J48" s="276" t="n">
        <v>0.5</v>
      </c>
      <c r="K48" s="276" t="n">
        <v>0</v>
      </c>
      <c r="L48" s="276" t="n">
        <v>0</v>
      </c>
      <c r="M48" s="276" t="inlineStr">
        <is>
          <t>Windows; Linux; IaaS</t>
        </is>
      </c>
      <c r="N48" s="276" t="inlineStr">
        <is>
          <t>https://attack.mitre.org/techniques/T1490/</t>
        </is>
      </c>
      <c r="O48" s="276" t="n"/>
      <c r="P48" s="277" t="n"/>
    </row>
    <row r="49">
      <c r="A49" s="275" t="inlineStr">
        <is>
          <t>Nation-state</t>
        </is>
      </c>
      <c r="B49" s="276" t="inlineStr">
        <is>
          <t>Critical business-service disruption</t>
        </is>
      </c>
      <c r="C49" s="276" t="inlineStr">
        <is>
          <t>Public-facing application exploitation</t>
        </is>
      </c>
      <c r="D49" s="276" t="inlineStr">
        <is>
          <t>T1567</t>
        </is>
      </c>
      <c r="E49" s="276" t="inlineStr">
        <is>
          <t>Exfiltration Over Web Service</t>
        </is>
      </c>
      <c r="F49" s="276" t="inlineStr">
        <is>
          <t>S5</t>
        </is>
      </c>
      <c r="G49" s="276" t="b">
        <v>1</v>
      </c>
      <c r="H49" s="276" t="b">
        <v>0</v>
      </c>
      <c r="I49" s="276" t="b">
        <v>0</v>
      </c>
      <c r="J49" s="276" t="n">
        <v>0.6</v>
      </c>
      <c r="K49" s="276" t="n">
        <v>0.20625</v>
      </c>
      <c r="L49" s="276" t="n">
        <v>0.20625</v>
      </c>
      <c r="M49" s="276" t="inlineStr">
        <is>
          <t>SaaS; Office Suite</t>
        </is>
      </c>
      <c r="N49" s="276" t="inlineStr">
        <is>
          <t>https://attack.mitre.org/techniques/T1567/</t>
        </is>
      </c>
      <c r="O49" s="276" t="n"/>
      <c r="P49" s="277" t="n"/>
    </row>
    <row r="50">
      <c r="A50" s="275" t="inlineStr">
        <is>
          <t>Nation-state</t>
        </is>
      </c>
      <c r="B50" s="276" t="inlineStr">
        <is>
          <t>Critical business-service disruption</t>
        </is>
      </c>
      <c r="C50" s="276" t="inlineStr">
        <is>
          <t>Public-facing application exploitation</t>
        </is>
      </c>
      <c r="D50" s="276" t="inlineStr">
        <is>
          <t>T1565</t>
        </is>
      </c>
      <c r="E50" s="276" t="inlineStr">
        <is>
          <t>Data Manipulation</t>
        </is>
      </c>
      <c r="F50" s="276" t="inlineStr">
        <is>
          <t>S5</t>
        </is>
      </c>
      <c r="G50" s="276" t="b">
        <v>1</v>
      </c>
      <c r="H50" s="276" t="b">
        <v>1</v>
      </c>
      <c r="I50" s="276" t="b">
        <v>1</v>
      </c>
      <c r="J50" s="276" t="n">
        <v>0.6</v>
      </c>
      <c r="K50" s="276" t="n">
        <v>0.2206064987182617</v>
      </c>
      <c r="L50" s="276" t="n">
        <v>0.2206064987182617</v>
      </c>
      <c r="M50" s="276" t="inlineStr">
        <is>
          <t>SaaS; Databases; Windows</t>
        </is>
      </c>
      <c r="N50" s="276" t="inlineStr">
        <is>
          <t>https://attack.mitre.org/techniques/T1565/</t>
        </is>
      </c>
      <c r="O50" s="276" t="n"/>
      <c r="P50" s="277" t="n"/>
    </row>
    <row r="51">
      <c r="A51" s="275" t="inlineStr">
        <is>
          <t>Nation-state</t>
        </is>
      </c>
      <c r="B51" s="276" t="inlineStr">
        <is>
          <t>Critical business-service disruption</t>
        </is>
      </c>
      <c r="C51" s="276" t="inlineStr">
        <is>
          <t>Public-facing application exploitation</t>
        </is>
      </c>
      <c r="D51" s="276" t="inlineStr">
        <is>
          <t>T1657</t>
        </is>
      </c>
      <c r="E51" s="276" t="inlineStr">
        <is>
          <t>Financial Theft</t>
        </is>
      </c>
      <c r="F51" s="276" t="inlineStr">
        <is>
          <t>S5</t>
        </is>
      </c>
      <c r="G51" s="276" t="b">
        <v>1</v>
      </c>
      <c r="H51" s="276" t="b">
        <v>0</v>
      </c>
      <c r="I51" s="276" t="b">
        <v>0</v>
      </c>
      <c r="J51" s="276" t="n">
        <v>0.4</v>
      </c>
      <c r="K51" s="276" t="n">
        <v>0.275654296875</v>
      </c>
      <c r="L51" s="276" t="n">
        <v>0.275654296875</v>
      </c>
      <c r="M51" s="276" t="inlineStr">
        <is>
          <t>SaaS; Office Suite; Identity Provider</t>
        </is>
      </c>
      <c r="N51" s="276" t="inlineStr">
        <is>
          <t>https://attack.mitre.org/techniques/T1657/</t>
        </is>
      </c>
      <c r="O51" s="276" t="n"/>
      <c r="P51" s="277" t="n"/>
    </row>
    <row r="52">
      <c r="A52" s="275" t="inlineStr">
        <is>
          <t>Nation-state</t>
        </is>
      </c>
      <c r="B52" s="276" t="inlineStr">
        <is>
          <t>Critical business-service disruption</t>
        </is>
      </c>
      <c r="C52" s="276" t="inlineStr">
        <is>
          <t>Third-party or software supply chain</t>
        </is>
      </c>
      <c r="D52" s="276" t="inlineStr">
        <is>
          <t>T1199</t>
        </is>
      </c>
      <c r="E52" s="276" t="inlineStr">
        <is>
          <t>Trusted Relationship</t>
        </is>
      </c>
      <c r="F52" s="276" t="inlineStr">
        <is>
          <t>S3</t>
        </is>
      </c>
      <c r="G52" s="276" t="b">
        <v>1</v>
      </c>
      <c r="H52" s="276" t="b">
        <v>1</v>
      </c>
      <c r="I52" s="276" t="b">
        <v>1</v>
      </c>
      <c r="J52" s="276" t="n">
        <v>1</v>
      </c>
      <c r="K52" s="276" t="n">
        <v>0.20625</v>
      </c>
      <c r="L52" s="276" t="n">
        <v>0.20625</v>
      </c>
      <c r="M52" s="276" t="inlineStr">
        <is>
          <t>SaaS; IaaS; Network Devices</t>
        </is>
      </c>
      <c r="N52" s="276" t="inlineStr">
        <is>
          <t>https://attack.mitre.org/techniques/T1199/</t>
        </is>
      </c>
      <c r="O52" s="276" t="n"/>
      <c r="P52" s="277" t="n"/>
    </row>
    <row r="53">
      <c r="A53" s="275" t="inlineStr">
        <is>
          <t>Nation-state</t>
        </is>
      </c>
      <c r="B53" s="276" t="inlineStr">
        <is>
          <t>Critical business-service disruption</t>
        </is>
      </c>
      <c r="C53" s="276" t="inlineStr">
        <is>
          <t>Third-party or software supply chain</t>
        </is>
      </c>
      <c r="D53" s="276" t="inlineStr">
        <is>
          <t>T1098</t>
        </is>
      </c>
      <c r="E53" s="276" t="inlineStr">
        <is>
          <t>Account Manipulation</t>
        </is>
      </c>
      <c r="F53" s="276" t="inlineStr">
        <is>
          <t>S3</t>
        </is>
      </c>
      <c r="G53" s="276" t="b">
        <v>1</v>
      </c>
      <c r="H53" s="276" t="b">
        <v>1</v>
      </c>
      <c r="I53" s="276" t="b">
        <v>1</v>
      </c>
      <c r="J53" s="276" t="n">
        <v>0.6</v>
      </c>
      <c r="K53" s="276" t="n">
        <v>0.2477547340393066</v>
      </c>
      <c r="L53" s="276" t="n">
        <v>0.2477547340393066</v>
      </c>
      <c r="M53" s="276" t="inlineStr">
        <is>
          <t>Identity Provider; SaaS; Windows</t>
        </is>
      </c>
      <c r="N53" s="276" t="inlineStr">
        <is>
          <t>https://attack.mitre.org/techniques/T1098/</t>
        </is>
      </c>
      <c r="O53" s="276" t="n"/>
      <c r="P53" s="277" t="n"/>
    </row>
    <row r="54">
      <c r="A54" s="275" t="inlineStr">
        <is>
          <t>Nation-state</t>
        </is>
      </c>
      <c r="B54" s="276" t="inlineStr">
        <is>
          <t>Critical business-service disruption</t>
        </is>
      </c>
      <c r="C54" s="276" t="inlineStr">
        <is>
          <t>Third-party or software supply chain</t>
        </is>
      </c>
      <c r="D54" s="276" t="inlineStr">
        <is>
          <t>T1087</t>
        </is>
      </c>
      <c r="E54" s="276" t="inlineStr">
        <is>
          <t>Account Discovery</t>
        </is>
      </c>
      <c r="F54" s="276" t="inlineStr">
        <is>
          <t>S4</t>
        </is>
      </c>
      <c r="G54" s="276" t="b">
        <v>1</v>
      </c>
      <c r="H54" s="276" t="b">
        <v>1</v>
      </c>
      <c r="I54" s="276" t="b">
        <v>1</v>
      </c>
      <c r="J54" s="276" t="n">
        <v>0.5</v>
      </c>
      <c r="K54" s="276" t="n">
        <v>0</v>
      </c>
      <c r="L54" s="276" t="n">
        <v>0</v>
      </c>
      <c r="M54" s="276" t="inlineStr">
        <is>
          <t>Identity Provider; SaaS; Windows</t>
        </is>
      </c>
      <c r="N54" s="276" t="inlineStr">
        <is>
          <t>https://attack.mitre.org/techniques/T1087/</t>
        </is>
      </c>
      <c r="O54" s="276" t="n"/>
      <c r="P54" s="277" t="n"/>
    </row>
    <row r="55">
      <c r="A55" s="275" t="inlineStr">
        <is>
          <t>Nation-state</t>
        </is>
      </c>
      <c r="B55" s="276" t="inlineStr">
        <is>
          <t>Critical business-service disruption</t>
        </is>
      </c>
      <c r="C55" s="276" t="inlineStr">
        <is>
          <t>Third-party or software supply chain</t>
        </is>
      </c>
      <c r="D55" s="276" t="inlineStr">
        <is>
          <t>T1213</t>
        </is>
      </c>
      <c r="E55" s="276" t="inlineStr">
        <is>
          <t>Data from Information Repositories</t>
        </is>
      </c>
      <c r="F55" s="276" t="inlineStr">
        <is>
          <t>S4</t>
        </is>
      </c>
      <c r="G55" s="276" t="b">
        <v>1</v>
      </c>
      <c r="H55" s="276" t="b">
        <v>0</v>
      </c>
      <c r="I55" s="276" t="b">
        <v>0</v>
      </c>
      <c r="J55" s="276" t="n">
        <v>0.7</v>
      </c>
      <c r="K55" s="276" t="n">
        <v>0.177890625</v>
      </c>
      <c r="L55" s="276" t="n">
        <v>0.177890625</v>
      </c>
      <c r="M55" s="276" t="inlineStr">
        <is>
          <t>SaaS; Office Suite; Windows</t>
        </is>
      </c>
      <c r="N55" s="276" t="inlineStr">
        <is>
          <t>https://attack.mitre.org/techniques/T1213/</t>
        </is>
      </c>
      <c r="O55" s="276" t="n"/>
      <c r="P55" s="277" t="n"/>
    </row>
    <row r="56">
      <c r="A56" s="275" t="inlineStr">
        <is>
          <t>Nation-state</t>
        </is>
      </c>
      <c r="B56" s="276" t="inlineStr">
        <is>
          <t>Critical business-service disruption</t>
        </is>
      </c>
      <c r="C56" s="276" t="inlineStr">
        <is>
          <t>Third-party or software supply chain</t>
        </is>
      </c>
      <c r="D56" s="276" t="inlineStr">
        <is>
          <t>T1567</t>
        </is>
      </c>
      <c r="E56" s="276" t="inlineStr">
        <is>
          <t>Exfiltration Over Web Service</t>
        </is>
      </c>
      <c r="F56" s="276" t="inlineStr">
        <is>
          <t>S5</t>
        </is>
      </c>
      <c r="G56" s="276" t="b">
        <v>1</v>
      </c>
      <c r="H56" s="276" t="b">
        <v>0</v>
      </c>
      <c r="I56" s="276" t="b">
        <v>0</v>
      </c>
      <c r="J56" s="276" t="n">
        <v>0.6</v>
      </c>
      <c r="K56" s="276" t="n">
        <v>0.20625</v>
      </c>
      <c r="L56" s="276" t="n">
        <v>0.20625</v>
      </c>
      <c r="M56" s="276" t="inlineStr">
        <is>
          <t>SaaS; Office Suite</t>
        </is>
      </c>
      <c r="N56" s="276" t="inlineStr">
        <is>
          <t>https://attack.mitre.org/techniques/T1567/</t>
        </is>
      </c>
      <c r="O56" s="276" t="n"/>
      <c r="P56" s="277" t="n"/>
    </row>
    <row r="57">
      <c r="A57" s="275" t="inlineStr">
        <is>
          <t>Nation-state</t>
        </is>
      </c>
      <c r="B57" s="276" t="inlineStr">
        <is>
          <t>Critical business-service disruption</t>
        </is>
      </c>
      <c r="C57" s="276" t="inlineStr">
        <is>
          <t>Third-party or software supply chain</t>
        </is>
      </c>
      <c r="D57" s="276" t="inlineStr">
        <is>
          <t>T1486</t>
        </is>
      </c>
      <c r="E57" s="276" t="inlineStr">
        <is>
          <t>Data Encrypted for Impact</t>
        </is>
      </c>
      <c r="F57" s="276" t="inlineStr">
        <is>
          <t>S5</t>
        </is>
      </c>
      <c r="G57" s="276" t="b">
        <v>1</v>
      </c>
      <c r="H57" s="276" t="b">
        <v>1</v>
      </c>
      <c r="I57" s="276" t="b">
        <v>1</v>
      </c>
      <c r="J57" s="276" t="n">
        <v>0.5</v>
      </c>
      <c r="K57" s="276" t="n">
        <v>0.16875</v>
      </c>
      <c r="L57" s="276" t="n">
        <v>0.16875</v>
      </c>
      <c r="M57" s="276" t="inlineStr">
        <is>
          <t>Windows; Linux; IaaS</t>
        </is>
      </c>
      <c r="N57" s="276" t="inlineStr">
        <is>
          <t>https://attack.mitre.org/techniques/T1486/</t>
        </is>
      </c>
      <c r="O57" s="276" t="n"/>
      <c r="P57" s="277" t="n"/>
    </row>
    <row r="58">
      <c r="A58" s="275" t="inlineStr">
        <is>
          <t>Nation-state</t>
        </is>
      </c>
      <c r="B58" s="276" t="inlineStr">
        <is>
          <t>Critical business-service disruption</t>
        </is>
      </c>
      <c r="C58" s="276" t="inlineStr">
        <is>
          <t>Third-party or software supply chain</t>
        </is>
      </c>
      <c r="D58" s="276" t="inlineStr">
        <is>
          <t>T1565</t>
        </is>
      </c>
      <c r="E58" s="276" t="inlineStr">
        <is>
          <t>Data Manipulation</t>
        </is>
      </c>
      <c r="F58" s="276" t="inlineStr">
        <is>
          <t>S5</t>
        </is>
      </c>
      <c r="G58" s="276" t="b">
        <v>1</v>
      </c>
      <c r="H58" s="276" t="b">
        <v>1</v>
      </c>
      <c r="I58" s="276" t="b">
        <v>1</v>
      </c>
      <c r="J58" s="276" t="n">
        <v>0.6</v>
      </c>
      <c r="K58" s="276" t="n">
        <v>0.2206064987182617</v>
      </c>
      <c r="L58" s="276" t="n">
        <v>0.2206064987182617</v>
      </c>
      <c r="M58" s="276" t="inlineStr">
        <is>
          <t>SaaS; Databases; Windows</t>
        </is>
      </c>
      <c r="N58" s="276" t="inlineStr">
        <is>
          <t>https://attack.mitre.org/techniques/T1565/</t>
        </is>
      </c>
      <c r="O58" s="276" t="n"/>
      <c r="P58" s="277" t="n"/>
    </row>
    <row r="59">
      <c r="A59" s="275" t="inlineStr">
        <is>
          <t>Nation-state</t>
        </is>
      </c>
      <c r="B59" s="276" t="inlineStr">
        <is>
          <t>Critical business-service disruption</t>
        </is>
      </c>
      <c r="C59" s="276" t="inlineStr">
        <is>
          <t>Third-party or software supply chain</t>
        </is>
      </c>
      <c r="D59" s="276" t="inlineStr">
        <is>
          <t>T1657</t>
        </is>
      </c>
      <c r="E59" s="276" t="inlineStr">
        <is>
          <t>Financial Theft</t>
        </is>
      </c>
      <c r="F59" s="276" t="inlineStr">
        <is>
          <t>S5</t>
        </is>
      </c>
      <c r="G59" s="276" t="b">
        <v>1</v>
      </c>
      <c r="H59" s="276" t="b">
        <v>0</v>
      </c>
      <c r="I59" s="276" t="b">
        <v>0</v>
      </c>
      <c r="J59" s="276" t="n">
        <v>0.5</v>
      </c>
      <c r="K59" s="276" t="n">
        <v>0.275654296875</v>
      </c>
      <c r="L59" s="276" t="n">
        <v>0.275654296875</v>
      </c>
      <c r="M59" s="276" t="inlineStr">
        <is>
          <t>SaaS; Office Suite; Identity Provider</t>
        </is>
      </c>
      <c r="N59" s="276" t="inlineStr">
        <is>
          <t>https://attack.mitre.org/techniques/T1657/</t>
        </is>
      </c>
      <c r="O59" s="276" t="n"/>
      <c r="P59" s="277" t="n"/>
    </row>
    <row r="60">
      <c r="A60" s="275" t="inlineStr">
        <is>
          <t>Nation-state</t>
        </is>
      </c>
      <c r="B60" s="276" t="inlineStr">
        <is>
          <t>Critical business-service disruption</t>
        </is>
      </c>
      <c r="C60" s="276" t="inlineStr">
        <is>
          <t>Direct availability or DDoS</t>
        </is>
      </c>
      <c r="D60" s="276" t="inlineStr">
        <is>
          <t>T1498</t>
        </is>
      </c>
      <c r="E60" s="276" t="inlineStr">
        <is>
          <t>Network Denial of Service</t>
        </is>
      </c>
      <c r="F60" s="276" t="inlineStr">
        <is>
          <t>S1</t>
        </is>
      </c>
      <c r="G60" s="276" t="b">
        <v>1</v>
      </c>
      <c r="H60" s="276" t="b">
        <v>1</v>
      </c>
      <c r="I60" s="276" t="b">
        <v>1</v>
      </c>
      <c r="J60" s="276" t="n">
        <v>1</v>
      </c>
      <c r="K60" s="276" t="n">
        <v>0.2866992187499999</v>
      </c>
      <c r="L60" s="276" t="n">
        <v>0.2866992187499999</v>
      </c>
      <c r="M60" s="276" t="inlineStr">
        <is>
          <t>Network Devices</t>
        </is>
      </c>
      <c r="N60" s="276" t="inlineStr">
        <is>
          <t>https://attack.mitre.org/techniques/T1498/</t>
        </is>
      </c>
      <c r="O60" s="276" t="n"/>
      <c r="P60" s="277" t="n"/>
    </row>
    <row r="61">
      <c r="A61" s="275" t="inlineStr">
        <is>
          <t>Nation-state</t>
        </is>
      </c>
      <c r="B61" s="276" t="inlineStr">
        <is>
          <t>Critical business-service disruption</t>
        </is>
      </c>
      <c r="C61" s="276" t="inlineStr">
        <is>
          <t>Direct availability or DDoS</t>
        </is>
      </c>
      <c r="D61" s="276" t="inlineStr">
        <is>
          <t>T1499</t>
        </is>
      </c>
      <c r="E61" s="276" t="inlineStr">
        <is>
          <t>Endpoint Denial of Service</t>
        </is>
      </c>
      <c r="F61" s="276" t="inlineStr">
        <is>
          <t>S5</t>
        </is>
      </c>
      <c r="G61" s="276" t="b">
        <v>1</v>
      </c>
      <c r="H61" s="276" t="b">
        <v>1</v>
      </c>
      <c r="I61" s="276" t="b">
        <v>1</v>
      </c>
      <c r="J61" s="276" t="n">
        <v>1</v>
      </c>
      <c r="K61" s="276" t="n">
        <v>0.225</v>
      </c>
      <c r="L61" s="276" t="n">
        <v>0.225</v>
      </c>
      <c r="M61" s="276" t="inlineStr">
        <is>
          <t>Windows; Linux; Network Devices</t>
        </is>
      </c>
      <c r="N61" s="276" t="inlineStr">
        <is>
          <t>https://attack.mitre.org/techniques/T1499/</t>
        </is>
      </c>
      <c r="O61" s="276" t="n"/>
      <c r="P61" s="277" t="n"/>
    </row>
    <row r="62">
      <c r="A62" s="275" t="inlineStr">
        <is>
          <t>Nation-state</t>
        </is>
      </c>
      <c r="B62" s="276" t="inlineStr">
        <is>
          <t>Critical business-service disruption</t>
        </is>
      </c>
      <c r="C62" s="276" t="inlineStr">
        <is>
          <t>Insider or trusted access</t>
        </is>
      </c>
      <c r="D62" s="276" t="inlineStr">
        <is>
          <t>T1098</t>
        </is>
      </c>
      <c r="E62" s="276" t="inlineStr">
        <is>
          <t>Account Manipulation</t>
        </is>
      </c>
      <c r="F62" s="276" t="inlineStr">
        <is>
          <t>S3</t>
        </is>
      </c>
      <c r="G62" s="276" t="b">
        <v>1</v>
      </c>
      <c r="H62" s="276" t="b">
        <v>1</v>
      </c>
      <c r="I62" s="276" t="b">
        <v>1</v>
      </c>
      <c r="J62" s="276" t="n">
        <v>0.8</v>
      </c>
      <c r="K62" s="276" t="n">
        <v>0.2477547340393066</v>
      </c>
      <c r="L62" s="276" t="n">
        <v>0.2477547340393066</v>
      </c>
      <c r="M62" s="276" t="inlineStr">
        <is>
          <t>Identity Provider; SaaS; Windows</t>
        </is>
      </c>
      <c r="N62" s="276" t="inlineStr">
        <is>
          <t>https://attack.mitre.org/techniques/T1098/</t>
        </is>
      </c>
      <c r="O62" s="276" t="n"/>
      <c r="P62" s="277" t="n"/>
    </row>
    <row r="63">
      <c r="A63" s="275" t="inlineStr">
        <is>
          <t>Nation-state</t>
        </is>
      </c>
      <c r="B63" s="276" t="inlineStr">
        <is>
          <t>Critical business-service disruption</t>
        </is>
      </c>
      <c r="C63" s="276" t="inlineStr">
        <is>
          <t>Insider or trusted access</t>
        </is>
      </c>
      <c r="D63" s="276" t="inlineStr">
        <is>
          <t>T1087</t>
        </is>
      </c>
      <c r="E63" s="276" t="inlineStr">
        <is>
          <t>Account Discovery</t>
        </is>
      </c>
      <c r="F63" s="276" t="inlineStr">
        <is>
          <t>S4</t>
        </is>
      </c>
      <c r="G63" s="276" t="b">
        <v>1</v>
      </c>
      <c r="H63" s="276" t="b">
        <v>1</v>
      </c>
      <c r="I63" s="276" t="b">
        <v>1</v>
      </c>
      <c r="J63" s="276" t="n">
        <v>0.6</v>
      </c>
      <c r="K63" s="276" t="n">
        <v>0</v>
      </c>
      <c r="L63" s="276" t="n">
        <v>0</v>
      </c>
      <c r="M63" s="276" t="inlineStr">
        <is>
          <t>Identity Provider; SaaS; Windows</t>
        </is>
      </c>
      <c r="N63" s="276" t="inlineStr">
        <is>
          <t>https://attack.mitre.org/techniques/T1087/</t>
        </is>
      </c>
      <c r="O63" s="276" t="n"/>
      <c r="P63" s="277" t="n"/>
    </row>
    <row r="64">
      <c r="A64" s="275" t="inlineStr">
        <is>
          <t>Nation-state</t>
        </is>
      </c>
      <c r="B64" s="276" t="inlineStr">
        <is>
          <t>Critical business-service disruption</t>
        </is>
      </c>
      <c r="C64" s="276" t="inlineStr">
        <is>
          <t>Insider or trusted access</t>
        </is>
      </c>
      <c r="D64" s="276" t="inlineStr">
        <is>
          <t>T1213</t>
        </is>
      </c>
      <c r="E64" s="276" t="inlineStr">
        <is>
          <t>Data from Information Repositories</t>
        </is>
      </c>
      <c r="F64" s="276" t="inlineStr">
        <is>
          <t>S4</t>
        </is>
      </c>
      <c r="G64" s="276" t="b">
        <v>1</v>
      </c>
      <c r="H64" s="276" t="b">
        <v>0</v>
      </c>
      <c r="I64" s="276" t="b">
        <v>0</v>
      </c>
      <c r="J64" s="276" t="n">
        <v>0.9</v>
      </c>
      <c r="K64" s="276" t="n">
        <v>0.177890625</v>
      </c>
      <c r="L64" s="276" t="n">
        <v>0.177890625</v>
      </c>
      <c r="M64" s="276" t="inlineStr">
        <is>
          <t>SaaS; Office Suite; Windows</t>
        </is>
      </c>
      <c r="N64" s="276" t="inlineStr">
        <is>
          <t>https://attack.mitre.org/techniques/T1213/</t>
        </is>
      </c>
      <c r="O64" s="276" t="n"/>
      <c r="P64" s="277" t="n"/>
    </row>
    <row r="65">
      <c r="A65" s="275" t="inlineStr">
        <is>
          <t>Nation-state</t>
        </is>
      </c>
      <c r="B65" s="276" t="inlineStr">
        <is>
          <t>Critical business-service disruption</t>
        </is>
      </c>
      <c r="C65" s="276" t="inlineStr">
        <is>
          <t>Insider or trusted access</t>
        </is>
      </c>
      <c r="D65" s="276" t="inlineStr">
        <is>
          <t>T1567</t>
        </is>
      </c>
      <c r="E65" s="276" t="inlineStr">
        <is>
          <t>Exfiltration Over Web Service</t>
        </is>
      </c>
      <c r="F65" s="276" t="inlineStr">
        <is>
          <t>S5</t>
        </is>
      </c>
      <c r="G65" s="276" t="b">
        <v>1</v>
      </c>
      <c r="H65" s="276" t="b">
        <v>0</v>
      </c>
      <c r="I65" s="276" t="b">
        <v>0</v>
      </c>
      <c r="J65" s="276" t="n">
        <v>0.8</v>
      </c>
      <c r="K65" s="276" t="n">
        <v>0.20625</v>
      </c>
      <c r="L65" s="276" t="n">
        <v>0.20625</v>
      </c>
      <c r="M65" s="276" t="inlineStr">
        <is>
          <t>SaaS; Office Suite</t>
        </is>
      </c>
      <c r="N65" s="276" t="inlineStr">
        <is>
          <t>https://attack.mitre.org/techniques/T1567/</t>
        </is>
      </c>
      <c r="O65" s="276" t="n"/>
      <c r="P65" s="277" t="n"/>
    </row>
    <row r="66">
      <c r="A66" s="275" t="inlineStr">
        <is>
          <t>Nation-state</t>
        </is>
      </c>
      <c r="B66" s="276" t="inlineStr">
        <is>
          <t>Critical business-service disruption</t>
        </is>
      </c>
      <c r="C66" s="276" t="inlineStr">
        <is>
          <t>Insider or trusted access</t>
        </is>
      </c>
      <c r="D66" s="276" t="inlineStr">
        <is>
          <t>T1565</t>
        </is>
      </c>
      <c r="E66" s="276" t="inlineStr">
        <is>
          <t>Data Manipulation</t>
        </is>
      </c>
      <c r="F66" s="276" t="inlineStr">
        <is>
          <t>S5</t>
        </is>
      </c>
      <c r="G66" s="276" t="b">
        <v>1</v>
      </c>
      <c r="H66" s="276" t="b">
        <v>1</v>
      </c>
      <c r="I66" s="276" t="b">
        <v>1</v>
      </c>
      <c r="J66" s="276" t="n">
        <v>0.9</v>
      </c>
      <c r="K66" s="276" t="n">
        <v>0.2206064987182617</v>
      </c>
      <c r="L66" s="276" t="n">
        <v>0.2206064987182617</v>
      </c>
      <c r="M66" s="276" t="inlineStr">
        <is>
          <t>SaaS; Databases; Windows</t>
        </is>
      </c>
      <c r="N66" s="276" t="inlineStr">
        <is>
          <t>https://attack.mitre.org/techniques/T1565/</t>
        </is>
      </c>
      <c r="O66" s="276" t="n"/>
      <c r="P66" s="277" t="n"/>
    </row>
    <row r="67">
      <c r="A67" s="275" t="inlineStr">
        <is>
          <t>Nation-state</t>
        </is>
      </c>
      <c r="B67" s="276" t="inlineStr">
        <is>
          <t>Critical business-service disruption</t>
        </is>
      </c>
      <c r="C67" s="276" t="inlineStr">
        <is>
          <t>Insider or trusted access</t>
        </is>
      </c>
      <c r="D67" s="276" t="inlineStr">
        <is>
          <t>T1657</t>
        </is>
      </c>
      <c r="E67" s="276" t="inlineStr">
        <is>
          <t>Financial Theft</t>
        </is>
      </c>
      <c r="F67" s="276" t="inlineStr">
        <is>
          <t>S5</t>
        </is>
      </c>
      <c r="G67" s="276" t="b">
        <v>1</v>
      </c>
      <c r="H67" s="276" t="b">
        <v>0</v>
      </c>
      <c r="I67" s="276" t="b">
        <v>0</v>
      </c>
      <c r="J67" s="276" t="n">
        <v>0.9</v>
      </c>
      <c r="K67" s="276" t="n">
        <v>0.275654296875</v>
      </c>
      <c r="L67" s="276" t="n">
        <v>0.275654296875</v>
      </c>
      <c r="M67" s="276" t="inlineStr">
        <is>
          <t>SaaS; Office Suite; Identity Provider</t>
        </is>
      </c>
      <c r="N67" s="276" t="inlineStr">
        <is>
          <t>https://attack.mitre.org/techniques/T1657/</t>
        </is>
      </c>
      <c r="O67" s="276" t="n"/>
      <c r="P67" s="277" t="n"/>
    </row>
    <row r="68">
      <c r="A68" s="275" t="inlineStr">
        <is>
          <t>Nation-state</t>
        </is>
      </c>
      <c r="B68" s="276" t="inlineStr">
        <is>
          <t>Sensitive-data compromise</t>
        </is>
      </c>
      <c r="C68" s="276" t="inlineStr">
        <is>
          <t>Identity and credential compromise</t>
        </is>
      </c>
      <c r="D68" s="276" t="inlineStr">
        <is>
          <t>T1566</t>
        </is>
      </c>
      <c r="E68" s="276" t="inlineStr">
        <is>
          <t>Phishing</t>
        </is>
      </c>
      <c r="F68" s="276" t="inlineStr">
        <is>
          <t>S1</t>
        </is>
      </c>
      <c r="G68" s="276" t="b">
        <v>1</v>
      </c>
      <c r="H68" s="276" t="b">
        <v>1</v>
      </c>
      <c r="I68" s="276" t="b">
        <v>1</v>
      </c>
      <c r="J68" s="276" t="n">
        <v>1</v>
      </c>
      <c r="K68" s="276" t="n">
        <v>0.20625</v>
      </c>
      <c r="L68" s="276" t="n">
        <v>0.20625</v>
      </c>
      <c r="M68" s="276" t="inlineStr">
        <is>
          <t>Windows; SaaS; Office Suite</t>
        </is>
      </c>
      <c r="N68" s="276" t="inlineStr">
        <is>
          <t>https://attack.mitre.org/techniques/T1566/</t>
        </is>
      </c>
      <c r="O68" s="276" t="n"/>
      <c r="P68" s="277" t="n"/>
    </row>
    <row r="69">
      <c r="A69" s="275" t="inlineStr">
        <is>
          <t>Nation-state</t>
        </is>
      </c>
      <c r="B69" s="276" t="inlineStr">
        <is>
          <t>Sensitive-data compromise</t>
        </is>
      </c>
      <c r="C69" s="276" t="inlineStr">
        <is>
          <t>Identity and credential compromise</t>
        </is>
      </c>
      <c r="D69" s="276" t="inlineStr">
        <is>
          <t>T1078</t>
        </is>
      </c>
      <c r="E69" s="276" t="inlineStr">
        <is>
          <t>Valid Accounts</t>
        </is>
      </c>
      <c r="F69" s="276" t="inlineStr">
        <is>
          <t>S1</t>
        </is>
      </c>
      <c r="G69" s="276" t="b">
        <v>1</v>
      </c>
      <c r="H69" s="276" t="b">
        <v>1</v>
      </c>
      <c r="I69" s="276" t="b">
        <v>1</v>
      </c>
      <c r="J69" s="276" t="n">
        <v>1</v>
      </c>
      <c r="K69" s="276" t="n">
        <v>0.272109375</v>
      </c>
      <c r="L69" s="276" t="n">
        <v>0.272109375</v>
      </c>
      <c r="M69" s="276" t="inlineStr">
        <is>
          <t>Identity Provider; SaaS; IaaS; Windows</t>
        </is>
      </c>
      <c r="N69" s="276" t="inlineStr">
        <is>
          <t>https://attack.mitre.org/techniques/T1078/</t>
        </is>
      </c>
      <c r="O69" s="276" t="n"/>
      <c r="P69" s="277" t="n"/>
    </row>
    <row r="70">
      <c r="A70" s="275" t="inlineStr">
        <is>
          <t>Nation-state</t>
        </is>
      </c>
      <c r="B70" s="276" t="inlineStr">
        <is>
          <t>Sensitive-data compromise</t>
        </is>
      </c>
      <c r="C70" s="276" t="inlineStr">
        <is>
          <t>Identity and credential compromise</t>
        </is>
      </c>
      <c r="D70" s="276" t="inlineStr">
        <is>
          <t>T1110</t>
        </is>
      </c>
      <c r="E70" s="276" t="inlineStr">
        <is>
          <t>Brute Force</t>
        </is>
      </c>
      <c r="F70" s="276" t="inlineStr">
        <is>
          <t>S1</t>
        </is>
      </c>
      <c r="G70" s="276" t="b">
        <v>1</v>
      </c>
      <c r="H70" s="276" t="b">
        <v>1</v>
      </c>
      <c r="I70" s="276" t="b">
        <v>1</v>
      </c>
      <c r="J70" s="276" t="n">
        <v>0.7</v>
      </c>
      <c r="K70" s="276" t="n">
        <v>0.24375</v>
      </c>
      <c r="L70" s="276" t="n">
        <v>0.24375</v>
      </c>
      <c r="M70" s="276" t="inlineStr">
        <is>
          <t>Identity Provider; SaaS; Windows</t>
        </is>
      </c>
      <c r="N70" s="276" t="inlineStr">
        <is>
          <t>https://attack.mitre.org/techniques/T1110/</t>
        </is>
      </c>
      <c r="O70" s="276" t="n"/>
      <c r="P70" s="277" t="n"/>
    </row>
    <row r="71">
      <c r="A71" s="275" t="inlineStr">
        <is>
          <t>Nation-state</t>
        </is>
      </c>
      <c r="B71" s="276" t="inlineStr">
        <is>
          <t>Sensitive-data compromise</t>
        </is>
      </c>
      <c r="C71" s="276" t="inlineStr">
        <is>
          <t>Identity and credential compromise</t>
        </is>
      </c>
      <c r="D71" s="276" t="inlineStr">
        <is>
          <t>T1098</t>
        </is>
      </c>
      <c r="E71" s="276" t="inlineStr">
        <is>
          <t>Account Manipulation</t>
        </is>
      </c>
      <c r="F71" s="276" t="inlineStr">
        <is>
          <t>S3</t>
        </is>
      </c>
      <c r="G71" s="276" t="b">
        <v>1</v>
      </c>
      <c r="H71" s="276" t="b">
        <v>1</v>
      </c>
      <c r="I71" s="276" t="b">
        <v>1</v>
      </c>
      <c r="J71" s="276" t="n">
        <v>0.7</v>
      </c>
      <c r="K71" s="276" t="n">
        <v>0.2477547340393066</v>
      </c>
      <c r="L71" s="276" t="n">
        <v>0.2477547340393066</v>
      </c>
      <c r="M71" s="276" t="inlineStr">
        <is>
          <t>Identity Provider; SaaS; Windows</t>
        </is>
      </c>
      <c r="N71" s="276" t="inlineStr">
        <is>
          <t>https://attack.mitre.org/techniques/T1098/</t>
        </is>
      </c>
      <c r="O71" s="276" t="n"/>
      <c r="P71" s="277" t="n"/>
    </row>
    <row r="72">
      <c r="A72" s="275" t="inlineStr">
        <is>
          <t>Nation-state</t>
        </is>
      </c>
      <c r="B72" s="276" t="inlineStr">
        <is>
          <t>Sensitive-data compromise</t>
        </is>
      </c>
      <c r="C72" s="276" t="inlineStr">
        <is>
          <t>Identity and credential compromise</t>
        </is>
      </c>
      <c r="D72" s="276" t="inlineStr">
        <is>
          <t>T1087</t>
        </is>
      </c>
      <c r="E72" s="276" t="inlineStr">
        <is>
          <t>Account Discovery</t>
        </is>
      </c>
      <c r="F72" s="276" t="inlineStr">
        <is>
          <t>S4</t>
        </is>
      </c>
      <c r="G72" s="276" t="b">
        <v>1</v>
      </c>
      <c r="H72" s="276" t="b">
        <v>1</v>
      </c>
      <c r="I72" s="276" t="b">
        <v>1</v>
      </c>
      <c r="J72" s="276" t="n">
        <v>0.6</v>
      </c>
      <c r="K72" s="276" t="n">
        <v>0</v>
      </c>
      <c r="L72" s="276" t="n">
        <v>0</v>
      </c>
      <c r="M72" s="276" t="inlineStr">
        <is>
          <t>Identity Provider; SaaS; Windows</t>
        </is>
      </c>
      <c r="N72" s="276" t="inlineStr">
        <is>
          <t>https://attack.mitre.org/techniques/T1087/</t>
        </is>
      </c>
      <c r="O72" s="276" t="n"/>
      <c r="P72" s="277" t="n"/>
    </row>
    <row r="73">
      <c r="A73" s="275" t="inlineStr">
        <is>
          <t>Nation-state</t>
        </is>
      </c>
      <c r="B73" s="276" t="inlineStr">
        <is>
          <t>Sensitive-data compromise</t>
        </is>
      </c>
      <c r="C73" s="276" t="inlineStr">
        <is>
          <t>Identity and credential compromise</t>
        </is>
      </c>
      <c r="D73" s="276" t="inlineStr">
        <is>
          <t>T1213</t>
        </is>
      </c>
      <c r="E73" s="276" t="inlineStr">
        <is>
          <t>Data from Information Repositories</t>
        </is>
      </c>
      <c r="F73" s="276" t="inlineStr">
        <is>
          <t>S4</t>
        </is>
      </c>
      <c r="G73" s="276" t="b">
        <v>1</v>
      </c>
      <c r="H73" s="276" t="b">
        <v>1</v>
      </c>
      <c r="I73" s="276" t="b">
        <v>1</v>
      </c>
      <c r="J73" s="276" t="n">
        <v>0.8</v>
      </c>
      <c r="K73" s="276" t="n">
        <v>0.177890625</v>
      </c>
      <c r="L73" s="276" t="n">
        <v>0.177890625</v>
      </c>
      <c r="M73" s="276" t="inlineStr">
        <is>
          <t>SaaS; Office Suite; Windows</t>
        </is>
      </c>
      <c r="N73" s="276" t="inlineStr">
        <is>
          <t>https://attack.mitre.org/techniques/T1213/</t>
        </is>
      </c>
      <c r="O73" s="276" t="n"/>
      <c r="P73" s="277" t="n"/>
    </row>
    <row r="74">
      <c r="A74" s="275" t="inlineStr">
        <is>
          <t>Nation-state</t>
        </is>
      </c>
      <c r="B74" s="276" t="inlineStr">
        <is>
          <t>Sensitive-data compromise</t>
        </is>
      </c>
      <c r="C74" s="276" t="inlineStr">
        <is>
          <t>Identity and credential compromise</t>
        </is>
      </c>
      <c r="D74" s="276" t="inlineStr">
        <is>
          <t>T1567</t>
        </is>
      </c>
      <c r="E74" s="276" t="inlineStr">
        <is>
          <t>Exfiltration Over Web Service</t>
        </is>
      </c>
      <c r="F74" s="276" t="inlineStr">
        <is>
          <t>S5</t>
        </is>
      </c>
      <c r="G74" s="276" t="b">
        <v>1</v>
      </c>
      <c r="H74" s="276" t="b">
        <v>1</v>
      </c>
      <c r="I74" s="276" t="b">
        <v>1</v>
      </c>
      <c r="J74" s="276" t="n">
        <v>0.7</v>
      </c>
      <c r="K74" s="276" t="n">
        <v>0.20625</v>
      </c>
      <c r="L74" s="276" t="n">
        <v>0.20625</v>
      </c>
      <c r="M74" s="276" t="inlineStr">
        <is>
          <t>SaaS; Office Suite</t>
        </is>
      </c>
      <c r="N74" s="276" t="inlineStr">
        <is>
          <t>https://attack.mitre.org/techniques/T1567/</t>
        </is>
      </c>
      <c r="O74" s="276" t="n"/>
      <c r="P74" s="277" t="n"/>
    </row>
    <row r="75">
      <c r="A75" s="275" t="inlineStr">
        <is>
          <t>Nation-state</t>
        </is>
      </c>
      <c r="B75" s="276" t="inlineStr">
        <is>
          <t>Sensitive-data compromise</t>
        </is>
      </c>
      <c r="C75" s="276" t="inlineStr">
        <is>
          <t>Identity and credential compromise</t>
        </is>
      </c>
      <c r="D75" s="276" t="inlineStr">
        <is>
          <t>T1657</t>
        </is>
      </c>
      <c r="E75" s="276" t="inlineStr">
        <is>
          <t>Financial Theft</t>
        </is>
      </c>
      <c r="F75" s="276" t="inlineStr">
        <is>
          <t>S5</t>
        </is>
      </c>
      <c r="G75" s="276" t="b">
        <v>1</v>
      </c>
      <c r="H75" s="276" t="b">
        <v>0</v>
      </c>
      <c r="I75" s="276" t="b">
        <v>0</v>
      </c>
      <c r="J75" s="276" t="n">
        <v>0.8</v>
      </c>
      <c r="K75" s="276" t="n">
        <v>0.275654296875</v>
      </c>
      <c r="L75" s="276" t="n">
        <v>0.275654296875</v>
      </c>
      <c r="M75" s="276" t="inlineStr">
        <is>
          <t>SaaS; Office Suite; Identity Provider</t>
        </is>
      </c>
      <c r="N75" s="276" t="inlineStr">
        <is>
          <t>https://attack.mitre.org/techniques/T1657/</t>
        </is>
      </c>
      <c r="O75" s="276" t="n"/>
      <c r="P75" s="277" t="n"/>
    </row>
    <row r="76">
      <c r="A76" s="275" t="inlineStr">
        <is>
          <t>Nation-state</t>
        </is>
      </c>
      <c r="B76" s="276" t="inlineStr">
        <is>
          <t>Sensitive-data compromise</t>
        </is>
      </c>
      <c r="C76" s="276" t="inlineStr">
        <is>
          <t>Identity and credential compromise</t>
        </is>
      </c>
      <c r="D76" s="276" t="inlineStr">
        <is>
          <t>T1565</t>
        </is>
      </c>
      <c r="E76" s="276" t="inlineStr">
        <is>
          <t>Data Manipulation</t>
        </is>
      </c>
      <c r="F76" s="276" t="inlineStr">
        <is>
          <t>S5</t>
        </is>
      </c>
      <c r="G76" s="276" t="b">
        <v>1</v>
      </c>
      <c r="H76" s="276" t="b">
        <v>0</v>
      </c>
      <c r="I76" s="276" t="b">
        <v>0</v>
      </c>
      <c r="J76" s="276" t="n">
        <v>0.5</v>
      </c>
      <c r="K76" s="276" t="n">
        <v>0.2206064987182617</v>
      </c>
      <c r="L76" s="276" t="n">
        <v>0.2206064987182617</v>
      </c>
      <c r="M76" s="276" t="inlineStr">
        <is>
          <t>SaaS; Databases; Windows</t>
        </is>
      </c>
      <c r="N76" s="276" t="inlineStr">
        <is>
          <t>https://attack.mitre.org/techniques/T1565/</t>
        </is>
      </c>
      <c r="O76" s="276" t="n"/>
      <c r="P76" s="277" t="n"/>
    </row>
    <row r="77">
      <c r="A77" s="275" t="inlineStr">
        <is>
          <t>Nation-state</t>
        </is>
      </c>
      <c r="B77" s="276" t="inlineStr">
        <is>
          <t>Sensitive-data compromise</t>
        </is>
      </c>
      <c r="C77" s="276" t="inlineStr">
        <is>
          <t>Identity and credential compromise</t>
        </is>
      </c>
      <c r="D77" s="276" t="inlineStr">
        <is>
          <t>T1486</t>
        </is>
      </c>
      <c r="E77" s="276" t="inlineStr">
        <is>
          <t>Data Encrypted for Impact</t>
        </is>
      </c>
      <c r="F77" s="276" t="inlineStr">
        <is>
          <t>S5</t>
        </is>
      </c>
      <c r="G77" s="276" t="b">
        <v>1</v>
      </c>
      <c r="H77" s="276" t="b">
        <v>0</v>
      </c>
      <c r="I77" s="276" t="b">
        <v>0</v>
      </c>
      <c r="J77" s="276" t="n">
        <v>0.7</v>
      </c>
      <c r="K77" s="276" t="n">
        <v>0.16875</v>
      </c>
      <c r="L77" s="276" t="n">
        <v>0.16875</v>
      </c>
      <c r="M77" s="276" t="inlineStr">
        <is>
          <t>Windows; Linux; IaaS</t>
        </is>
      </c>
      <c r="N77" s="276" t="inlineStr">
        <is>
          <t>https://attack.mitre.org/techniques/T1486/</t>
        </is>
      </c>
      <c r="O77" s="276" t="n"/>
      <c r="P77" s="277" t="n"/>
    </row>
    <row r="78">
      <c r="A78" s="275" t="inlineStr">
        <is>
          <t>Nation-state</t>
        </is>
      </c>
      <c r="B78" s="276" t="inlineStr">
        <is>
          <t>Sensitive-data compromise</t>
        </is>
      </c>
      <c r="C78" s="276" t="inlineStr">
        <is>
          <t>Identity and credential compromise</t>
        </is>
      </c>
      <c r="D78" s="276" t="inlineStr">
        <is>
          <t>T1490</t>
        </is>
      </c>
      <c r="E78" s="276" t="inlineStr">
        <is>
          <t>Inhibit System Recovery</t>
        </is>
      </c>
      <c r="F78" s="276" t="inlineStr">
        <is>
          <t>S5</t>
        </is>
      </c>
      <c r="G78" s="276" t="b">
        <v>1</v>
      </c>
      <c r="H78" s="276" t="b">
        <v>0</v>
      </c>
      <c r="I78" s="276" t="b">
        <v>0</v>
      </c>
      <c r="J78" s="276" t="n">
        <v>0.6</v>
      </c>
      <c r="K78" s="276" t="n">
        <v>0</v>
      </c>
      <c r="L78" s="276" t="n">
        <v>0</v>
      </c>
      <c r="M78" s="276" t="inlineStr">
        <is>
          <t>Windows; Linux; IaaS</t>
        </is>
      </c>
      <c r="N78" s="276" t="inlineStr">
        <is>
          <t>https://attack.mitre.org/techniques/T1490/</t>
        </is>
      </c>
      <c r="O78" s="276" t="n"/>
      <c r="P78" s="277" t="n"/>
    </row>
    <row r="79">
      <c r="A79" s="275" t="inlineStr">
        <is>
          <t>Nation-state</t>
        </is>
      </c>
      <c r="B79" s="276" t="inlineStr">
        <is>
          <t>Sensitive-data compromise</t>
        </is>
      </c>
      <c r="C79" s="276" t="inlineStr">
        <is>
          <t>User endpoint and social engineering</t>
        </is>
      </c>
      <c r="D79" s="276" t="inlineStr">
        <is>
          <t>T1566</t>
        </is>
      </c>
      <c r="E79" s="276" t="inlineStr">
        <is>
          <t>Phishing</t>
        </is>
      </c>
      <c r="F79" s="276" t="inlineStr">
        <is>
          <t>S1</t>
        </is>
      </c>
      <c r="G79" s="276" t="b">
        <v>1</v>
      </c>
      <c r="H79" s="276" t="b">
        <v>1</v>
      </c>
      <c r="I79" s="276" t="b">
        <v>1</v>
      </c>
      <c r="J79" s="276" t="n">
        <v>1</v>
      </c>
      <c r="K79" s="276" t="n">
        <v>0.20625</v>
      </c>
      <c r="L79" s="276" t="n">
        <v>0.20625</v>
      </c>
      <c r="M79" s="276" t="inlineStr">
        <is>
          <t>Windows; SaaS; Office Suite</t>
        </is>
      </c>
      <c r="N79" s="276" t="inlineStr">
        <is>
          <t>https://attack.mitre.org/techniques/T1566/</t>
        </is>
      </c>
      <c r="O79" s="276" t="n"/>
      <c r="P79" s="277" t="n"/>
    </row>
    <row r="80">
      <c r="A80" s="275" t="inlineStr">
        <is>
          <t>Nation-state</t>
        </is>
      </c>
      <c r="B80" s="276" t="inlineStr">
        <is>
          <t>Sensitive-data compromise</t>
        </is>
      </c>
      <c r="C80" s="276" t="inlineStr">
        <is>
          <t>User endpoint and social engineering</t>
        </is>
      </c>
      <c r="D80" s="276" t="inlineStr">
        <is>
          <t>T1203</t>
        </is>
      </c>
      <c r="E80" s="276" t="inlineStr">
        <is>
          <t>Exploitation for Client Execution</t>
        </is>
      </c>
      <c r="F80" s="276" t="inlineStr">
        <is>
          <t>S2</t>
        </is>
      </c>
      <c r="G80" s="276" t="b">
        <v>1</v>
      </c>
      <c r="H80" s="276" t="b">
        <v>1</v>
      </c>
      <c r="I80" s="276" t="b">
        <v>1</v>
      </c>
      <c r="J80" s="276" t="n">
        <v>0.8</v>
      </c>
      <c r="K80" s="276" t="n">
        <v>0.2404920959472656</v>
      </c>
      <c r="L80" s="276" t="n">
        <v>0.2404920959472656</v>
      </c>
      <c r="M80" s="276" t="inlineStr">
        <is>
          <t>Windows; macOS; Linux</t>
        </is>
      </c>
      <c r="N80" s="276" t="inlineStr">
        <is>
          <t>https://attack.mitre.org/techniques/T1203/</t>
        </is>
      </c>
      <c r="O80" s="276" t="n"/>
      <c r="P80" s="277" t="n"/>
    </row>
    <row r="81">
      <c r="A81" s="275" t="inlineStr">
        <is>
          <t>Nation-state</t>
        </is>
      </c>
      <c r="B81" s="276" t="inlineStr">
        <is>
          <t>Sensitive-data compromise</t>
        </is>
      </c>
      <c r="C81" s="276" t="inlineStr">
        <is>
          <t>User endpoint and social engineering</t>
        </is>
      </c>
      <c r="D81" s="276" t="inlineStr">
        <is>
          <t>T1059</t>
        </is>
      </c>
      <c r="E81" s="276" t="inlineStr">
        <is>
          <t>Command and Scripting Interpreter</t>
        </is>
      </c>
      <c r="F81" s="276" t="inlineStr">
        <is>
          <t>S2</t>
        </is>
      </c>
      <c r="G81" s="276" t="b">
        <v>1</v>
      </c>
      <c r="H81" s="276" t="b">
        <v>1</v>
      </c>
      <c r="I81" s="276" t="b">
        <v>1</v>
      </c>
      <c r="J81" s="276" t="n">
        <v>0.9</v>
      </c>
      <c r="K81" s="276" t="n">
        <v>0.1875</v>
      </c>
      <c r="L81" s="276" t="n">
        <v>0.1875</v>
      </c>
      <c r="M81" s="276" t="inlineStr">
        <is>
          <t>Windows; macOS; Linux; IaaS</t>
        </is>
      </c>
      <c r="N81" s="276" t="inlineStr">
        <is>
          <t>https://attack.mitre.org/techniques/T1059/</t>
        </is>
      </c>
      <c r="O81" s="276" t="n"/>
      <c r="P81" s="277" t="n"/>
    </row>
    <row r="82">
      <c r="A82" s="275" t="inlineStr">
        <is>
          <t>Nation-state</t>
        </is>
      </c>
      <c r="B82" s="276" t="inlineStr">
        <is>
          <t>Sensitive-data compromise</t>
        </is>
      </c>
      <c r="C82" s="276" t="inlineStr">
        <is>
          <t>User endpoint and social engineering</t>
        </is>
      </c>
      <c r="D82" s="276" t="inlineStr">
        <is>
          <t>T1068</t>
        </is>
      </c>
      <c r="E82" s="276" t="inlineStr">
        <is>
          <t>Exploitation for Privilege Escalation</t>
        </is>
      </c>
      <c r="F82" s="276" t="inlineStr">
        <is>
          <t>S3</t>
        </is>
      </c>
      <c r="G82" s="276" t="b">
        <v>1</v>
      </c>
      <c r="H82" s="276" t="b">
        <v>1</v>
      </c>
      <c r="I82" s="276" t="b">
        <v>1</v>
      </c>
      <c r="J82" s="276" t="n">
        <v>0.7</v>
      </c>
      <c r="K82" s="276" t="n">
        <v>0.2094165115356445</v>
      </c>
      <c r="L82" s="276" t="n">
        <v>0.2094165115356445</v>
      </c>
      <c r="M82" s="276" t="inlineStr">
        <is>
          <t>Windows; macOS; Linux</t>
        </is>
      </c>
      <c r="N82" s="276" t="inlineStr">
        <is>
          <t>https://attack.mitre.org/techniques/T1068/</t>
        </is>
      </c>
      <c r="O82" s="276" t="n"/>
      <c r="P82" s="277" t="n"/>
    </row>
    <row r="83">
      <c r="A83" s="275" t="inlineStr">
        <is>
          <t>Nation-state</t>
        </is>
      </c>
      <c r="B83" s="276" t="inlineStr">
        <is>
          <t>Sensitive-data compromise</t>
        </is>
      </c>
      <c r="C83" s="276" t="inlineStr">
        <is>
          <t>User endpoint and social engineering</t>
        </is>
      </c>
      <c r="D83" s="276" t="inlineStr">
        <is>
          <t>T1003</t>
        </is>
      </c>
      <c r="E83" s="276" t="inlineStr">
        <is>
          <t>OS Credential Dumping</t>
        </is>
      </c>
      <c r="F83" s="276" t="inlineStr">
        <is>
          <t>S3</t>
        </is>
      </c>
      <c r="G83" s="276" t="b">
        <v>1</v>
      </c>
      <c r="H83" s="276" t="b">
        <v>1</v>
      </c>
      <c r="I83" s="276" t="b">
        <v>1</v>
      </c>
      <c r="J83" s="276" t="n">
        <v>0.8</v>
      </c>
      <c r="K83" s="276" t="n">
        <v>0.232294921875</v>
      </c>
      <c r="L83" s="276" t="n">
        <v>0.232294921875</v>
      </c>
      <c r="M83" s="276" t="inlineStr">
        <is>
          <t>Windows; Linux; macOS</t>
        </is>
      </c>
      <c r="N83" s="276" t="inlineStr">
        <is>
          <t>https://attack.mitre.org/techniques/T1003/</t>
        </is>
      </c>
      <c r="O83" s="276" t="n"/>
      <c r="P83" s="277" t="n"/>
    </row>
    <row r="84">
      <c r="A84" s="275" t="inlineStr">
        <is>
          <t>Nation-state</t>
        </is>
      </c>
      <c r="B84" s="276" t="inlineStr">
        <is>
          <t>Sensitive-data compromise</t>
        </is>
      </c>
      <c r="C84" s="276" t="inlineStr">
        <is>
          <t>User endpoint and social engineering</t>
        </is>
      </c>
      <c r="D84" s="276" t="inlineStr">
        <is>
          <t>T1046</t>
        </is>
      </c>
      <c r="E84" s="276" t="inlineStr">
        <is>
          <t>Network Service Discovery</t>
        </is>
      </c>
      <c r="F84" s="276" t="inlineStr">
        <is>
          <t>S4</t>
        </is>
      </c>
      <c r="G84" s="276" t="b">
        <v>1</v>
      </c>
      <c r="H84" s="276" t="b">
        <v>1</v>
      </c>
      <c r="I84" s="276" t="b">
        <v>1</v>
      </c>
      <c r="J84" s="276" t="n">
        <v>0.6</v>
      </c>
      <c r="K84" s="276" t="n">
        <v>0.16875</v>
      </c>
      <c r="L84" s="276" t="n">
        <v>0.16875</v>
      </c>
      <c r="M84" s="276" t="inlineStr">
        <is>
          <t>Network Devices; Windows; Linux</t>
        </is>
      </c>
      <c r="N84" s="276" t="inlineStr">
        <is>
          <t>https://attack.mitre.org/techniques/T1046/</t>
        </is>
      </c>
      <c r="O84" s="276" t="n"/>
      <c r="P84" s="277" t="n"/>
    </row>
    <row r="85">
      <c r="A85" s="275" t="inlineStr">
        <is>
          <t>Nation-state</t>
        </is>
      </c>
      <c r="B85" s="276" t="inlineStr">
        <is>
          <t>Sensitive-data compromise</t>
        </is>
      </c>
      <c r="C85" s="276" t="inlineStr">
        <is>
          <t>User endpoint and social engineering</t>
        </is>
      </c>
      <c r="D85" s="276" t="inlineStr">
        <is>
          <t>T1021</t>
        </is>
      </c>
      <c r="E85" s="276" t="inlineStr">
        <is>
          <t>Remote Services</t>
        </is>
      </c>
      <c r="F85" s="276" t="inlineStr">
        <is>
          <t>S4</t>
        </is>
      </c>
      <c r="G85" s="276" t="b">
        <v>1</v>
      </c>
      <c r="H85" s="276" t="b">
        <v>1</v>
      </c>
      <c r="I85" s="276" t="b">
        <v>1</v>
      </c>
      <c r="J85" s="276" t="n">
        <v>0.8</v>
      </c>
      <c r="K85" s="276" t="n">
        <v>0.1875</v>
      </c>
      <c r="L85" s="276" t="n">
        <v>0.1875</v>
      </c>
      <c r="M85" s="276" t="inlineStr">
        <is>
          <t>Windows; Linux; Network Devices</t>
        </is>
      </c>
      <c r="N85" s="276" t="inlineStr">
        <is>
          <t>https://attack.mitre.org/techniques/T1021/</t>
        </is>
      </c>
      <c r="O85" s="276" t="n"/>
      <c r="P85" s="277" t="n"/>
    </row>
    <row r="86">
      <c r="A86" s="275" t="inlineStr">
        <is>
          <t>Nation-state</t>
        </is>
      </c>
      <c r="B86" s="276" t="inlineStr">
        <is>
          <t>Sensitive-data compromise</t>
        </is>
      </c>
      <c r="C86" s="276" t="inlineStr">
        <is>
          <t>User endpoint and social engineering</t>
        </is>
      </c>
      <c r="D86" s="276" t="inlineStr">
        <is>
          <t>T1213</t>
        </is>
      </c>
      <c r="E86" s="276" t="inlineStr">
        <is>
          <t>Data from Information Repositories</t>
        </is>
      </c>
      <c r="F86" s="276" t="inlineStr">
        <is>
          <t>S4</t>
        </is>
      </c>
      <c r="G86" s="276" t="b">
        <v>1</v>
      </c>
      <c r="H86" s="276" t="b">
        <v>1</v>
      </c>
      <c r="I86" s="276" t="b">
        <v>1</v>
      </c>
      <c r="J86" s="276" t="n">
        <v>0.7</v>
      </c>
      <c r="K86" s="276" t="n">
        <v>0.177890625</v>
      </c>
      <c r="L86" s="276" t="n">
        <v>0.177890625</v>
      </c>
      <c r="M86" s="276" t="inlineStr">
        <is>
          <t>SaaS; Office Suite; Windows</t>
        </is>
      </c>
      <c r="N86" s="276" t="inlineStr">
        <is>
          <t>https://attack.mitre.org/techniques/T1213/</t>
        </is>
      </c>
      <c r="O86" s="276" t="n"/>
      <c r="P86" s="277" t="n"/>
    </row>
    <row r="87">
      <c r="A87" s="275" t="inlineStr">
        <is>
          <t>Nation-state</t>
        </is>
      </c>
      <c r="B87" s="276" t="inlineStr">
        <is>
          <t>Sensitive-data compromise</t>
        </is>
      </c>
      <c r="C87" s="276" t="inlineStr">
        <is>
          <t>User endpoint and social engineering</t>
        </is>
      </c>
      <c r="D87" s="276" t="inlineStr">
        <is>
          <t>T1486</t>
        </is>
      </c>
      <c r="E87" s="276" t="inlineStr">
        <is>
          <t>Data Encrypted for Impact</t>
        </is>
      </c>
      <c r="F87" s="276" t="inlineStr">
        <is>
          <t>S5</t>
        </is>
      </c>
      <c r="G87" s="276" t="b">
        <v>1</v>
      </c>
      <c r="H87" s="276" t="b">
        <v>0</v>
      </c>
      <c r="I87" s="276" t="b">
        <v>0</v>
      </c>
      <c r="J87" s="276" t="n">
        <v>0.8</v>
      </c>
      <c r="K87" s="276" t="n">
        <v>0.16875</v>
      </c>
      <c r="L87" s="276" t="n">
        <v>0.16875</v>
      </c>
      <c r="M87" s="276" t="inlineStr">
        <is>
          <t>Windows; Linux; IaaS</t>
        </is>
      </c>
      <c r="N87" s="276" t="inlineStr">
        <is>
          <t>https://attack.mitre.org/techniques/T1486/</t>
        </is>
      </c>
      <c r="O87" s="276" t="n"/>
      <c r="P87" s="277" t="n"/>
    </row>
    <row r="88">
      <c r="A88" s="275" t="inlineStr">
        <is>
          <t>Nation-state</t>
        </is>
      </c>
      <c r="B88" s="276" t="inlineStr">
        <is>
          <t>Sensitive-data compromise</t>
        </is>
      </c>
      <c r="C88" s="276" t="inlineStr">
        <is>
          <t>User endpoint and social engineering</t>
        </is>
      </c>
      <c r="D88" s="276" t="inlineStr">
        <is>
          <t>T1490</t>
        </is>
      </c>
      <c r="E88" s="276" t="inlineStr">
        <is>
          <t>Inhibit System Recovery</t>
        </is>
      </c>
      <c r="F88" s="276" t="inlineStr">
        <is>
          <t>S5</t>
        </is>
      </c>
      <c r="G88" s="276" t="b">
        <v>1</v>
      </c>
      <c r="H88" s="276" t="b">
        <v>0</v>
      </c>
      <c r="I88" s="276" t="b">
        <v>0</v>
      </c>
      <c r="J88" s="276" t="n">
        <v>0.7</v>
      </c>
      <c r="K88" s="276" t="n">
        <v>0</v>
      </c>
      <c r="L88" s="276" t="n">
        <v>0</v>
      </c>
      <c r="M88" s="276" t="inlineStr">
        <is>
          <t>Windows; Linux; IaaS</t>
        </is>
      </c>
      <c r="N88" s="276" t="inlineStr">
        <is>
          <t>https://attack.mitre.org/techniques/T1490/</t>
        </is>
      </c>
      <c r="O88" s="276" t="n"/>
      <c r="P88" s="277" t="n"/>
    </row>
    <row r="89">
      <c r="A89" s="275" t="inlineStr">
        <is>
          <t>Nation-state</t>
        </is>
      </c>
      <c r="B89" s="276" t="inlineStr">
        <is>
          <t>Sensitive-data compromise</t>
        </is>
      </c>
      <c r="C89" s="276" t="inlineStr">
        <is>
          <t>User endpoint and social engineering</t>
        </is>
      </c>
      <c r="D89" s="276" t="inlineStr">
        <is>
          <t>T1567</t>
        </is>
      </c>
      <c r="E89" s="276" t="inlineStr">
        <is>
          <t>Exfiltration Over Web Service</t>
        </is>
      </c>
      <c r="F89" s="276" t="inlineStr">
        <is>
          <t>S5</t>
        </is>
      </c>
      <c r="G89" s="276" t="b">
        <v>1</v>
      </c>
      <c r="H89" s="276" t="b">
        <v>1</v>
      </c>
      <c r="I89" s="276" t="b">
        <v>1</v>
      </c>
      <c r="J89" s="276" t="n">
        <v>0.7</v>
      </c>
      <c r="K89" s="276" t="n">
        <v>0.20625</v>
      </c>
      <c r="L89" s="276" t="n">
        <v>0.20625</v>
      </c>
      <c r="M89" s="276" t="inlineStr">
        <is>
          <t>SaaS; Office Suite</t>
        </is>
      </c>
      <c r="N89" s="276" t="inlineStr">
        <is>
          <t>https://attack.mitre.org/techniques/T1567/</t>
        </is>
      </c>
      <c r="O89" s="276" t="n"/>
      <c r="P89" s="277" t="n"/>
    </row>
    <row r="90">
      <c r="A90" s="275" t="inlineStr">
        <is>
          <t>Nation-state</t>
        </is>
      </c>
      <c r="B90" s="276" t="inlineStr">
        <is>
          <t>Sensitive-data compromise</t>
        </is>
      </c>
      <c r="C90" s="276" t="inlineStr">
        <is>
          <t>User endpoint and social engineering</t>
        </is>
      </c>
      <c r="D90" s="276" t="inlineStr">
        <is>
          <t>T1657</t>
        </is>
      </c>
      <c r="E90" s="276" t="inlineStr">
        <is>
          <t>Financial Theft</t>
        </is>
      </c>
      <c r="F90" s="276" t="inlineStr">
        <is>
          <t>S5</t>
        </is>
      </c>
      <c r="G90" s="276" t="b">
        <v>1</v>
      </c>
      <c r="H90" s="276" t="b">
        <v>0</v>
      </c>
      <c r="I90" s="276" t="b">
        <v>0</v>
      </c>
      <c r="J90" s="276" t="n">
        <v>0.5</v>
      </c>
      <c r="K90" s="276" t="n">
        <v>0.275654296875</v>
      </c>
      <c r="L90" s="276" t="n">
        <v>0.275654296875</v>
      </c>
      <c r="M90" s="276" t="inlineStr">
        <is>
          <t>SaaS; Office Suite; Identity Provider</t>
        </is>
      </c>
      <c r="N90" s="276" t="inlineStr">
        <is>
          <t>https://attack.mitre.org/techniques/T1657/</t>
        </is>
      </c>
      <c r="O90" s="276" t="n"/>
      <c r="P90" s="277" t="n"/>
    </row>
    <row r="91">
      <c r="A91" s="275" t="inlineStr">
        <is>
          <t>Nation-state</t>
        </is>
      </c>
      <c r="B91" s="276" t="inlineStr">
        <is>
          <t>Sensitive-data compromise</t>
        </is>
      </c>
      <c r="C91" s="276" t="inlineStr">
        <is>
          <t>User endpoint and social engineering</t>
        </is>
      </c>
      <c r="D91" s="276" t="inlineStr">
        <is>
          <t>T1565</t>
        </is>
      </c>
      <c r="E91" s="276" t="inlineStr">
        <is>
          <t>Data Manipulation</t>
        </is>
      </c>
      <c r="F91" s="276" t="inlineStr">
        <is>
          <t>S5</t>
        </is>
      </c>
      <c r="G91" s="276" t="b">
        <v>1</v>
      </c>
      <c r="H91" s="276" t="b">
        <v>0</v>
      </c>
      <c r="I91" s="276" t="b">
        <v>0</v>
      </c>
      <c r="J91" s="276" t="n">
        <v>0.5</v>
      </c>
      <c r="K91" s="276" t="n">
        <v>0.2206064987182617</v>
      </c>
      <c r="L91" s="276" t="n">
        <v>0.2206064987182617</v>
      </c>
      <c r="M91" s="276" t="inlineStr">
        <is>
          <t>SaaS; Databases; Windows</t>
        </is>
      </c>
      <c r="N91" s="276" t="inlineStr">
        <is>
          <t>https://attack.mitre.org/techniques/T1565/</t>
        </is>
      </c>
      <c r="O91" s="276" t="n"/>
      <c r="P91" s="277" t="n"/>
    </row>
    <row r="92">
      <c r="A92" s="275" t="inlineStr">
        <is>
          <t>Nation-state</t>
        </is>
      </c>
      <c r="B92" s="276" t="inlineStr">
        <is>
          <t>Sensitive-data compromise</t>
        </is>
      </c>
      <c r="C92" s="276" t="inlineStr">
        <is>
          <t>Public-facing application exploitation</t>
        </is>
      </c>
      <c r="D92" s="276" t="inlineStr">
        <is>
          <t>T1190</t>
        </is>
      </c>
      <c r="E92" s="276" t="inlineStr">
        <is>
          <t>Exploit Public-Facing Application</t>
        </is>
      </c>
      <c r="F92" s="276" t="inlineStr">
        <is>
          <t>S1</t>
        </is>
      </c>
      <c r="G92" s="276" t="b">
        <v>1</v>
      </c>
      <c r="H92" s="276" t="b">
        <v>1</v>
      </c>
      <c r="I92" s="276" t="b">
        <v>1</v>
      </c>
      <c r="J92" s="276" t="n">
        <v>1</v>
      </c>
      <c r="K92" s="276" t="n">
        <v>0.2496630477905274</v>
      </c>
      <c r="L92" s="276" t="n">
        <v>0.2496630477905274</v>
      </c>
      <c r="M92" s="276" t="inlineStr">
        <is>
          <t>Network Devices; SaaS; IaaS</t>
        </is>
      </c>
      <c r="N92" s="276" t="inlineStr">
        <is>
          <t>https://attack.mitre.org/techniques/T1190/</t>
        </is>
      </c>
      <c r="O92" s="276" t="n"/>
      <c r="P92" s="277" t="n"/>
    </row>
    <row r="93">
      <c r="A93" s="275" t="inlineStr">
        <is>
          <t>Nation-state</t>
        </is>
      </c>
      <c r="B93" s="276" t="inlineStr">
        <is>
          <t>Sensitive-data compromise</t>
        </is>
      </c>
      <c r="C93" s="276" t="inlineStr">
        <is>
          <t>Public-facing application exploitation</t>
        </is>
      </c>
      <c r="D93" s="276" t="inlineStr">
        <is>
          <t>T1059</t>
        </is>
      </c>
      <c r="E93" s="276" t="inlineStr">
        <is>
          <t>Command and Scripting Interpreter</t>
        </is>
      </c>
      <c r="F93" s="276" t="inlineStr">
        <is>
          <t>S2</t>
        </is>
      </c>
      <c r="G93" s="276" t="b">
        <v>1</v>
      </c>
      <c r="H93" s="276" t="b">
        <v>1</v>
      </c>
      <c r="I93" s="276" t="b">
        <v>1</v>
      </c>
      <c r="J93" s="276" t="n">
        <v>0.8</v>
      </c>
      <c r="K93" s="276" t="n">
        <v>0.1875</v>
      </c>
      <c r="L93" s="276" t="n">
        <v>0.1875</v>
      </c>
      <c r="M93" s="276" t="inlineStr">
        <is>
          <t>Windows; macOS; Linux; IaaS</t>
        </is>
      </c>
      <c r="N93" s="276" t="inlineStr">
        <is>
          <t>https://attack.mitre.org/techniques/T1059/</t>
        </is>
      </c>
      <c r="O93" s="276" t="n"/>
      <c r="P93" s="277" t="n"/>
    </row>
    <row r="94">
      <c r="A94" s="275" t="inlineStr">
        <is>
          <t>Nation-state</t>
        </is>
      </c>
      <c r="B94" s="276" t="inlineStr">
        <is>
          <t>Sensitive-data compromise</t>
        </is>
      </c>
      <c r="C94" s="276" t="inlineStr">
        <is>
          <t>Public-facing application exploitation</t>
        </is>
      </c>
      <c r="D94" s="276" t="inlineStr">
        <is>
          <t>T1068</t>
        </is>
      </c>
      <c r="E94" s="276" t="inlineStr">
        <is>
          <t>Exploitation for Privilege Escalation</t>
        </is>
      </c>
      <c r="F94" s="276" t="inlineStr">
        <is>
          <t>S3</t>
        </is>
      </c>
      <c r="G94" s="276" t="b">
        <v>1</v>
      </c>
      <c r="H94" s="276" t="b">
        <v>1</v>
      </c>
      <c r="I94" s="276" t="b">
        <v>1</v>
      </c>
      <c r="J94" s="276" t="n">
        <v>0.7</v>
      </c>
      <c r="K94" s="276" t="n">
        <v>0.2094165115356445</v>
      </c>
      <c r="L94" s="276" t="n">
        <v>0.2094165115356445</v>
      </c>
      <c r="M94" s="276" t="inlineStr">
        <is>
          <t>Windows; macOS; Linux</t>
        </is>
      </c>
      <c r="N94" s="276" t="inlineStr">
        <is>
          <t>https://attack.mitre.org/techniques/T1068/</t>
        </is>
      </c>
      <c r="O94" s="276" t="n"/>
      <c r="P94" s="277" t="n"/>
    </row>
    <row r="95">
      <c r="A95" s="275" t="inlineStr">
        <is>
          <t>Nation-state</t>
        </is>
      </c>
      <c r="B95" s="276" t="inlineStr">
        <is>
          <t>Sensitive-data compromise</t>
        </is>
      </c>
      <c r="C95" s="276" t="inlineStr">
        <is>
          <t>Public-facing application exploitation</t>
        </is>
      </c>
      <c r="D95" s="276" t="inlineStr">
        <is>
          <t>T1003</t>
        </is>
      </c>
      <c r="E95" s="276" t="inlineStr">
        <is>
          <t>OS Credential Dumping</t>
        </is>
      </c>
      <c r="F95" s="276" t="inlineStr">
        <is>
          <t>S3</t>
        </is>
      </c>
      <c r="G95" s="276" t="b">
        <v>1</v>
      </c>
      <c r="H95" s="276" t="b">
        <v>1</v>
      </c>
      <c r="I95" s="276" t="b">
        <v>1</v>
      </c>
      <c r="J95" s="276" t="n">
        <v>0.6</v>
      </c>
      <c r="K95" s="276" t="n">
        <v>0.232294921875</v>
      </c>
      <c r="L95" s="276" t="n">
        <v>0.232294921875</v>
      </c>
      <c r="M95" s="276" t="inlineStr">
        <is>
          <t>Windows; Linux; macOS</t>
        </is>
      </c>
      <c r="N95" s="276" t="inlineStr">
        <is>
          <t>https://attack.mitre.org/techniques/T1003/</t>
        </is>
      </c>
      <c r="O95" s="276" t="n"/>
      <c r="P95" s="277" t="n"/>
    </row>
    <row r="96">
      <c r="A96" s="275" t="inlineStr">
        <is>
          <t>Nation-state</t>
        </is>
      </c>
      <c r="B96" s="276" t="inlineStr">
        <is>
          <t>Sensitive-data compromise</t>
        </is>
      </c>
      <c r="C96" s="276" t="inlineStr">
        <is>
          <t>Public-facing application exploitation</t>
        </is>
      </c>
      <c r="D96" s="276" t="inlineStr">
        <is>
          <t>T1046</t>
        </is>
      </c>
      <c r="E96" s="276" t="inlineStr">
        <is>
          <t>Network Service Discovery</t>
        </is>
      </c>
      <c r="F96" s="276" t="inlineStr">
        <is>
          <t>S4</t>
        </is>
      </c>
      <c r="G96" s="276" t="b">
        <v>1</v>
      </c>
      <c r="H96" s="276" t="b">
        <v>1</v>
      </c>
      <c r="I96" s="276" t="b">
        <v>1</v>
      </c>
      <c r="J96" s="276" t="n">
        <v>0.7</v>
      </c>
      <c r="K96" s="276" t="n">
        <v>0.16875</v>
      </c>
      <c r="L96" s="276" t="n">
        <v>0.16875</v>
      </c>
      <c r="M96" s="276" t="inlineStr">
        <is>
          <t>Network Devices; Windows; Linux</t>
        </is>
      </c>
      <c r="N96" s="276" t="inlineStr">
        <is>
          <t>https://attack.mitre.org/techniques/T1046/</t>
        </is>
      </c>
      <c r="O96" s="276" t="n"/>
      <c r="P96" s="277" t="n"/>
    </row>
    <row r="97">
      <c r="A97" s="275" t="inlineStr">
        <is>
          <t>Nation-state</t>
        </is>
      </c>
      <c r="B97" s="276" t="inlineStr">
        <is>
          <t>Sensitive-data compromise</t>
        </is>
      </c>
      <c r="C97" s="276" t="inlineStr">
        <is>
          <t>Public-facing application exploitation</t>
        </is>
      </c>
      <c r="D97" s="276" t="inlineStr">
        <is>
          <t>T1210</t>
        </is>
      </c>
      <c r="E97" s="276" t="inlineStr">
        <is>
          <t>Exploitation of Remote Services</t>
        </is>
      </c>
      <c r="F97" s="276" t="inlineStr">
        <is>
          <t>S4</t>
        </is>
      </c>
      <c r="G97" s="276" t="b">
        <v>1</v>
      </c>
      <c r="H97" s="276" t="b">
        <v>1</v>
      </c>
      <c r="I97" s="276" t="b">
        <v>1</v>
      </c>
      <c r="J97" s="276" t="n">
        <v>0.9</v>
      </c>
      <c r="K97" s="276" t="n">
        <v>0.2103495368957519</v>
      </c>
      <c r="L97" s="276" t="n">
        <v>0.2103495368957519</v>
      </c>
      <c r="M97" s="276" t="inlineStr">
        <is>
          <t>Windows; Linux; Network Devices</t>
        </is>
      </c>
      <c r="N97" s="276" t="inlineStr">
        <is>
          <t>https://attack.mitre.org/techniques/T1210/</t>
        </is>
      </c>
      <c r="O97" s="276" t="n"/>
      <c r="P97" s="277" t="n"/>
    </row>
    <row r="98">
      <c r="A98" s="275" t="inlineStr">
        <is>
          <t>Nation-state</t>
        </is>
      </c>
      <c r="B98" s="276" t="inlineStr">
        <is>
          <t>Sensitive-data compromise</t>
        </is>
      </c>
      <c r="C98" s="276" t="inlineStr">
        <is>
          <t>Public-facing application exploitation</t>
        </is>
      </c>
      <c r="D98" s="276" t="inlineStr">
        <is>
          <t>T1021</t>
        </is>
      </c>
      <c r="E98" s="276" t="inlineStr">
        <is>
          <t>Remote Services</t>
        </is>
      </c>
      <c r="F98" s="276" t="inlineStr">
        <is>
          <t>S4</t>
        </is>
      </c>
      <c r="G98" s="276" t="b">
        <v>1</v>
      </c>
      <c r="H98" s="276" t="b">
        <v>1</v>
      </c>
      <c r="I98" s="276" t="b">
        <v>1</v>
      </c>
      <c r="J98" s="276" t="n">
        <v>0.7</v>
      </c>
      <c r="K98" s="276" t="n">
        <v>0.1875</v>
      </c>
      <c r="L98" s="276" t="n">
        <v>0.1875</v>
      </c>
      <c r="M98" s="276" t="inlineStr">
        <is>
          <t>Windows; Linux; Network Devices</t>
        </is>
      </c>
      <c r="N98" s="276" t="inlineStr">
        <is>
          <t>https://attack.mitre.org/techniques/T1021/</t>
        </is>
      </c>
      <c r="O98" s="276" t="n"/>
      <c r="P98" s="277" t="n"/>
    </row>
    <row r="99">
      <c r="A99" s="275" t="inlineStr">
        <is>
          <t>Nation-state</t>
        </is>
      </c>
      <c r="B99" s="276" t="inlineStr">
        <is>
          <t>Sensitive-data compromise</t>
        </is>
      </c>
      <c r="C99" s="276" t="inlineStr">
        <is>
          <t>Public-facing application exploitation</t>
        </is>
      </c>
      <c r="D99" s="276" t="inlineStr">
        <is>
          <t>T1486</t>
        </is>
      </c>
      <c r="E99" s="276" t="inlineStr">
        <is>
          <t>Data Encrypted for Impact</t>
        </is>
      </c>
      <c r="F99" s="276" t="inlineStr">
        <is>
          <t>S5</t>
        </is>
      </c>
      <c r="G99" s="276" t="b">
        <v>1</v>
      </c>
      <c r="H99" s="276" t="b">
        <v>0</v>
      </c>
      <c r="I99" s="276" t="b">
        <v>0</v>
      </c>
      <c r="J99" s="276" t="n">
        <v>0.6</v>
      </c>
      <c r="K99" s="276" t="n">
        <v>0.16875</v>
      </c>
      <c r="L99" s="276" t="n">
        <v>0.16875</v>
      </c>
      <c r="M99" s="276" t="inlineStr">
        <is>
          <t>Windows; Linux; IaaS</t>
        </is>
      </c>
      <c r="N99" s="276" t="inlineStr">
        <is>
          <t>https://attack.mitre.org/techniques/T1486/</t>
        </is>
      </c>
      <c r="O99" s="276" t="n"/>
      <c r="P99" s="277" t="n"/>
    </row>
    <row r="100">
      <c r="A100" s="275" t="inlineStr">
        <is>
          <t>Nation-state</t>
        </is>
      </c>
      <c r="B100" s="276" t="inlineStr">
        <is>
          <t>Sensitive-data compromise</t>
        </is>
      </c>
      <c r="C100" s="276" t="inlineStr">
        <is>
          <t>Public-facing application exploitation</t>
        </is>
      </c>
      <c r="D100" s="276" t="inlineStr">
        <is>
          <t>T1490</t>
        </is>
      </c>
      <c r="E100" s="276" t="inlineStr">
        <is>
          <t>Inhibit System Recovery</t>
        </is>
      </c>
      <c r="F100" s="276" t="inlineStr">
        <is>
          <t>S5</t>
        </is>
      </c>
      <c r="G100" s="276" t="b">
        <v>1</v>
      </c>
      <c r="H100" s="276" t="b">
        <v>0</v>
      </c>
      <c r="I100" s="276" t="b">
        <v>0</v>
      </c>
      <c r="J100" s="276" t="n">
        <v>0.5</v>
      </c>
      <c r="K100" s="276" t="n">
        <v>0</v>
      </c>
      <c r="L100" s="276" t="n">
        <v>0</v>
      </c>
      <c r="M100" s="276" t="inlineStr">
        <is>
          <t>Windows; Linux; IaaS</t>
        </is>
      </c>
      <c r="N100" s="276" t="inlineStr">
        <is>
          <t>https://attack.mitre.org/techniques/T1490/</t>
        </is>
      </c>
      <c r="O100" s="276" t="n"/>
      <c r="P100" s="277" t="n"/>
    </row>
    <row r="101">
      <c r="A101" s="275" t="inlineStr">
        <is>
          <t>Nation-state</t>
        </is>
      </c>
      <c r="B101" s="276" t="inlineStr">
        <is>
          <t>Sensitive-data compromise</t>
        </is>
      </c>
      <c r="C101" s="276" t="inlineStr">
        <is>
          <t>Public-facing application exploitation</t>
        </is>
      </c>
      <c r="D101" s="276" t="inlineStr">
        <is>
          <t>T1567</t>
        </is>
      </c>
      <c r="E101" s="276" t="inlineStr">
        <is>
          <t>Exfiltration Over Web Service</t>
        </is>
      </c>
      <c r="F101" s="276" t="inlineStr">
        <is>
          <t>S5</t>
        </is>
      </c>
      <c r="G101" s="276" t="b">
        <v>1</v>
      </c>
      <c r="H101" s="276" t="b">
        <v>1</v>
      </c>
      <c r="I101" s="276" t="b">
        <v>1</v>
      </c>
      <c r="J101" s="276" t="n">
        <v>0.6</v>
      </c>
      <c r="K101" s="276" t="n">
        <v>0.20625</v>
      </c>
      <c r="L101" s="276" t="n">
        <v>0.20625</v>
      </c>
      <c r="M101" s="276" t="inlineStr">
        <is>
          <t>SaaS; Office Suite</t>
        </is>
      </c>
      <c r="N101" s="276" t="inlineStr">
        <is>
          <t>https://attack.mitre.org/techniques/T1567/</t>
        </is>
      </c>
      <c r="O101" s="276" t="n"/>
      <c r="P101" s="277" t="n"/>
    </row>
    <row r="102">
      <c r="A102" s="275" t="inlineStr">
        <is>
          <t>Nation-state</t>
        </is>
      </c>
      <c r="B102" s="276" t="inlineStr">
        <is>
          <t>Sensitive-data compromise</t>
        </is>
      </c>
      <c r="C102" s="276" t="inlineStr">
        <is>
          <t>Public-facing application exploitation</t>
        </is>
      </c>
      <c r="D102" s="276" t="inlineStr">
        <is>
          <t>T1565</t>
        </is>
      </c>
      <c r="E102" s="276" t="inlineStr">
        <is>
          <t>Data Manipulation</t>
        </is>
      </c>
      <c r="F102" s="276" t="inlineStr">
        <is>
          <t>S5</t>
        </is>
      </c>
      <c r="G102" s="276" t="b">
        <v>1</v>
      </c>
      <c r="H102" s="276" t="b">
        <v>0</v>
      </c>
      <c r="I102" s="276" t="b">
        <v>0</v>
      </c>
      <c r="J102" s="276" t="n">
        <v>0.6</v>
      </c>
      <c r="K102" s="276" t="n">
        <v>0.2206064987182617</v>
      </c>
      <c r="L102" s="276" t="n">
        <v>0.2206064987182617</v>
      </c>
      <c r="M102" s="276" t="inlineStr">
        <is>
          <t>SaaS; Databases; Windows</t>
        </is>
      </c>
      <c r="N102" s="276" t="inlineStr">
        <is>
          <t>https://attack.mitre.org/techniques/T1565/</t>
        </is>
      </c>
      <c r="O102" s="276" t="n"/>
      <c r="P102" s="277" t="n"/>
    </row>
    <row r="103">
      <c r="A103" s="275" t="inlineStr">
        <is>
          <t>Nation-state</t>
        </is>
      </c>
      <c r="B103" s="276" t="inlineStr">
        <is>
          <t>Sensitive-data compromise</t>
        </is>
      </c>
      <c r="C103" s="276" t="inlineStr">
        <is>
          <t>Public-facing application exploitation</t>
        </is>
      </c>
      <c r="D103" s="276" t="inlineStr">
        <is>
          <t>T1657</t>
        </is>
      </c>
      <c r="E103" s="276" t="inlineStr">
        <is>
          <t>Financial Theft</t>
        </is>
      </c>
      <c r="F103" s="276" t="inlineStr">
        <is>
          <t>S5</t>
        </is>
      </c>
      <c r="G103" s="276" t="b">
        <v>1</v>
      </c>
      <c r="H103" s="276" t="b">
        <v>0</v>
      </c>
      <c r="I103" s="276" t="b">
        <v>0</v>
      </c>
      <c r="J103" s="276" t="n">
        <v>0.4</v>
      </c>
      <c r="K103" s="276" t="n">
        <v>0.275654296875</v>
      </c>
      <c r="L103" s="276" t="n">
        <v>0.275654296875</v>
      </c>
      <c r="M103" s="276" t="inlineStr">
        <is>
          <t>SaaS; Office Suite; Identity Provider</t>
        </is>
      </c>
      <c r="N103" s="276" t="inlineStr">
        <is>
          <t>https://attack.mitre.org/techniques/T1657/</t>
        </is>
      </c>
      <c r="O103" s="276" t="n"/>
      <c r="P103" s="277" t="n"/>
    </row>
    <row r="104">
      <c r="A104" s="275" t="inlineStr">
        <is>
          <t>Nation-state</t>
        </is>
      </c>
      <c r="B104" s="276" t="inlineStr">
        <is>
          <t>Sensitive-data compromise</t>
        </is>
      </c>
      <c r="C104" s="276" t="inlineStr">
        <is>
          <t>Third-party or software supply chain</t>
        </is>
      </c>
      <c r="D104" s="276" t="inlineStr">
        <is>
          <t>T1199</t>
        </is>
      </c>
      <c r="E104" s="276" t="inlineStr">
        <is>
          <t>Trusted Relationship</t>
        </is>
      </c>
      <c r="F104" s="276" t="inlineStr">
        <is>
          <t>S3</t>
        </is>
      </c>
      <c r="G104" s="276" t="b">
        <v>1</v>
      </c>
      <c r="H104" s="276" t="b">
        <v>1</v>
      </c>
      <c r="I104" s="276" t="b">
        <v>1</v>
      </c>
      <c r="J104" s="276" t="n">
        <v>1</v>
      </c>
      <c r="K104" s="276" t="n">
        <v>0.20625</v>
      </c>
      <c r="L104" s="276" t="n">
        <v>0.20625</v>
      </c>
      <c r="M104" s="276" t="inlineStr">
        <is>
          <t>SaaS; IaaS; Network Devices</t>
        </is>
      </c>
      <c r="N104" s="276" t="inlineStr">
        <is>
          <t>https://attack.mitre.org/techniques/T1199/</t>
        </is>
      </c>
      <c r="O104" s="276" t="n"/>
      <c r="P104" s="277" t="n"/>
    </row>
    <row r="105">
      <c r="A105" s="275" t="inlineStr">
        <is>
          <t>Nation-state</t>
        </is>
      </c>
      <c r="B105" s="276" t="inlineStr">
        <is>
          <t>Sensitive-data compromise</t>
        </is>
      </c>
      <c r="C105" s="276" t="inlineStr">
        <is>
          <t>Third-party or software supply chain</t>
        </is>
      </c>
      <c r="D105" s="276" t="inlineStr">
        <is>
          <t>T1098</t>
        </is>
      </c>
      <c r="E105" s="276" t="inlineStr">
        <is>
          <t>Account Manipulation</t>
        </is>
      </c>
      <c r="F105" s="276" t="inlineStr">
        <is>
          <t>S3</t>
        </is>
      </c>
      <c r="G105" s="276" t="b">
        <v>1</v>
      </c>
      <c r="H105" s="276" t="b">
        <v>1</v>
      </c>
      <c r="I105" s="276" t="b">
        <v>1</v>
      </c>
      <c r="J105" s="276" t="n">
        <v>0.6</v>
      </c>
      <c r="K105" s="276" t="n">
        <v>0.2477547340393066</v>
      </c>
      <c r="L105" s="276" t="n">
        <v>0.2477547340393066</v>
      </c>
      <c r="M105" s="276" t="inlineStr">
        <is>
          <t>Identity Provider; SaaS; Windows</t>
        </is>
      </c>
      <c r="N105" s="276" t="inlineStr">
        <is>
          <t>https://attack.mitre.org/techniques/T1098/</t>
        </is>
      </c>
      <c r="O105" s="276" t="n"/>
      <c r="P105" s="277" t="n"/>
    </row>
    <row r="106">
      <c r="A106" s="275" t="inlineStr">
        <is>
          <t>Nation-state</t>
        </is>
      </c>
      <c r="B106" s="276" t="inlineStr">
        <is>
          <t>Sensitive-data compromise</t>
        </is>
      </c>
      <c r="C106" s="276" t="inlineStr">
        <is>
          <t>Third-party or software supply chain</t>
        </is>
      </c>
      <c r="D106" s="276" t="inlineStr">
        <is>
          <t>T1087</t>
        </is>
      </c>
      <c r="E106" s="276" t="inlineStr">
        <is>
          <t>Account Discovery</t>
        </is>
      </c>
      <c r="F106" s="276" t="inlineStr">
        <is>
          <t>S4</t>
        </is>
      </c>
      <c r="G106" s="276" t="b">
        <v>1</v>
      </c>
      <c r="H106" s="276" t="b">
        <v>1</v>
      </c>
      <c r="I106" s="276" t="b">
        <v>1</v>
      </c>
      <c r="J106" s="276" t="n">
        <v>0.5</v>
      </c>
      <c r="K106" s="276" t="n">
        <v>0</v>
      </c>
      <c r="L106" s="276" t="n">
        <v>0</v>
      </c>
      <c r="M106" s="276" t="inlineStr">
        <is>
          <t>Identity Provider; SaaS; Windows</t>
        </is>
      </c>
      <c r="N106" s="276" t="inlineStr">
        <is>
          <t>https://attack.mitre.org/techniques/T1087/</t>
        </is>
      </c>
      <c r="O106" s="276" t="n"/>
      <c r="P106" s="277" t="n"/>
    </row>
    <row r="107">
      <c r="A107" s="275" t="inlineStr">
        <is>
          <t>Nation-state</t>
        </is>
      </c>
      <c r="B107" s="276" t="inlineStr">
        <is>
          <t>Sensitive-data compromise</t>
        </is>
      </c>
      <c r="C107" s="276" t="inlineStr">
        <is>
          <t>Third-party or software supply chain</t>
        </is>
      </c>
      <c r="D107" s="276" t="inlineStr">
        <is>
          <t>T1213</t>
        </is>
      </c>
      <c r="E107" s="276" t="inlineStr">
        <is>
          <t>Data from Information Repositories</t>
        </is>
      </c>
      <c r="F107" s="276" t="inlineStr">
        <is>
          <t>S4</t>
        </is>
      </c>
      <c r="G107" s="276" t="b">
        <v>1</v>
      </c>
      <c r="H107" s="276" t="b">
        <v>1</v>
      </c>
      <c r="I107" s="276" t="b">
        <v>1</v>
      </c>
      <c r="J107" s="276" t="n">
        <v>0.7</v>
      </c>
      <c r="K107" s="276" t="n">
        <v>0.177890625</v>
      </c>
      <c r="L107" s="276" t="n">
        <v>0.177890625</v>
      </c>
      <c r="M107" s="276" t="inlineStr">
        <is>
          <t>SaaS; Office Suite; Windows</t>
        </is>
      </c>
      <c r="N107" s="276" t="inlineStr">
        <is>
          <t>https://attack.mitre.org/techniques/T1213/</t>
        </is>
      </c>
      <c r="O107" s="276" t="n"/>
      <c r="P107" s="277" t="n"/>
    </row>
    <row r="108">
      <c r="A108" s="275" t="inlineStr">
        <is>
          <t>Nation-state</t>
        </is>
      </c>
      <c r="B108" s="276" t="inlineStr">
        <is>
          <t>Sensitive-data compromise</t>
        </is>
      </c>
      <c r="C108" s="276" t="inlineStr">
        <is>
          <t>Third-party or software supply chain</t>
        </is>
      </c>
      <c r="D108" s="276" t="inlineStr">
        <is>
          <t>T1567</t>
        </is>
      </c>
      <c r="E108" s="276" t="inlineStr">
        <is>
          <t>Exfiltration Over Web Service</t>
        </is>
      </c>
      <c r="F108" s="276" t="inlineStr">
        <is>
          <t>S5</t>
        </is>
      </c>
      <c r="G108" s="276" t="b">
        <v>1</v>
      </c>
      <c r="H108" s="276" t="b">
        <v>1</v>
      </c>
      <c r="I108" s="276" t="b">
        <v>1</v>
      </c>
      <c r="J108" s="276" t="n">
        <v>0.6</v>
      </c>
      <c r="K108" s="276" t="n">
        <v>0.20625</v>
      </c>
      <c r="L108" s="276" t="n">
        <v>0.20625</v>
      </c>
      <c r="M108" s="276" t="inlineStr">
        <is>
          <t>SaaS; Office Suite</t>
        </is>
      </c>
      <c r="N108" s="276" t="inlineStr">
        <is>
          <t>https://attack.mitre.org/techniques/T1567/</t>
        </is>
      </c>
      <c r="O108" s="276" t="n"/>
      <c r="P108" s="277" t="n"/>
    </row>
    <row r="109">
      <c r="A109" s="275" t="inlineStr">
        <is>
          <t>Nation-state</t>
        </is>
      </c>
      <c r="B109" s="276" t="inlineStr">
        <is>
          <t>Sensitive-data compromise</t>
        </is>
      </c>
      <c r="C109" s="276" t="inlineStr">
        <is>
          <t>Third-party or software supply chain</t>
        </is>
      </c>
      <c r="D109" s="276" t="inlineStr">
        <is>
          <t>T1486</t>
        </is>
      </c>
      <c r="E109" s="276" t="inlineStr">
        <is>
          <t>Data Encrypted for Impact</t>
        </is>
      </c>
      <c r="F109" s="276" t="inlineStr">
        <is>
          <t>S5</t>
        </is>
      </c>
      <c r="G109" s="276" t="b">
        <v>1</v>
      </c>
      <c r="H109" s="276" t="b">
        <v>0</v>
      </c>
      <c r="I109" s="276" t="b">
        <v>0</v>
      </c>
      <c r="J109" s="276" t="n">
        <v>0.5</v>
      </c>
      <c r="K109" s="276" t="n">
        <v>0.16875</v>
      </c>
      <c r="L109" s="276" t="n">
        <v>0.16875</v>
      </c>
      <c r="M109" s="276" t="inlineStr">
        <is>
          <t>Windows; Linux; IaaS</t>
        </is>
      </c>
      <c r="N109" s="276" t="inlineStr">
        <is>
          <t>https://attack.mitre.org/techniques/T1486/</t>
        </is>
      </c>
      <c r="O109" s="276" t="n"/>
      <c r="P109" s="277" t="n"/>
    </row>
    <row r="110">
      <c r="A110" s="275" t="inlineStr">
        <is>
          <t>Nation-state</t>
        </is>
      </c>
      <c r="B110" s="276" t="inlineStr">
        <is>
          <t>Sensitive-data compromise</t>
        </is>
      </c>
      <c r="C110" s="276" t="inlineStr">
        <is>
          <t>Third-party or software supply chain</t>
        </is>
      </c>
      <c r="D110" s="276" t="inlineStr">
        <is>
          <t>T1565</t>
        </is>
      </c>
      <c r="E110" s="276" t="inlineStr">
        <is>
          <t>Data Manipulation</t>
        </is>
      </c>
      <c r="F110" s="276" t="inlineStr">
        <is>
          <t>S5</t>
        </is>
      </c>
      <c r="G110" s="276" t="b">
        <v>1</v>
      </c>
      <c r="H110" s="276" t="b">
        <v>0</v>
      </c>
      <c r="I110" s="276" t="b">
        <v>0</v>
      </c>
      <c r="J110" s="276" t="n">
        <v>0.6</v>
      </c>
      <c r="K110" s="276" t="n">
        <v>0.2206064987182617</v>
      </c>
      <c r="L110" s="276" t="n">
        <v>0.2206064987182617</v>
      </c>
      <c r="M110" s="276" t="inlineStr">
        <is>
          <t>SaaS; Databases; Windows</t>
        </is>
      </c>
      <c r="N110" s="276" t="inlineStr">
        <is>
          <t>https://attack.mitre.org/techniques/T1565/</t>
        </is>
      </c>
      <c r="O110" s="276" t="n"/>
      <c r="P110" s="277" t="n"/>
    </row>
    <row r="111">
      <c r="A111" s="275" t="inlineStr">
        <is>
          <t>Nation-state</t>
        </is>
      </c>
      <c r="B111" s="276" t="inlineStr">
        <is>
          <t>Sensitive-data compromise</t>
        </is>
      </c>
      <c r="C111" s="276" t="inlineStr">
        <is>
          <t>Third-party or software supply chain</t>
        </is>
      </c>
      <c r="D111" s="276" t="inlineStr">
        <is>
          <t>T1657</t>
        </is>
      </c>
      <c r="E111" s="276" t="inlineStr">
        <is>
          <t>Financial Theft</t>
        </is>
      </c>
      <c r="F111" s="276" t="inlineStr">
        <is>
          <t>S5</t>
        </is>
      </c>
      <c r="G111" s="276" t="b">
        <v>1</v>
      </c>
      <c r="H111" s="276" t="b">
        <v>0</v>
      </c>
      <c r="I111" s="276" t="b">
        <v>0</v>
      </c>
      <c r="J111" s="276" t="n">
        <v>0.5</v>
      </c>
      <c r="K111" s="276" t="n">
        <v>0.275654296875</v>
      </c>
      <c r="L111" s="276" t="n">
        <v>0.275654296875</v>
      </c>
      <c r="M111" s="276" t="inlineStr">
        <is>
          <t>SaaS; Office Suite; Identity Provider</t>
        </is>
      </c>
      <c r="N111" s="276" t="inlineStr">
        <is>
          <t>https://attack.mitre.org/techniques/T1657/</t>
        </is>
      </c>
      <c r="O111" s="276" t="n"/>
      <c r="P111" s="277" t="n"/>
    </row>
    <row r="112">
      <c r="A112" s="275" t="inlineStr">
        <is>
          <t>Nation-state</t>
        </is>
      </c>
      <c r="B112" s="276" t="inlineStr">
        <is>
          <t>Sensitive-data compromise</t>
        </is>
      </c>
      <c r="C112" s="276" t="inlineStr">
        <is>
          <t>Insider or trusted access</t>
        </is>
      </c>
      <c r="D112" s="276" t="inlineStr">
        <is>
          <t>T1098</t>
        </is>
      </c>
      <c r="E112" s="276" t="inlineStr">
        <is>
          <t>Account Manipulation</t>
        </is>
      </c>
      <c r="F112" s="276" t="inlineStr">
        <is>
          <t>S3</t>
        </is>
      </c>
      <c r="G112" s="276" t="b">
        <v>1</v>
      </c>
      <c r="H112" s="276" t="b">
        <v>1</v>
      </c>
      <c r="I112" s="276" t="b">
        <v>1</v>
      </c>
      <c r="J112" s="276" t="n">
        <v>0.8</v>
      </c>
      <c r="K112" s="276" t="n">
        <v>0.2477547340393066</v>
      </c>
      <c r="L112" s="276" t="n">
        <v>0.2477547340393066</v>
      </c>
      <c r="M112" s="276" t="inlineStr">
        <is>
          <t>Identity Provider; SaaS; Windows</t>
        </is>
      </c>
      <c r="N112" s="276" t="inlineStr">
        <is>
          <t>https://attack.mitre.org/techniques/T1098/</t>
        </is>
      </c>
      <c r="O112" s="276" t="n"/>
      <c r="P112" s="277" t="n"/>
    </row>
    <row r="113">
      <c r="A113" s="275" t="inlineStr">
        <is>
          <t>Nation-state</t>
        </is>
      </c>
      <c r="B113" s="276" t="inlineStr">
        <is>
          <t>Sensitive-data compromise</t>
        </is>
      </c>
      <c r="C113" s="276" t="inlineStr">
        <is>
          <t>Insider or trusted access</t>
        </is>
      </c>
      <c r="D113" s="276" t="inlineStr">
        <is>
          <t>T1087</t>
        </is>
      </c>
      <c r="E113" s="276" t="inlineStr">
        <is>
          <t>Account Discovery</t>
        </is>
      </c>
      <c r="F113" s="276" t="inlineStr">
        <is>
          <t>S4</t>
        </is>
      </c>
      <c r="G113" s="276" t="b">
        <v>1</v>
      </c>
      <c r="H113" s="276" t="b">
        <v>1</v>
      </c>
      <c r="I113" s="276" t="b">
        <v>1</v>
      </c>
      <c r="J113" s="276" t="n">
        <v>0.6</v>
      </c>
      <c r="K113" s="276" t="n">
        <v>0</v>
      </c>
      <c r="L113" s="276" t="n">
        <v>0</v>
      </c>
      <c r="M113" s="276" t="inlineStr">
        <is>
          <t>Identity Provider; SaaS; Windows</t>
        </is>
      </c>
      <c r="N113" s="276" t="inlineStr">
        <is>
          <t>https://attack.mitre.org/techniques/T1087/</t>
        </is>
      </c>
      <c r="O113" s="276" t="n"/>
      <c r="P113" s="277" t="n"/>
    </row>
    <row r="114">
      <c r="A114" s="275" t="inlineStr">
        <is>
          <t>Nation-state</t>
        </is>
      </c>
      <c r="B114" s="276" t="inlineStr">
        <is>
          <t>Sensitive-data compromise</t>
        </is>
      </c>
      <c r="C114" s="276" t="inlineStr">
        <is>
          <t>Insider or trusted access</t>
        </is>
      </c>
      <c r="D114" s="276" t="inlineStr">
        <is>
          <t>T1213</t>
        </is>
      </c>
      <c r="E114" s="276" t="inlineStr">
        <is>
          <t>Data from Information Repositories</t>
        </is>
      </c>
      <c r="F114" s="276" t="inlineStr">
        <is>
          <t>S4</t>
        </is>
      </c>
      <c r="G114" s="276" t="b">
        <v>1</v>
      </c>
      <c r="H114" s="276" t="b">
        <v>1</v>
      </c>
      <c r="I114" s="276" t="b">
        <v>1</v>
      </c>
      <c r="J114" s="276" t="n">
        <v>0.9</v>
      </c>
      <c r="K114" s="276" t="n">
        <v>0.177890625</v>
      </c>
      <c r="L114" s="276" t="n">
        <v>0.177890625</v>
      </c>
      <c r="M114" s="276" t="inlineStr">
        <is>
          <t>SaaS; Office Suite; Windows</t>
        </is>
      </c>
      <c r="N114" s="276" t="inlineStr">
        <is>
          <t>https://attack.mitre.org/techniques/T1213/</t>
        </is>
      </c>
      <c r="O114" s="276" t="n"/>
      <c r="P114" s="277" t="n"/>
    </row>
    <row r="115">
      <c r="A115" s="275" t="inlineStr">
        <is>
          <t>Nation-state</t>
        </is>
      </c>
      <c r="B115" s="276" t="inlineStr">
        <is>
          <t>Sensitive-data compromise</t>
        </is>
      </c>
      <c r="C115" s="276" t="inlineStr">
        <is>
          <t>Insider or trusted access</t>
        </is>
      </c>
      <c r="D115" s="276" t="inlineStr">
        <is>
          <t>T1567</t>
        </is>
      </c>
      <c r="E115" s="276" t="inlineStr">
        <is>
          <t>Exfiltration Over Web Service</t>
        </is>
      </c>
      <c r="F115" s="276" t="inlineStr">
        <is>
          <t>S5</t>
        </is>
      </c>
      <c r="G115" s="276" t="b">
        <v>1</v>
      </c>
      <c r="H115" s="276" t="b">
        <v>1</v>
      </c>
      <c r="I115" s="276" t="b">
        <v>1</v>
      </c>
      <c r="J115" s="276" t="n">
        <v>0.8</v>
      </c>
      <c r="K115" s="276" t="n">
        <v>0.20625</v>
      </c>
      <c r="L115" s="276" t="n">
        <v>0.20625</v>
      </c>
      <c r="M115" s="276" t="inlineStr">
        <is>
          <t>SaaS; Office Suite</t>
        </is>
      </c>
      <c r="N115" s="276" t="inlineStr">
        <is>
          <t>https://attack.mitre.org/techniques/T1567/</t>
        </is>
      </c>
      <c r="O115" s="276" t="n"/>
      <c r="P115" s="277" t="n"/>
    </row>
    <row r="116">
      <c r="A116" s="275" t="inlineStr">
        <is>
          <t>Nation-state</t>
        </is>
      </c>
      <c r="B116" s="276" t="inlineStr">
        <is>
          <t>Sensitive-data compromise</t>
        </is>
      </c>
      <c r="C116" s="276" t="inlineStr">
        <is>
          <t>Insider or trusted access</t>
        </is>
      </c>
      <c r="D116" s="276" t="inlineStr">
        <is>
          <t>T1565</t>
        </is>
      </c>
      <c r="E116" s="276" t="inlineStr">
        <is>
          <t>Data Manipulation</t>
        </is>
      </c>
      <c r="F116" s="276" t="inlineStr">
        <is>
          <t>S5</t>
        </is>
      </c>
      <c r="G116" s="276" t="b">
        <v>1</v>
      </c>
      <c r="H116" s="276" t="b">
        <v>0</v>
      </c>
      <c r="I116" s="276" t="b">
        <v>0</v>
      </c>
      <c r="J116" s="276" t="n">
        <v>0.9</v>
      </c>
      <c r="K116" s="276" t="n">
        <v>0.2206064987182617</v>
      </c>
      <c r="L116" s="276" t="n">
        <v>0.2206064987182617</v>
      </c>
      <c r="M116" s="276" t="inlineStr">
        <is>
          <t>SaaS; Databases; Windows</t>
        </is>
      </c>
      <c r="N116" s="276" t="inlineStr">
        <is>
          <t>https://attack.mitre.org/techniques/T1565/</t>
        </is>
      </c>
      <c r="O116" s="276" t="n"/>
      <c r="P116" s="277" t="n"/>
    </row>
    <row r="117">
      <c r="A117" s="275" t="inlineStr">
        <is>
          <t>Nation-state</t>
        </is>
      </c>
      <c r="B117" s="276" t="inlineStr">
        <is>
          <t>Sensitive-data compromise</t>
        </is>
      </c>
      <c r="C117" s="276" t="inlineStr">
        <is>
          <t>Insider or trusted access</t>
        </is>
      </c>
      <c r="D117" s="276" t="inlineStr">
        <is>
          <t>T1657</t>
        </is>
      </c>
      <c r="E117" s="276" t="inlineStr">
        <is>
          <t>Financial Theft</t>
        </is>
      </c>
      <c r="F117" s="276" t="inlineStr">
        <is>
          <t>S5</t>
        </is>
      </c>
      <c r="G117" s="276" t="b">
        <v>1</v>
      </c>
      <c r="H117" s="276" t="b">
        <v>0</v>
      </c>
      <c r="I117" s="276" t="b">
        <v>0</v>
      </c>
      <c r="J117" s="276" t="n">
        <v>0.9</v>
      </c>
      <c r="K117" s="276" t="n">
        <v>0.275654296875</v>
      </c>
      <c r="L117" s="276" t="n">
        <v>0.275654296875</v>
      </c>
      <c r="M117" s="276" t="inlineStr">
        <is>
          <t>SaaS; Office Suite; Identity Provider</t>
        </is>
      </c>
      <c r="N117" s="276" t="inlineStr">
        <is>
          <t>https://attack.mitre.org/techniques/T1657/</t>
        </is>
      </c>
      <c r="O117" s="276" t="n"/>
      <c r="P117" s="277" t="n"/>
    </row>
    <row r="118">
      <c r="A118" s="275" t="inlineStr">
        <is>
          <t>Nation-state</t>
        </is>
      </c>
      <c r="B118" s="276" t="inlineStr">
        <is>
          <t>Data or transaction-integrity compromise</t>
        </is>
      </c>
      <c r="C118" s="276" t="inlineStr">
        <is>
          <t>Identity and credential compromise</t>
        </is>
      </c>
      <c r="D118" s="276" t="inlineStr">
        <is>
          <t>T1566</t>
        </is>
      </c>
      <c r="E118" s="276" t="inlineStr">
        <is>
          <t>Phishing</t>
        </is>
      </c>
      <c r="F118" s="276" t="inlineStr">
        <is>
          <t>S1</t>
        </is>
      </c>
      <c r="G118" s="276" t="b">
        <v>1</v>
      </c>
      <c r="H118" s="276" t="b">
        <v>1</v>
      </c>
      <c r="I118" s="276" t="b">
        <v>1</v>
      </c>
      <c r="J118" s="276" t="n">
        <v>1</v>
      </c>
      <c r="K118" s="276" t="n">
        <v>0.20625</v>
      </c>
      <c r="L118" s="276" t="n">
        <v>0.20625</v>
      </c>
      <c r="M118" s="276" t="inlineStr">
        <is>
          <t>Windows; SaaS; Office Suite</t>
        </is>
      </c>
      <c r="N118" s="276" t="inlineStr">
        <is>
          <t>https://attack.mitre.org/techniques/T1566/</t>
        </is>
      </c>
      <c r="O118" s="276" t="n"/>
      <c r="P118" s="277" t="n"/>
    </row>
    <row r="119">
      <c r="A119" s="275" t="inlineStr">
        <is>
          <t>Nation-state</t>
        </is>
      </c>
      <c r="B119" s="276" t="inlineStr">
        <is>
          <t>Data or transaction-integrity compromise</t>
        </is>
      </c>
      <c r="C119" s="276" t="inlineStr">
        <is>
          <t>Identity and credential compromise</t>
        </is>
      </c>
      <c r="D119" s="276" t="inlineStr">
        <is>
          <t>T1078</t>
        </is>
      </c>
      <c r="E119" s="276" t="inlineStr">
        <is>
          <t>Valid Accounts</t>
        </is>
      </c>
      <c r="F119" s="276" t="inlineStr">
        <is>
          <t>S1</t>
        </is>
      </c>
      <c r="G119" s="276" t="b">
        <v>1</v>
      </c>
      <c r="H119" s="276" t="b">
        <v>1</v>
      </c>
      <c r="I119" s="276" t="b">
        <v>1</v>
      </c>
      <c r="J119" s="276" t="n">
        <v>1</v>
      </c>
      <c r="K119" s="276" t="n">
        <v>0.272109375</v>
      </c>
      <c r="L119" s="276" t="n">
        <v>0.272109375</v>
      </c>
      <c r="M119" s="276" t="inlineStr">
        <is>
          <t>Identity Provider; SaaS; IaaS; Windows</t>
        </is>
      </c>
      <c r="N119" s="276" t="inlineStr">
        <is>
          <t>https://attack.mitre.org/techniques/T1078/</t>
        </is>
      </c>
      <c r="O119" s="276" t="n"/>
      <c r="P119" s="277" t="n"/>
    </row>
    <row r="120">
      <c r="A120" s="275" t="inlineStr">
        <is>
          <t>Nation-state</t>
        </is>
      </c>
      <c r="B120" s="276" t="inlineStr">
        <is>
          <t>Data or transaction-integrity compromise</t>
        </is>
      </c>
      <c r="C120" s="276" t="inlineStr">
        <is>
          <t>Identity and credential compromise</t>
        </is>
      </c>
      <c r="D120" s="276" t="inlineStr">
        <is>
          <t>T1110</t>
        </is>
      </c>
      <c r="E120" s="276" t="inlineStr">
        <is>
          <t>Brute Force</t>
        </is>
      </c>
      <c r="F120" s="276" t="inlineStr">
        <is>
          <t>S1</t>
        </is>
      </c>
      <c r="G120" s="276" t="b">
        <v>1</v>
      </c>
      <c r="H120" s="276" t="b">
        <v>1</v>
      </c>
      <c r="I120" s="276" t="b">
        <v>1</v>
      </c>
      <c r="J120" s="276" t="n">
        <v>0.7</v>
      </c>
      <c r="K120" s="276" t="n">
        <v>0.24375</v>
      </c>
      <c r="L120" s="276" t="n">
        <v>0.24375</v>
      </c>
      <c r="M120" s="276" t="inlineStr">
        <is>
          <t>Identity Provider; SaaS; Windows</t>
        </is>
      </c>
      <c r="N120" s="276" t="inlineStr">
        <is>
          <t>https://attack.mitre.org/techniques/T1110/</t>
        </is>
      </c>
      <c r="O120" s="276" t="n"/>
      <c r="P120" s="277" t="n"/>
    </row>
    <row r="121">
      <c r="A121" s="275" t="inlineStr">
        <is>
          <t>Nation-state</t>
        </is>
      </c>
      <c r="B121" s="276" t="inlineStr">
        <is>
          <t>Data or transaction-integrity compromise</t>
        </is>
      </c>
      <c r="C121" s="276" t="inlineStr">
        <is>
          <t>Identity and credential compromise</t>
        </is>
      </c>
      <c r="D121" s="276" t="inlineStr">
        <is>
          <t>T1098</t>
        </is>
      </c>
      <c r="E121" s="276" t="inlineStr">
        <is>
          <t>Account Manipulation</t>
        </is>
      </c>
      <c r="F121" s="276" t="inlineStr">
        <is>
          <t>S3</t>
        </is>
      </c>
      <c r="G121" s="276" t="b">
        <v>1</v>
      </c>
      <c r="H121" s="276" t="b">
        <v>1</v>
      </c>
      <c r="I121" s="276" t="b">
        <v>1</v>
      </c>
      <c r="J121" s="276" t="n">
        <v>0.7</v>
      </c>
      <c r="K121" s="276" t="n">
        <v>0.2477547340393066</v>
      </c>
      <c r="L121" s="276" t="n">
        <v>0.2477547340393066</v>
      </c>
      <c r="M121" s="276" t="inlineStr">
        <is>
          <t>Identity Provider; SaaS; Windows</t>
        </is>
      </c>
      <c r="N121" s="276" t="inlineStr">
        <is>
          <t>https://attack.mitre.org/techniques/T1098/</t>
        </is>
      </c>
      <c r="O121" s="276" t="n"/>
      <c r="P121" s="277" t="n"/>
    </row>
    <row r="122">
      <c r="A122" s="275" t="inlineStr">
        <is>
          <t>Nation-state</t>
        </is>
      </c>
      <c r="B122" s="276" t="inlineStr">
        <is>
          <t>Data or transaction-integrity compromise</t>
        </is>
      </c>
      <c r="C122" s="276" t="inlineStr">
        <is>
          <t>Identity and credential compromise</t>
        </is>
      </c>
      <c r="D122" s="276" t="inlineStr">
        <is>
          <t>T1087</t>
        </is>
      </c>
      <c r="E122" s="276" t="inlineStr">
        <is>
          <t>Account Discovery</t>
        </is>
      </c>
      <c r="F122" s="276" t="inlineStr">
        <is>
          <t>S4</t>
        </is>
      </c>
      <c r="G122" s="276" t="b">
        <v>1</v>
      </c>
      <c r="H122" s="276" t="b">
        <v>1</v>
      </c>
      <c r="I122" s="276" t="b">
        <v>1</v>
      </c>
      <c r="J122" s="276" t="n">
        <v>0.6</v>
      </c>
      <c r="K122" s="276" t="n">
        <v>0</v>
      </c>
      <c r="L122" s="276" t="n">
        <v>0</v>
      </c>
      <c r="M122" s="276" t="inlineStr">
        <is>
          <t>Identity Provider; SaaS; Windows</t>
        </is>
      </c>
      <c r="N122" s="276" t="inlineStr">
        <is>
          <t>https://attack.mitre.org/techniques/T1087/</t>
        </is>
      </c>
      <c r="O122" s="276" t="n"/>
      <c r="P122" s="277" t="n"/>
    </row>
    <row r="123">
      <c r="A123" s="275" t="inlineStr">
        <is>
          <t>Nation-state</t>
        </is>
      </c>
      <c r="B123" s="276" t="inlineStr">
        <is>
          <t>Data or transaction-integrity compromise</t>
        </is>
      </c>
      <c r="C123" s="276" t="inlineStr">
        <is>
          <t>Identity and credential compromise</t>
        </is>
      </c>
      <c r="D123" s="276" t="inlineStr">
        <is>
          <t>T1213</t>
        </is>
      </c>
      <c r="E123" s="276" t="inlineStr">
        <is>
          <t>Data from Information Repositories</t>
        </is>
      </c>
      <c r="F123" s="276" t="inlineStr">
        <is>
          <t>S4</t>
        </is>
      </c>
      <c r="G123" s="276" t="b">
        <v>1</v>
      </c>
      <c r="H123" s="276" t="b">
        <v>1</v>
      </c>
      <c r="I123" s="276" t="b">
        <v>1</v>
      </c>
      <c r="J123" s="276" t="n">
        <v>0.8</v>
      </c>
      <c r="K123" s="276" t="n">
        <v>0.177890625</v>
      </c>
      <c r="L123" s="276" t="n">
        <v>0.177890625</v>
      </c>
      <c r="M123" s="276" t="inlineStr">
        <is>
          <t>SaaS; Office Suite; Windows</t>
        </is>
      </c>
      <c r="N123" s="276" t="inlineStr">
        <is>
          <t>https://attack.mitre.org/techniques/T1213/</t>
        </is>
      </c>
      <c r="O123" s="276" t="n"/>
      <c r="P123" s="277" t="n"/>
    </row>
    <row r="124">
      <c r="A124" s="275" t="inlineStr">
        <is>
          <t>Nation-state</t>
        </is>
      </c>
      <c r="B124" s="276" t="inlineStr">
        <is>
          <t>Data or transaction-integrity compromise</t>
        </is>
      </c>
      <c r="C124" s="276" t="inlineStr">
        <is>
          <t>Identity and credential compromise</t>
        </is>
      </c>
      <c r="D124" s="276" t="inlineStr">
        <is>
          <t>T1567</t>
        </is>
      </c>
      <c r="E124" s="276" t="inlineStr">
        <is>
          <t>Exfiltration Over Web Service</t>
        </is>
      </c>
      <c r="F124" s="276" t="inlineStr">
        <is>
          <t>S5</t>
        </is>
      </c>
      <c r="G124" s="276" t="b">
        <v>1</v>
      </c>
      <c r="H124" s="276" t="b">
        <v>0</v>
      </c>
      <c r="I124" s="276" t="b">
        <v>0</v>
      </c>
      <c r="J124" s="276" t="n">
        <v>0.7</v>
      </c>
      <c r="K124" s="276" t="n">
        <v>0.20625</v>
      </c>
      <c r="L124" s="276" t="n">
        <v>0.20625</v>
      </c>
      <c r="M124" s="276" t="inlineStr">
        <is>
          <t>SaaS; Office Suite</t>
        </is>
      </c>
      <c r="N124" s="276" t="inlineStr">
        <is>
          <t>https://attack.mitre.org/techniques/T1567/</t>
        </is>
      </c>
      <c r="O124" s="276" t="n"/>
      <c r="P124" s="277" t="n"/>
    </row>
    <row r="125">
      <c r="A125" s="275" t="inlineStr">
        <is>
          <t>Nation-state</t>
        </is>
      </c>
      <c r="B125" s="276" t="inlineStr">
        <is>
          <t>Data or transaction-integrity compromise</t>
        </is>
      </c>
      <c r="C125" s="276" t="inlineStr">
        <is>
          <t>Identity and credential compromise</t>
        </is>
      </c>
      <c r="D125" s="276" t="inlineStr">
        <is>
          <t>T1657</t>
        </is>
      </c>
      <c r="E125" s="276" t="inlineStr">
        <is>
          <t>Financial Theft</t>
        </is>
      </c>
      <c r="F125" s="276" t="inlineStr">
        <is>
          <t>S5</t>
        </is>
      </c>
      <c r="G125" s="276" t="b">
        <v>1</v>
      </c>
      <c r="H125" s="276" t="b">
        <v>0</v>
      </c>
      <c r="I125" s="276" t="b">
        <v>0</v>
      </c>
      <c r="J125" s="276" t="n">
        <v>0.8</v>
      </c>
      <c r="K125" s="276" t="n">
        <v>0.275654296875</v>
      </c>
      <c r="L125" s="276" t="n">
        <v>0.275654296875</v>
      </c>
      <c r="M125" s="276" t="inlineStr">
        <is>
          <t>SaaS; Office Suite; Identity Provider</t>
        </is>
      </c>
      <c r="N125" s="276" t="inlineStr">
        <is>
          <t>https://attack.mitre.org/techniques/T1657/</t>
        </is>
      </c>
      <c r="O125" s="276" t="n"/>
      <c r="P125" s="277" t="n"/>
    </row>
    <row r="126">
      <c r="A126" s="275" t="inlineStr">
        <is>
          <t>Nation-state</t>
        </is>
      </c>
      <c r="B126" s="276" t="inlineStr">
        <is>
          <t>Data or transaction-integrity compromise</t>
        </is>
      </c>
      <c r="C126" s="276" t="inlineStr">
        <is>
          <t>Identity and credential compromise</t>
        </is>
      </c>
      <c r="D126" s="276" t="inlineStr">
        <is>
          <t>T1565</t>
        </is>
      </c>
      <c r="E126" s="276" t="inlineStr">
        <is>
          <t>Data Manipulation</t>
        </is>
      </c>
      <c r="F126" s="276" t="inlineStr">
        <is>
          <t>S5</t>
        </is>
      </c>
      <c r="G126" s="276" t="b">
        <v>1</v>
      </c>
      <c r="H126" s="276" t="b">
        <v>1</v>
      </c>
      <c r="I126" s="276" t="b">
        <v>1</v>
      </c>
      <c r="J126" s="276" t="n">
        <v>0.5</v>
      </c>
      <c r="K126" s="276" t="n">
        <v>0.2206064987182617</v>
      </c>
      <c r="L126" s="276" t="n">
        <v>0.2206064987182617</v>
      </c>
      <c r="M126" s="276" t="inlineStr">
        <is>
          <t>SaaS; Databases; Windows</t>
        </is>
      </c>
      <c r="N126" s="276" t="inlineStr">
        <is>
          <t>https://attack.mitre.org/techniques/T1565/</t>
        </is>
      </c>
      <c r="O126" s="276" t="n"/>
      <c r="P126" s="277" t="n"/>
    </row>
    <row r="127">
      <c r="A127" s="275" t="inlineStr">
        <is>
          <t>Nation-state</t>
        </is>
      </c>
      <c r="B127" s="276" t="inlineStr">
        <is>
          <t>Data or transaction-integrity compromise</t>
        </is>
      </c>
      <c r="C127" s="276" t="inlineStr">
        <is>
          <t>Identity and credential compromise</t>
        </is>
      </c>
      <c r="D127" s="276" t="inlineStr">
        <is>
          <t>T1486</t>
        </is>
      </c>
      <c r="E127" s="276" t="inlineStr">
        <is>
          <t>Data Encrypted for Impact</t>
        </is>
      </c>
      <c r="F127" s="276" t="inlineStr">
        <is>
          <t>S5</t>
        </is>
      </c>
      <c r="G127" s="276" t="b">
        <v>1</v>
      </c>
      <c r="H127" s="276" t="b">
        <v>1</v>
      </c>
      <c r="I127" s="276" t="b">
        <v>1</v>
      </c>
      <c r="J127" s="276" t="n">
        <v>0.7</v>
      </c>
      <c r="K127" s="276" t="n">
        <v>0.16875</v>
      </c>
      <c r="L127" s="276" t="n">
        <v>0.16875</v>
      </c>
      <c r="M127" s="276" t="inlineStr">
        <is>
          <t>Windows; Linux; IaaS</t>
        </is>
      </c>
      <c r="N127" s="276" t="inlineStr">
        <is>
          <t>https://attack.mitre.org/techniques/T1486/</t>
        </is>
      </c>
      <c r="O127" s="276" t="n"/>
      <c r="P127" s="277" t="n"/>
    </row>
    <row r="128">
      <c r="A128" s="275" t="inlineStr">
        <is>
          <t>Nation-state</t>
        </is>
      </c>
      <c r="B128" s="276" t="inlineStr">
        <is>
          <t>Data or transaction-integrity compromise</t>
        </is>
      </c>
      <c r="C128" s="276" t="inlineStr">
        <is>
          <t>Identity and credential compromise</t>
        </is>
      </c>
      <c r="D128" s="276" t="inlineStr">
        <is>
          <t>T1490</t>
        </is>
      </c>
      <c r="E128" s="276" t="inlineStr">
        <is>
          <t>Inhibit System Recovery</t>
        </is>
      </c>
      <c r="F128" s="276" t="inlineStr">
        <is>
          <t>S5</t>
        </is>
      </c>
      <c r="G128" s="276" t="b">
        <v>1</v>
      </c>
      <c r="H128" s="276" t="b">
        <v>1</v>
      </c>
      <c r="I128" s="276" t="b">
        <v>1</v>
      </c>
      <c r="J128" s="276" t="n">
        <v>0.6</v>
      </c>
      <c r="K128" s="276" t="n">
        <v>0</v>
      </c>
      <c r="L128" s="276" t="n">
        <v>0</v>
      </c>
      <c r="M128" s="276" t="inlineStr">
        <is>
          <t>Windows; Linux; IaaS</t>
        </is>
      </c>
      <c r="N128" s="276" t="inlineStr">
        <is>
          <t>https://attack.mitre.org/techniques/T1490/</t>
        </is>
      </c>
      <c r="O128" s="276" t="n"/>
      <c r="P128" s="277" t="n"/>
    </row>
    <row r="129">
      <c r="A129" s="275" t="inlineStr">
        <is>
          <t>Nation-state</t>
        </is>
      </c>
      <c r="B129" s="276" t="inlineStr">
        <is>
          <t>Data or transaction-integrity compromise</t>
        </is>
      </c>
      <c r="C129" s="276" t="inlineStr">
        <is>
          <t>User endpoint and social engineering</t>
        </is>
      </c>
      <c r="D129" s="276" t="inlineStr">
        <is>
          <t>T1566</t>
        </is>
      </c>
      <c r="E129" s="276" t="inlineStr">
        <is>
          <t>Phishing</t>
        </is>
      </c>
      <c r="F129" s="276" t="inlineStr">
        <is>
          <t>S1</t>
        </is>
      </c>
      <c r="G129" s="276" t="b">
        <v>1</v>
      </c>
      <c r="H129" s="276" t="b">
        <v>1</v>
      </c>
      <c r="I129" s="276" t="b">
        <v>1</v>
      </c>
      <c r="J129" s="276" t="n">
        <v>1</v>
      </c>
      <c r="K129" s="276" t="n">
        <v>0.20625</v>
      </c>
      <c r="L129" s="276" t="n">
        <v>0.20625</v>
      </c>
      <c r="M129" s="276" t="inlineStr">
        <is>
          <t>Windows; SaaS; Office Suite</t>
        </is>
      </c>
      <c r="N129" s="276" t="inlineStr">
        <is>
          <t>https://attack.mitre.org/techniques/T1566/</t>
        </is>
      </c>
      <c r="O129" s="276" t="n"/>
      <c r="P129" s="277" t="n"/>
    </row>
    <row r="130">
      <c r="A130" s="275" t="inlineStr">
        <is>
          <t>Nation-state</t>
        </is>
      </c>
      <c r="B130" s="276" t="inlineStr">
        <is>
          <t>Data or transaction-integrity compromise</t>
        </is>
      </c>
      <c r="C130" s="276" t="inlineStr">
        <is>
          <t>User endpoint and social engineering</t>
        </is>
      </c>
      <c r="D130" s="276" t="inlineStr">
        <is>
          <t>T1203</t>
        </is>
      </c>
      <c r="E130" s="276" t="inlineStr">
        <is>
          <t>Exploitation for Client Execution</t>
        </is>
      </c>
      <c r="F130" s="276" t="inlineStr">
        <is>
          <t>S2</t>
        </is>
      </c>
      <c r="G130" s="276" t="b">
        <v>1</v>
      </c>
      <c r="H130" s="276" t="b">
        <v>1</v>
      </c>
      <c r="I130" s="276" t="b">
        <v>1</v>
      </c>
      <c r="J130" s="276" t="n">
        <v>0.8</v>
      </c>
      <c r="K130" s="276" t="n">
        <v>0.2404920959472656</v>
      </c>
      <c r="L130" s="276" t="n">
        <v>0.2404920959472656</v>
      </c>
      <c r="M130" s="276" t="inlineStr">
        <is>
          <t>Windows; macOS; Linux</t>
        </is>
      </c>
      <c r="N130" s="276" t="inlineStr">
        <is>
          <t>https://attack.mitre.org/techniques/T1203/</t>
        </is>
      </c>
      <c r="O130" s="276" t="n"/>
      <c r="P130" s="277" t="n"/>
    </row>
    <row r="131">
      <c r="A131" s="275" t="inlineStr">
        <is>
          <t>Nation-state</t>
        </is>
      </c>
      <c r="B131" s="276" t="inlineStr">
        <is>
          <t>Data or transaction-integrity compromise</t>
        </is>
      </c>
      <c r="C131" s="276" t="inlineStr">
        <is>
          <t>User endpoint and social engineering</t>
        </is>
      </c>
      <c r="D131" s="276" t="inlineStr">
        <is>
          <t>T1059</t>
        </is>
      </c>
      <c r="E131" s="276" t="inlineStr">
        <is>
          <t>Command and Scripting Interpreter</t>
        </is>
      </c>
      <c r="F131" s="276" t="inlineStr">
        <is>
          <t>S2</t>
        </is>
      </c>
      <c r="G131" s="276" t="b">
        <v>1</v>
      </c>
      <c r="H131" s="276" t="b">
        <v>1</v>
      </c>
      <c r="I131" s="276" t="b">
        <v>1</v>
      </c>
      <c r="J131" s="276" t="n">
        <v>0.9</v>
      </c>
      <c r="K131" s="276" t="n">
        <v>0.1875</v>
      </c>
      <c r="L131" s="276" t="n">
        <v>0.1875</v>
      </c>
      <c r="M131" s="276" t="inlineStr">
        <is>
          <t>Windows; macOS; Linux; IaaS</t>
        </is>
      </c>
      <c r="N131" s="276" t="inlineStr">
        <is>
          <t>https://attack.mitre.org/techniques/T1059/</t>
        </is>
      </c>
      <c r="O131" s="276" t="n"/>
      <c r="P131" s="277" t="n"/>
    </row>
    <row r="132">
      <c r="A132" s="275" t="inlineStr">
        <is>
          <t>Nation-state</t>
        </is>
      </c>
      <c r="B132" s="276" t="inlineStr">
        <is>
          <t>Data or transaction-integrity compromise</t>
        </is>
      </c>
      <c r="C132" s="276" t="inlineStr">
        <is>
          <t>User endpoint and social engineering</t>
        </is>
      </c>
      <c r="D132" s="276" t="inlineStr">
        <is>
          <t>T1068</t>
        </is>
      </c>
      <c r="E132" s="276" t="inlineStr">
        <is>
          <t>Exploitation for Privilege Escalation</t>
        </is>
      </c>
      <c r="F132" s="276" t="inlineStr">
        <is>
          <t>S3</t>
        </is>
      </c>
      <c r="G132" s="276" t="b">
        <v>1</v>
      </c>
      <c r="H132" s="276" t="b">
        <v>1</v>
      </c>
      <c r="I132" s="276" t="b">
        <v>1</v>
      </c>
      <c r="J132" s="276" t="n">
        <v>0.7</v>
      </c>
      <c r="K132" s="276" t="n">
        <v>0.2094165115356445</v>
      </c>
      <c r="L132" s="276" t="n">
        <v>0.2094165115356445</v>
      </c>
      <c r="M132" s="276" t="inlineStr">
        <is>
          <t>Windows; macOS; Linux</t>
        </is>
      </c>
      <c r="N132" s="276" t="inlineStr">
        <is>
          <t>https://attack.mitre.org/techniques/T1068/</t>
        </is>
      </c>
      <c r="O132" s="276" t="n"/>
      <c r="P132" s="277" t="n"/>
    </row>
    <row r="133">
      <c r="A133" s="275" t="inlineStr">
        <is>
          <t>Nation-state</t>
        </is>
      </c>
      <c r="B133" s="276" t="inlineStr">
        <is>
          <t>Data or transaction-integrity compromise</t>
        </is>
      </c>
      <c r="C133" s="276" t="inlineStr">
        <is>
          <t>User endpoint and social engineering</t>
        </is>
      </c>
      <c r="D133" s="276" t="inlineStr">
        <is>
          <t>T1003</t>
        </is>
      </c>
      <c r="E133" s="276" t="inlineStr">
        <is>
          <t>OS Credential Dumping</t>
        </is>
      </c>
      <c r="F133" s="276" t="inlineStr">
        <is>
          <t>S3</t>
        </is>
      </c>
      <c r="G133" s="276" t="b">
        <v>1</v>
      </c>
      <c r="H133" s="276" t="b">
        <v>1</v>
      </c>
      <c r="I133" s="276" t="b">
        <v>1</v>
      </c>
      <c r="J133" s="276" t="n">
        <v>0.8</v>
      </c>
      <c r="K133" s="276" t="n">
        <v>0.232294921875</v>
      </c>
      <c r="L133" s="276" t="n">
        <v>0.232294921875</v>
      </c>
      <c r="M133" s="276" t="inlineStr">
        <is>
          <t>Windows; Linux; macOS</t>
        </is>
      </c>
      <c r="N133" s="276" t="inlineStr">
        <is>
          <t>https://attack.mitre.org/techniques/T1003/</t>
        </is>
      </c>
      <c r="O133" s="276" t="n"/>
      <c r="P133" s="277" t="n"/>
    </row>
    <row r="134">
      <c r="A134" s="275" t="inlineStr">
        <is>
          <t>Nation-state</t>
        </is>
      </c>
      <c r="B134" s="276" t="inlineStr">
        <is>
          <t>Data or transaction-integrity compromise</t>
        </is>
      </c>
      <c r="C134" s="276" t="inlineStr">
        <is>
          <t>User endpoint and social engineering</t>
        </is>
      </c>
      <c r="D134" s="276" t="inlineStr">
        <is>
          <t>T1046</t>
        </is>
      </c>
      <c r="E134" s="276" t="inlineStr">
        <is>
          <t>Network Service Discovery</t>
        </is>
      </c>
      <c r="F134" s="276" t="inlineStr">
        <is>
          <t>S4</t>
        </is>
      </c>
      <c r="G134" s="276" t="b">
        <v>1</v>
      </c>
      <c r="H134" s="276" t="b">
        <v>1</v>
      </c>
      <c r="I134" s="276" t="b">
        <v>1</v>
      </c>
      <c r="J134" s="276" t="n">
        <v>0.6</v>
      </c>
      <c r="K134" s="276" t="n">
        <v>0.16875</v>
      </c>
      <c r="L134" s="276" t="n">
        <v>0.16875</v>
      </c>
      <c r="M134" s="276" t="inlineStr">
        <is>
          <t>Network Devices; Windows; Linux</t>
        </is>
      </c>
      <c r="N134" s="276" t="inlineStr">
        <is>
          <t>https://attack.mitre.org/techniques/T1046/</t>
        </is>
      </c>
      <c r="O134" s="276" t="n"/>
      <c r="P134" s="277" t="n"/>
    </row>
    <row r="135">
      <c r="A135" s="275" t="inlineStr">
        <is>
          <t>Nation-state</t>
        </is>
      </c>
      <c r="B135" s="276" t="inlineStr">
        <is>
          <t>Data or transaction-integrity compromise</t>
        </is>
      </c>
      <c r="C135" s="276" t="inlineStr">
        <is>
          <t>User endpoint and social engineering</t>
        </is>
      </c>
      <c r="D135" s="276" t="inlineStr">
        <is>
          <t>T1021</t>
        </is>
      </c>
      <c r="E135" s="276" t="inlineStr">
        <is>
          <t>Remote Services</t>
        </is>
      </c>
      <c r="F135" s="276" t="inlineStr">
        <is>
          <t>S4</t>
        </is>
      </c>
      <c r="G135" s="276" t="b">
        <v>1</v>
      </c>
      <c r="H135" s="276" t="b">
        <v>1</v>
      </c>
      <c r="I135" s="276" t="b">
        <v>1</v>
      </c>
      <c r="J135" s="276" t="n">
        <v>0.8</v>
      </c>
      <c r="K135" s="276" t="n">
        <v>0.1875</v>
      </c>
      <c r="L135" s="276" t="n">
        <v>0.1875</v>
      </c>
      <c r="M135" s="276" t="inlineStr">
        <is>
          <t>Windows; Linux; Network Devices</t>
        </is>
      </c>
      <c r="N135" s="276" t="inlineStr">
        <is>
          <t>https://attack.mitre.org/techniques/T1021/</t>
        </is>
      </c>
      <c r="O135" s="276" t="n"/>
      <c r="P135" s="277" t="n"/>
    </row>
    <row r="136">
      <c r="A136" s="275" t="inlineStr">
        <is>
          <t>Nation-state</t>
        </is>
      </c>
      <c r="B136" s="276" t="inlineStr">
        <is>
          <t>Data or transaction-integrity compromise</t>
        </is>
      </c>
      <c r="C136" s="276" t="inlineStr">
        <is>
          <t>User endpoint and social engineering</t>
        </is>
      </c>
      <c r="D136" s="276" t="inlineStr">
        <is>
          <t>T1213</t>
        </is>
      </c>
      <c r="E136" s="276" t="inlineStr">
        <is>
          <t>Data from Information Repositories</t>
        </is>
      </c>
      <c r="F136" s="276" t="inlineStr">
        <is>
          <t>S4</t>
        </is>
      </c>
      <c r="G136" s="276" t="b">
        <v>1</v>
      </c>
      <c r="H136" s="276" t="b">
        <v>1</v>
      </c>
      <c r="I136" s="276" t="b">
        <v>1</v>
      </c>
      <c r="J136" s="276" t="n">
        <v>0.7</v>
      </c>
      <c r="K136" s="276" t="n">
        <v>0.177890625</v>
      </c>
      <c r="L136" s="276" t="n">
        <v>0.177890625</v>
      </c>
      <c r="M136" s="276" t="inlineStr">
        <is>
          <t>SaaS; Office Suite; Windows</t>
        </is>
      </c>
      <c r="N136" s="276" t="inlineStr">
        <is>
          <t>https://attack.mitre.org/techniques/T1213/</t>
        </is>
      </c>
      <c r="O136" s="276" t="n"/>
      <c r="P136" s="277" t="n"/>
    </row>
    <row r="137">
      <c r="A137" s="275" t="inlineStr">
        <is>
          <t>Nation-state</t>
        </is>
      </c>
      <c r="B137" s="276" t="inlineStr">
        <is>
          <t>Data or transaction-integrity compromise</t>
        </is>
      </c>
      <c r="C137" s="276" t="inlineStr">
        <is>
          <t>User endpoint and social engineering</t>
        </is>
      </c>
      <c r="D137" s="276" t="inlineStr">
        <is>
          <t>T1486</t>
        </is>
      </c>
      <c r="E137" s="276" t="inlineStr">
        <is>
          <t>Data Encrypted for Impact</t>
        </is>
      </c>
      <c r="F137" s="276" t="inlineStr">
        <is>
          <t>S5</t>
        </is>
      </c>
      <c r="G137" s="276" t="b">
        <v>1</v>
      </c>
      <c r="H137" s="276" t="b">
        <v>1</v>
      </c>
      <c r="I137" s="276" t="b">
        <v>1</v>
      </c>
      <c r="J137" s="276" t="n">
        <v>0.8</v>
      </c>
      <c r="K137" s="276" t="n">
        <v>0.16875</v>
      </c>
      <c r="L137" s="276" t="n">
        <v>0.16875</v>
      </c>
      <c r="M137" s="276" t="inlineStr">
        <is>
          <t>Windows; Linux; IaaS</t>
        </is>
      </c>
      <c r="N137" s="276" t="inlineStr">
        <is>
          <t>https://attack.mitre.org/techniques/T1486/</t>
        </is>
      </c>
      <c r="O137" s="276" t="n"/>
      <c r="P137" s="277" t="n"/>
    </row>
    <row r="138">
      <c r="A138" s="275" t="inlineStr">
        <is>
          <t>Nation-state</t>
        </is>
      </c>
      <c r="B138" s="276" t="inlineStr">
        <is>
          <t>Data or transaction-integrity compromise</t>
        </is>
      </c>
      <c r="C138" s="276" t="inlineStr">
        <is>
          <t>User endpoint and social engineering</t>
        </is>
      </c>
      <c r="D138" s="276" t="inlineStr">
        <is>
          <t>T1490</t>
        </is>
      </c>
      <c r="E138" s="276" t="inlineStr">
        <is>
          <t>Inhibit System Recovery</t>
        </is>
      </c>
      <c r="F138" s="276" t="inlineStr">
        <is>
          <t>S5</t>
        </is>
      </c>
      <c r="G138" s="276" t="b">
        <v>1</v>
      </c>
      <c r="H138" s="276" t="b">
        <v>1</v>
      </c>
      <c r="I138" s="276" t="b">
        <v>1</v>
      </c>
      <c r="J138" s="276" t="n">
        <v>0.7</v>
      </c>
      <c r="K138" s="276" t="n">
        <v>0</v>
      </c>
      <c r="L138" s="276" t="n">
        <v>0</v>
      </c>
      <c r="M138" s="276" t="inlineStr">
        <is>
          <t>Windows; Linux; IaaS</t>
        </is>
      </c>
      <c r="N138" s="276" t="inlineStr">
        <is>
          <t>https://attack.mitre.org/techniques/T1490/</t>
        </is>
      </c>
      <c r="O138" s="276" t="n"/>
      <c r="P138" s="277" t="n"/>
    </row>
    <row r="139">
      <c r="A139" s="275" t="inlineStr">
        <is>
          <t>Nation-state</t>
        </is>
      </c>
      <c r="B139" s="276" t="inlineStr">
        <is>
          <t>Data or transaction-integrity compromise</t>
        </is>
      </c>
      <c r="C139" s="276" t="inlineStr">
        <is>
          <t>User endpoint and social engineering</t>
        </is>
      </c>
      <c r="D139" s="276" t="inlineStr">
        <is>
          <t>T1567</t>
        </is>
      </c>
      <c r="E139" s="276" t="inlineStr">
        <is>
          <t>Exfiltration Over Web Service</t>
        </is>
      </c>
      <c r="F139" s="276" t="inlineStr">
        <is>
          <t>S5</t>
        </is>
      </c>
      <c r="G139" s="276" t="b">
        <v>1</v>
      </c>
      <c r="H139" s="276" t="b">
        <v>0</v>
      </c>
      <c r="I139" s="276" t="b">
        <v>0</v>
      </c>
      <c r="J139" s="276" t="n">
        <v>0.7</v>
      </c>
      <c r="K139" s="276" t="n">
        <v>0.20625</v>
      </c>
      <c r="L139" s="276" t="n">
        <v>0.20625</v>
      </c>
      <c r="M139" s="276" t="inlineStr">
        <is>
          <t>SaaS; Office Suite</t>
        </is>
      </c>
      <c r="N139" s="276" t="inlineStr">
        <is>
          <t>https://attack.mitre.org/techniques/T1567/</t>
        </is>
      </c>
      <c r="O139" s="276" t="n"/>
      <c r="P139" s="277" t="n"/>
    </row>
    <row r="140">
      <c r="A140" s="275" t="inlineStr">
        <is>
          <t>Nation-state</t>
        </is>
      </c>
      <c r="B140" s="276" t="inlineStr">
        <is>
          <t>Data or transaction-integrity compromise</t>
        </is>
      </c>
      <c r="C140" s="276" t="inlineStr">
        <is>
          <t>User endpoint and social engineering</t>
        </is>
      </c>
      <c r="D140" s="276" t="inlineStr">
        <is>
          <t>T1657</t>
        </is>
      </c>
      <c r="E140" s="276" t="inlineStr">
        <is>
          <t>Financial Theft</t>
        </is>
      </c>
      <c r="F140" s="276" t="inlineStr">
        <is>
          <t>S5</t>
        </is>
      </c>
      <c r="G140" s="276" t="b">
        <v>1</v>
      </c>
      <c r="H140" s="276" t="b">
        <v>0</v>
      </c>
      <c r="I140" s="276" t="b">
        <v>0</v>
      </c>
      <c r="J140" s="276" t="n">
        <v>0.5</v>
      </c>
      <c r="K140" s="276" t="n">
        <v>0.275654296875</v>
      </c>
      <c r="L140" s="276" t="n">
        <v>0.275654296875</v>
      </c>
      <c r="M140" s="276" t="inlineStr">
        <is>
          <t>SaaS; Office Suite; Identity Provider</t>
        </is>
      </c>
      <c r="N140" s="276" t="inlineStr">
        <is>
          <t>https://attack.mitre.org/techniques/T1657/</t>
        </is>
      </c>
      <c r="O140" s="276" t="n"/>
      <c r="P140" s="277" t="n"/>
    </row>
    <row r="141">
      <c r="A141" s="275" t="inlineStr">
        <is>
          <t>Nation-state</t>
        </is>
      </c>
      <c r="B141" s="276" t="inlineStr">
        <is>
          <t>Data or transaction-integrity compromise</t>
        </is>
      </c>
      <c r="C141" s="276" t="inlineStr">
        <is>
          <t>User endpoint and social engineering</t>
        </is>
      </c>
      <c r="D141" s="276" t="inlineStr">
        <is>
          <t>T1565</t>
        </is>
      </c>
      <c r="E141" s="276" t="inlineStr">
        <is>
          <t>Data Manipulation</t>
        </is>
      </c>
      <c r="F141" s="276" t="inlineStr">
        <is>
          <t>S5</t>
        </is>
      </c>
      <c r="G141" s="276" t="b">
        <v>1</v>
      </c>
      <c r="H141" s="276" t="b">
        <v>1</v>
      </c>
      <c r="I141" s="276" t="b">
        <v>1</v>
      </c>
      <c r="J141" s="276" t="n">
        <v>0.5</v>
      </c>
      <c r="K141" s="276" t="n">
        <v>0.2206064987182617</v>
      </c>
      <c r="L141" s="276" t="n">
        <v>0.2206064987182617</v>
      </c>
      <c r="M141" s="276" t="inlineStr">
        <is>
          <t>SaaS; Databases; Windows</t>
        </is>
      </c>
      <c r="N141" s="276" t="inlineStr">
        <is>
          <t>https://attack.mitre.org/techniques/T1565/</t>
        </is>
      </c>
      <c r="O141" s="276" t="n"/>
      <c r="P141" s="277" t="n"/>
    </row>
    <row r="142">
      <c r="A142" s="275" t="inlineStr">
        <is>
          <t>Nation-state</t>
        </is>
      </c>
      <c r="B142" s="276" t="inlineStr">
        <is>
          <t>Data or transaction-integrity compromise</t>
        </is>
      </c>
      <c r="C142" s="276" t="inlineStr">
        <is>
          <t>Public-facing application exploitation</t>
        </is>
      </c>
      <c r="D142" s="276" t="inlineStr">
        <is>
          <t>T1190</t>
        </is>
      </c>
      <c r="E142" s="276" t="inlineStr">
        <is>
          <t>Exploit Public-Facing Application</t>
        </is>
      </c>
      <c r="F142" s="276" t="inlineStr">
        <is>
          <t>S1</t>
        </is>
      </c>
      <c r="G142" s="276" t="b">
        <v>1</v>
      </c>
      <c r="H142" s="276" t="b">
        <v>1</v>
      </c>
      <c r="I142" s="276" t="b">
        <v>1</v>
      </c>
      <c r="J142" s="276" t="n">
        <v>1</v>
      </c>
      <c r="K142" s="276" t="n">
        <v>0.2496630477905274</v>
      </c>
      <c r="L142" s="276" t="n">
        <v>0.2496630477905274</v>
      </c>
      <c r="M142" s="276" t="inlineStr">
        <is>
          <t>Network Devices; SaaS; IaaS</t>
        </is>
      </c>
      <c r="N142" s="276" t="inlineStr">
        <is>
          <t>https://attack.mitre.org/techniques/T1190/</t>
        </is>
      </c>
      <c r="O142" s="276" t="n"/>
      <c r="P142" s="277" t="n"/>
    </row>
    <row r="143">
      <c r="A143" s="275" t="inlineStr">
        <is>
          <t>Nation-state</t>
        </is>
      </c>
      <c r="B143" s="276" t="inlineStr">
        <is>
          <t>Data or transaction-integrity compromise</t>
        </is>
      </c>
      <c r="C143" s="276" t="inlineStr">
        <is>
          <t>Public-facing application exploitation</t>
        </is>
      </c>
      <c r="D143" s="276" t="inlineStr">
        <is>
          <t>T1059</t>
        </is>
      </c>
      <c r="E143" s="276" t="inlineStr">
        <is>
          <t>Command and Scripting Interpreter</t>
        </is>
      </c>
      <c r="F143" s="276" t="inlineStr">
        <is>
          <t>S2</t>
        </is>
      </c>
      <c r="G143" s="276" t="b">
        <v>1</v>
      </c>
      <c r="H143" s="276" t="b">
        <v>1</v>
      </c>
      <c r="I143" s="276" t="b">
        <v>1</v>
      </c>
      <c r="J143" s="276" t="n">
        <v>0.8</v>
      </c>
      <c r="K143" s="276" t="n">
        <v>0.1875</v>
      </c>
      <c r="L143" s="276" t="n">
        <v>0.1875</v>
      </c>
      <c r="M143" s="276" t="inlineStr">
        <is>
          <t>Windows; macOS; Linux; IaaS</t>
        </is>
      </c>
      <c r="N143" s="276" t="inlineStr">
        <is>
          <t>https://attack.mitre.org/techniques/T1059/</t>
        </is>
      </c>
      <c r="O143" s="276" t="n"/>
      <c r="P143" s="277" t="n"/>
    </row>
    <row r="144">
      <c r="A144" s="275" t="inlineStr">
        <is>
          <t>Nation-state</t>
        </is>
      </c>
      <c r="B144" s="276" t="inlineStr">
        <is>
          <t>Data or transaction-integrity compromise</t>
        </is>
      </c>
      <c r="C144" s="276" t="inlineStr">
        <is>
          <t>Public-facing application exploitation</t>
        </is>
      </c>
      <c r="D144" s="276" t="inlineStr">
        <is>
          <t>T1068</t>
        </is>
      </c>
      <c r="E144" s="276" t="inlineStr">
        <is>
          <t>Exploitation for Privilege Escalation</t>
        </is>
      </c>
      <c r="F144" s="276" t="inlineStr">
        <is>
          <t>S3</t>
        </is>
      </c>
      <c r="G144" s="276" t="b">
        <v>1</v>
      </c>
      <c r="H144" s="276" t="b">
        <v>1</v>
      </c>
      <c r="I144" s="276" t="b">
        <v>1</v>
      </c>
      <c r="J144" s="276" t="n">
        <v>0.7</v>
      </c>
      <c r="K144" s="276" t="n">
        <v>0.2094165115356445</v>
      </c>
      <c r="L144" s="276" t="n">
        <v>0.2094165115356445</v>
      </c>
      <c r="M144" s="276" t="inlineStr">
        <is>
          <t>Windows; macOS; Linux</t>
        </is>
      </c>
      <c r="N144" s="276" t="inlineStr">
        <is>
          <t>https://attack.mitre.org/techniques/T1068/</t>
        </is>
      </c>
      <c r="O144" s="276" t="n"/>
      <c r="P144" s="277" t="n"/>
    </row>
    <row r="145">
      <c r="A145" s="275" t="inlineStr">
        <is>
          <t>Nation-state</t>
        </is>
      </c>
      <c r="B145" s="276" t="inlineStr">
        <is>
          <t>Data or transaction-integrity compromise</t>
        </is>
      </c>
      <c r="C145" s="276" t="inlineStr">
        <is>
          <t>Public-facing application exploitation</t>
        </is>
      </c>
      <c r="D145" s="276" t="inlineStr">
        <is>
          <t>T1003</t>
        </is>
      </c>
      <c r="E145" s="276" t="inlineStr">
        <is>
          <t>OS Credential Dumping</t>
        </is>
      </c>
      <c r="F145" s="276" t="inlineStr">
        <is>
          <t>S3</t>
        </is>
      </c>
      <c r="G145" s="276" t="b">
        <v>1</v>
      </c>
      <c r="H145" s="276" t="b">
        <v>1</v>
      </c>
      <c r="I145" s="276" t="b">
        <v>1</v>
      </c>
      <c r="J145" s="276" t="n">
        <v>0.6</v>
      </c>
      <c r="K145" s="276" t="n">
        <v>0.232294921875</v>
      </c>
      <c r="L145" s="276" t="n">
        <v>0.232294921875</v>
      </c>
      <c r="M145" s="276" t="inlineStr">
        <is>
          <t>Windows; Linux; macOS</t>
        </is>
      </c>
      <c r="N145" s="276" t="inlineStr">
        <is>
          <t>https://attack.mitre.org/techniques/T1003/</t>
        </is>
      </c>
      <c r="O145" s="276" t="n"/>
      <c r="P145" s="277" t="n"/>
    </row>
    <row r="146">
      <c r="A146" s="275" t="inlineStr">
        <is>
          <t>Nation-state</t>
        </is>
      </c>
      <c r="B146" s="276" t="inlineStr">
        <is>
          <t>Data or transaction-integrity compromise</t>
        </is>
      </c>
      <c r="C146" s="276" t="inlineStr">
        <is>
          <t>Public-facing application exploitation</t>
        </is>
      </c>
      <c r="D146" s="276" t="inlineStr">
        <is>
          <t>T1046</t>
        </is>
      </c>
      <c r="E146" s="276" t="inlineStr">
        <is>
          <t>Network Service Discovery</t>
        </is>
      </c>
      <c r="F146" s="276" t="inlineStr">
        <is>
          <t>S4</t>
        </is>
      </c>
      <c r="G146" s="276" t="b">
        <v>1</v>
      </c>
      <c r="H146" s="276" t="b">
        <v>1</v>
      </c>
      <c r="I146" s="276" t="b">
        <v>1</v>
      </c>
      <c r="J146" s="276" t="n">
        <v>0.7</v>
      </c>
      <c r="K146" s="276" t="n">
        <v>0.16875</v>
      </c>
      <c r="L146" s="276" t="n">
        <v>0.16875</v>
      </c>
      <c r="M146" s="276" t="inlineStr">
        <is>
          <t>Network Devices; Windows; Linux</t>
        </is>
      </c>
      <c r="N146" s="276" t="inlineStr">
        <is>
          <t>https://attack.mitre.org/techniques/T1046/</t>
        </is>
      </c>
      <c r="O146" s="276" t="n"/>
      <c r="P146" s="277" t="n"/>
    </row>
    <row r="147">
      <c r="A147" s="275" t="inlineStr">
        <is>
          <t>Nation-state</t>
        </is>
      </c>
      <c r="B147" s="276" t="inlineStr">
        <is>
          <t>Data or transaction-integrity compromise</t>
        </is>
      </c>
      <c r="C147" s="276" t="inlineStr">
        <is>
          <t>Public-facing application exploitation</t>
        </is>
      </c>
      <c r="D147" s="276" t="inlineStr">
        <is>
          <t>T1210</t>
        </is>
      </c>
      <c r="E147" s="276" t="inlineStr">
        <is>
          <t>Exploitation of Remote Services</t>
        </is>
      </c>
      <c r="F147" s="276" t="inlineStr">
        <is>
          <t>S4</t>
        </is>
      </c>
      <c r="G147" s="276" t="b">
        <v>1</v>
      </c>
      <c r="H147" s="276" t="b">
        <v>1</v>
      </c>
      <c r="I147" s="276" t="b">
        <v>1</v>
      </c>
      <c r="J147" s="276" t="n">
        <v>0.9</v>
      </c>
      <c r="K147" s="276" t="n">
        <v>0.2103495368957519</v>
      </c>
      <c r="L147" s="276" t="n">
        <v>0.2103495368957519</v>
      </c>
      <c r="M147" s="276" t="inlineStr">
        <is>
          <t>Windows; Linux; Network Devices</t>
        </is>
      </c>
      <c r="N147" s="276" t="inlineStr">
        <is>
          <t>https://attack.mitre.org/techniques/T1210/</t>
        </is>
      </c>
      <c r="O147" s="276" t="n"/>
      <c r="P147" s="277" t="n"/>
    </row>
    <row r="148">
      <c r="A148" s="275" t="inlineStr">
        <is>
          <t>Nation-state</t>
        </is>
      </c>
      <c r="B148" s="276" t="inlineStr">
        <is>
          <t>Data or transaction-integrity compromise</t>
        </is>
      </c>
      <c r="C148" s="276" t="inlineStr">
        <is>
          <t>Public-facing application exploitation</t>
        </is>
      </c>
      <c r="D148" s="276" t="inlineStr">
        <is>
          <t>T1021</t>
        </is>
      </c>
      <c r="E148" s="276" t="inlineStr">
        <is>
          <t>Remote Services</t>
        </is>
      </c>
      <c r="F148" s="276" t="inlineStr">
        <is>
          <t>S4</t>
        </is>
      </c>
      <c r="G148" s="276" t="b">
        <v>1</v>
      </c>
      <c r="H148" s="276" t="b">
        <v>1</v>
      </c>
      <c r="I148" s="276" t="b">
        <v>1</v>
      </c>
      <c r="J148" s="276" t="n">
        <v>0.7</v>
      </c>
      <c r="K148" s="276" t="n">
        <v>0.1875</v>
      </c>
      <c r="L148" s="276" t="n">
        <v>0.1875</v>
      </c>
      <c r="M148" s="276" t="inlineStr">
        <is>
          <t>Windows; Linux; Network Devices</t>
        </is>
      </c>
      <c r="N148" s="276" t="inlineStr">
        <is>
          <t>https://attack.mitre.org/techniques/T1021/</t>
        </is>
      </c>
      <c r="O148" s="276" t="n"/>
      <c r="P148" s="277" t="n"/>
    </row>
    <row r="149">
      <c r="A149" s="275" t="inlineStr">
        <is>
          <t>Nation-state</t>
        </is>
      </c>
      <c r="B149" s="276" t="inlineStr">
        <is>
          <t>Data or transaction-integrity compromise</t>
        </is>
      </c>
      <c r="C149" s="276" t="inlineStr">
        <is>
          <t>Public-facing application exploitation</t>
        </is>
      </c>
      <c r="D149" s="276" t="inlineStr">
        <is>
          <t>T1486</t>
        </is>
      </c>
      <c r="E149" s="276" t="inlineStr">
        <is>
          <t>Data Encrypted for Impact</t>
        </is>
      </c>
      <c r="F149" s="276" t="inlineStr">
        <is>
          <t>S5</t>
        </is>
      </c>
      <c r="G149" s="276" t="b">
        <v>1</v>
      </c>
      <c r="H149" s="276" t="b">
        <v>1</v>
      </c>
      <c r="I149" s="276" t="b">
        <v>1</v>
      </c>
      <c r="J149" s="276" t="n">
        <v>0.6</v>
      </c>
      <c r="K149" s="276" t="n">
        <v>0.16875</v>
      </c>
      <c r="L149" s="276" t="n">
        <v>0.16875</v>
      </c>
      <c r="M149" s="276" t="inlineStr">
        <is>
          <t>Windows; Linux; IaaS</t>
        </is>
      </c>
      <c r="N149" s="276" t="inlineStr">
        <is>
          <t>https://attack.mitre.org/techniques/T1486/</t>
        </is>
      </c>
      <c r="O149" s="276" t="n"/>
      <c r="P149" s="277" t="n"/>
    </row>
    <row r="150">
      <c r="A150" s="275" t="inlineStr">
        <is>
          <t>Nation-state</t>
        </is>
      </c>
      <c r="B150" s="276" t="inlineStr">
        <is>
          <t>Data or transaction-integrity compromise</t>
        </is>
      </c>
      <c r="C150" s="276" t="inlineStr">
        <is>
          <t>Public-facing application exploitation</t>
        </is>
      </c>
      <c r="D150" s="276" t="inlineStr">
        <is>
          <t>T1490</t>
        </is>
      </c>
      <c r="E150" s="276" t="inlineStr">
        <is>
          <t>Inhibit System Recovery</t>
        </is>
      </c>
      <c r="F150" s="276" t="inlineStr">
        <is>
          <t>S5</t>
        </is>
      </c>
      <c r="G150" s="276" t="b">
        <v>1</v>
      </c>
      <c r="H150" s="276" t="b">
        <v>1</v>
      </c>
      <c r="I150" s="276" t="b">
        <v>1</v>
      </c>
      <c r="J150" s="276" t="n">
        <v>0.5</v>
      </c>
      <c r="K150" s="276" t="n">
        <v>0</v>
      </c>
      <c r="L150" s="276" t="n">
        <v>0</v>
      </c>
      <c r="M150" s="276" t="inlineStr">
        <is>
          <t>Windows; Linux; IaaS</t>
        </is>
      </c>
      <c r="N150" s="276" t="inlineStr">
        <is>
          <t>https://attack.mitre.org/techniques/T1490/</t>
        </is>
      </c>
      <c r="O150" s="276" t="n"/>
      <c r="P150" s="277" t="n"/>
    </row>
    <row r="151">
      <c r="A151" s="275" t="inlineStr">
        <is>
          <t>Nation-state</t>
        </is>
      </c>
      <c r="B151" s="276" t="inlineStr">
        <is>
          <t>Data or transaction-integrity compromise</t>
        </is>
      </c>
      <c r="C151" s="276" t="inlineStr">
        <is>
          <t>Public-facing application exploitation</t>
        </is>
      </c>
      <c r="D151" s="276" t="inlineStr">
        <is>
          <t>T1567</t>
        </is>
      </c>
      <c r="E151" s="276" t="inlineStr">
        <is>
          <t>Exfiltration Over Web Service</t>
        </is>
      </c>
      <c r="F151" s="276" t="inlineStr">
        <is>
          <t>S5</t>
        </is>
      </c>
      <c r="G151" s="276" t="b">
        <v>1</v>
      </c>
      <c r="H151" s="276" t="b">
        <v>0</v>
      </c>
      <c r="I151" s="276" t="b">
        <v>0</v>
      </c>
      <c r="J151" s="276" t="n">
        <v>0.6</v>
      </c>
      <c r="K151" s="276" t="n">
        <v>0.20625</v>
      </c>
      <c r="L151" s="276" t="n">
        <v>0.20625</v>
      </c>
      <c r="M151" s="276" t="inlineStr">
        <is>
          <t>SaaS; Office Suite</t>
        </is>
      </c>
      <c r="N151" s="276" t="inlineStr">
        <is>
          <t>https://attack.mitre.org/techniques/T1567/</t>
        </is>
      </c>
      <c r="O151" s="276" t="n"/>
      <c r="P151" s="277" t="n"/>
    </row>
    <row r="152">
      <c r="A152" s="275" t="inlineStr">
        <is>
          <t>Nation-state</t>
        </is>
      </c>
      <c r="B152" s="276" t="inlineStr">
        <is>
          <t>Data or transaction-integrity compromise</t>
        </is>
      </c>
      <c r="C152" s="276" t="inlineStr">
        <is>
          <t>Public-facing application exploitation</t>
        </is>
      </c>
      <c r="D152" s="276" t="inlineStr">
        <is>
          <t>T1565</t>
        </is>
      </c>
      <c r="E152" s="276" t="inlineStr">
        <is>
          <t>Data Manipulation</t>
        </is>
      </c>
      <c r="F152" s="276" t="inlineStr">
        <is>
          <t>S5</t>
        </is>
      </c>
      <c r="G152" s="276" t="b">
        <v>1</v>
      </c>
      <c r="H152" s="276" t="b">
        <v>1</v>
      </c>
      <c r="I152" s="276" t="b">
        <v>1</v>
      </c>
      <c r="J152" s="276" t="n">
        <v>0.6</v>
      </c>
      <c r="K152" s="276" t="n">
        <v>0.2206064987182617</v>
      </c>
      <c r="L152" s="276" t="n">
        <v>0.2206064987182617</v>
      </c>
      <c r="M152" s="276" t="inlineStr">
        <is>
          <t>SaaS; Databases; Windows</t>
        </is>
      </c>
      <c r="N152" s="276" t="inlineStr">
        <is>
          <t>https://attack.mitre.org/techniques/T1565/</t>
        </is>
      </c>
      <c r="O152" s="276" t="n"/>
      <c r="P152" s="277" t="n"/>
    </row>
    <row r="153">
      <c r="A153" s="275" t="inlineStr">
        <is>
          <t>Nation-state</t>
        </is>
      </c>
      <c r="B153" s="276" t="inlineStr">
        <is>
          <t>Data or transaction-integrity compromise</t>
        </is>
      </c>
      <c r="C153" s="276" t="inlineStr">
        <is>
          <t>Public-facing application exploitation</t>
        </is>
      </c>
      <c r="D153" s="276" t="inlineStr">
        <is>
          <t>T1657</t>
        </is>
      </c>
      <c r="E153" s="276" t="inlineStr">
        <is>
          <t>Financial Theft</t>
        </is>
      </c>
      <c r="F153" s="276" t="inlineStr">
        <is>
          <t>S5</t>
        </is>
      </c>
      <c r="G153" s="276" t="b">
        <v>1</v>
      </c>
      <c r="H153" s="276" t="b">
        <v>0</v>
      </c>
      <c r="I153" s="276" t="b">
        <v>0</v>
      </c>
      <c r="J153" s="276" t="n">
        <v>0.4</v>
      </c>
      <c r="K153" s="276" t="n">
        <v>0.275654296875</v>
      </c>
      <c r="L153" s="276" t="n">
        <v>0.275654296875</v>
      </c>
      <c r="M153" s="276" t="inlineStr">
        <is>
          <t>SaaS; Office Suite; Identity Provider</t>
        </is>
      </c>
      <c r="N153" s="276" t="inlineStr">
        <is>
          <t>https://attack.mitre.org/techniques/T1657/</t>
        </is>
      </c>
      <c r="O153" s="276" t="n"/>
      <c r="P153" s="277" t="n"/>
    </row>
    <row r="154">
      <c r="A154" s="275" t="inlineStr">
        <is>
          <t>Nation-state</t>
        </is>
      </c>
      <c r="B154" s="276" t="inlineStr">
        <is>
          <t>Data or transaction-integrity compromise</t>
        </is>
      </c>
      <c r="C154" s="276" t="inlineStr">
        <is>
          <t>Third-party or software supply chain</t>
        </is>
      </c>
      <c r="D154" s="276" t="inlineStr">
        <is>
          <t>T1199</t>
        </is>
      </c>
      <c r="E154" s="276" t="inlineStr">
        <is>
          <t>Trusted Relationship</t>
        </is>
      </c>
      <c r="F154" s="276" t="inlineStr">
        <is>
          <t>S3</t>
        </is>
      </c>
      <c r="G154" s="276" t="b">
        <v>1</v>
      </c>
      <c r="H154" s="276" t="b">
        <v>1</v>
      </c>
      <c r="I154" s="276" t="b">
        <v>1</v>
      </c>
      <c r="J154" s="276" t="n">
        <v>1</v>
      </c>
      <c r="K154" s="276" t="n">
        <v>0.20625</v>
      </c>
      <c r="L154" s="276" t="n">
        <v>0.20625</v>
      </c>
      <c r="M154" s="276" t="inlineStr">
        <is>
          <t>SaaS; IaaS; Network Devices</t>
        </is>
      </c>
      <c r="N154" s="276" t="inlineStr">
        <is>
          <t>https://attack.mitre.org/techniques/T1199/</t>
        </is>
      </c>
      <c r="O154" s="276" t="n"/>
      <c r="P154" s="277" t="n"/>
    </row>
    <row r="155">
      <c r="A155" s="275" t="inlineStr">
        <is>
          <t>Nation-state</t>
        </is>
      </c>
      <c r="B155" s="276" t="inlineStr">
        <is>
          <t>Data or transaction-integrity compromise</t>
        </is>
      </c>
      <c r="C155" s="276" t="inlineStr">
        <is>
          <t>Third-party or software supply chain</t>
        </is>
      </c>
      <c r="D155" s="276" t="inlineStr">
        <is>
          <t>T1098</t>
        </is>
      </c>
      <c r="E155" s="276" t="inlineStr">
        <is>
          <t>Account Manipulation</t>
        </is>
      </c>
      <c r="F155" s="276" t="inlineStr">
        <is>
          <t>S3</t>
        </is>
      </c>
      <c r="G155" s="276" t="b">
        <v>1</v>
      </c>
      <c r="H155" s="276" t="b">
        <v>1</v>
      </c>
      <c r="I155" s="276" t="b">
        <v>1</v>
      </c>
      <c r="J155" s="276" t="n">
        <v>0.6</v>
      </c>
      <c r="K155" s="276" t="n">
        <v>0.2477547340393066</v>
      </c>
      <c r="L155" s="276" t="n">
        <v>0.2477547340393066</v>
      </c>
      <c r="M155" s="276" t="inlineStr">
        <is>
          <t>Identity Provider; SaaS; Windows</t>
        </is>
      </c>
      <c r="N155" s="276" t="inlineStr">
        <is>
          <t>https://attack.mitre.org/techniques/T1098/</t>
        </is>
      </c>
      <c r="O155" s="276" t="n"/>
      <c r="P155" s="277" t="n"/>
    </row>
    <row r="156">
      <c r="A156" s="275" t="inlineStr">
        <is>
          <t>Nation-state</t>
        </is>
      </c>
      <c r="B156" s="276" t="inlineStr">
        <is>
          <t>Data or transaction-integrity compromise</t>
        </is>
      </c>
      <c r="C156" s="276" t="inlineStr">
        <is>
          <t>Third-party or software supply chain</t>
        </is>
      </c>
      <c r="D156" s="276" t="inlineStr">
        <is>
          <t>T1087</t>
        </is>
      </c>
      <c r="E156" s="276" t="inlineStr">
        <is>
          <t>Account Discovery</t>
        </is>
      </c>
      <c r="F156" s="276" t="inlineStr">
        <is>
          <t>S4</t>
        </is>
      </c>
      <c r="G156" s="276" t="b">
        <v>1</v>
      </c>
      <c r="H156" s="276" t="b">
        <v>1</v>
      </c>
      <c r="I156" s="276" t="b">
        <v>1</v>
      </c>
      <c r="J156" s="276" t="n">
        <v>0.5</v>
      </c>
      <c r="K156" s="276" t="n">
        <v>0</v>
      </c>
      <c r="L156" s="276" t="n">
        <v>0</v>
      </c>
      <c r="M156" s="276" t="inlineStr">
        <is>
          <t>Identity Provider; SaaS; Windows</t>
        </is>
      </c>
      <c r="N156" s="276" t="inlineStr">
        <is>
          <t>https://attack.mitre.org/techniques/T1087/</t>
        </is>
      </c>
      <c r="O156" s="276" t="n"/>
      <c r="P156" s="277" t="n"/>
    </row>
    <row r="157">
      <c r="A157" s="275" t="inlineStr">
        <is>
          <t>Nation-state</t>
        </is>
      </c>
      <c r="B157" s="276" t="inlineStr">
        <is>
          <t>Data or transaction-integrity compromise</t>
        </is>
      </c>
      <c r="C157" s="276" t="inlineStr">
        <is>
          <t>Third-party or software supply chain</t>
        </is>
      </c>
      <c r="D157" s="276" t="inlineStr">
        <is>
          <t>T1213</t>
        </is>
      </c>
      <c r="E157" s="276" t="inlineStr">
        <is>
          <t>Data from Information Repositories</t>
        </is>
      </c>
      <c r="F157" s="276" t="inlineStr">
        <is>
          <t>S4</t>
        </is>
      </c>
      <c r="G157" s="276" t="b">
        <v>1</v>
      </c>
      <c r="H157" s="276" t="b">
        <v>1</v>
      </c>
      <c r="I157" s="276" t="b">
        <v>1</v>
      </c>
      <c r="J157" s="276" t="n">
        <v>0.7</v>
      </c>
      <c r="K157" s="276" t="n">
        <v>0.177890625</v>
      </c>
      <c r="L157" s="276" t="n">
        <v>0.177890625</v>
      </c>
      <c r="M157" s="276" t="inlineStr">
        <is>
          <t>SaaS; Office Suite; Windows</t>
        </is>
      </c>
      <c r="N157" s="276" t="inlineStr">
        <is>
          <t>https://attack.mitre.org/techniques/T1213/</t>
        </is>
      </c>
      <c r="O157" s="276" t="n"/>
      <c r="P157" s="277" t="n"/>
    </row>
    <row r="158">
      <c r="A158" s="275" t="inlineStr">
        <is>
          <t>Nation-state</t>
        </is>
      </c>
      <c r="B158" s="276" t="inlineStr">
        <is>
          <t>Data or transaction-integrity compromise</t>
        </is>
      </c>
      <c r="C158" s="276" t="inlineStr">
        <is>
          <t>Third-party or software supply chain</t>
        </is>
      </c>
      <c r="D158" s="276" t="inlineStr">
        <is>
          <t>T1567</t>
        </is>
      </c>
      <c r="E158" s="276" t="inlineStr">
        <is>
          <t>Exfiltration Over Web Service</t>
        </is>
      </c>
      <c r="F158" s="276" t="inlineStr">
        <is>
          <t>S5</t>
        </is>
      </c>
      <c r="G158" s="276" t="b">
        <v>1</v>
      </c>
      <c r="H158" s="276" t="b">
        <v>0</v>
      </c>
      <c r="I158" s="276" t="b">
        <v>0</v>
      </c>
      <c r="J158" s="276" t="n">
        <v>0.6</v>
      </c>
      <c r="K158" s="276" t="n">
        <v>0.20625</v>
      </c>
      <c r="L158" s="276" t="n">
        <v>0.20625</v>
      </c>
      <c r="M158" s="276" t="inlineStr">
        <is>
          <t>SaaS; Office Suite</t>
        </is>
      </c>
      <c r="N158" s="276" t="inlineStr">
        <is>
          <t>https://attack.mitre.org/techniques/T1567/</t>
        </is>
      </c>
      <c r="O158" s="276" t="n"/>
      <c r="P158" s="277" t="n"/>
    </row>
    <row r="159">
      <c r="A159" s="275" t="inlineStr">
        <is>
          <t>Nation-state</t>
        </is>
      </c>
      <c r="B159" s="276" t="inlineStr">
        <is>
          <t>Data or transaction-integrity compromise</t>
        </is>
      </c>
      <c r="C159" s="276" t="inlineStr">
        <is>
          <t>Third-party or software supply chain</t>
        </is>
      </c>
      <c r="D159" s="276" t="inlineStr">
        <is>
          <t>T1486</t>
        </is>
      </c>
      <c r="E159" s="276" t="inlineStr">
        <is>
          <t>Data Encrypted for Impact</t>
        </is>
      </c>
      <c r="F159" s="276" t="inlineStr">
        <is>
          <t>S5</t>
        </is>
      </c>
      <c r="G159" s="276" t="b">
        <v>1</v>
      </c>
      <c r="H159" s="276" t="b">
        <v>1</v>
      </c>
      <c r="I159" s="276" t="b">
        <v>1</v>
      </c>
      <c r="J159" s="276" t="n">
        <v>0.5</v>
      </c>
      <c r="K159" s="276" t="n">
        <v>0.16875</v>
      </c>
      <c r="L159" s="276" t="n">
        <v>0.16875</v>
      </c>
      <c r="M159" s="276" t="inlineStr">
        <is>
          <t>Windows; Linux; IaaS</t>
        </is>
      </c>
      <c r="N159" s="276" t="inlineStr">
        <is>
          <t>https://attack.mitre.org/techniques/T1486/</t>
        </is>
      </c>
      <c r="O159" s="276" t="n"/>
      <c r="P159" s="277" t="n"/>
    </row>
    <row r="160">
      <c r="A160" s="275" t="inlineStr">
        <is>
          <t>Nation-state</t>
        </is>
      </c>
      <c r="B160" s="276" t="inlineStr">
        <is>
          <t>Data or transaction-integrity compromise</t>
        </is>
      </c>
      <c r="C160" s="276" t="inlineStr">
        <is>
          <t>Third-party or software supply chain</t>
        </is>
      </c>
      <c r="D160" s="276" t="inlineStr">
        <is>
          <t>T1565</t>
        </is>
      </c>
      <c r="E160" s="276" t="inlineStr">
        <is>
          <t>Data Manipulation</t>
        </is>
      </c>
      <c r="F160" s="276" t="inlineStr">
        <is>
          <t>S5</t>
        </is>
      </c>
      <c r="G160" s="276" t="b">
        <v>1</v>
      </c>
      <c r="H160" s="276" t="b">
        <v>1</v>
      </c>
      <c r="I160" s="276" t="b">
        <v>1</v>
      </c>
      <c r="J160" s="276" t="n">
        <v>0.6</v>
      </c>
      <c r="K160" s="276" t="n">
        <v>0.2206064987182617</v>
      </c>
      <c r="L160" s="276" t="n">
        <v>0.2206064987182617</v>
      </c>
      <c r="M160" s="276" t="inlineStr">
        <is>
          <t>SaaS; Databases; Windows</t>
        </is>
      </c>
      <c r="N160" s="276" t="inlineStr">
        <is>
          <t>https://attack.mitre.org/techniques/T1565/</t>
        </is>
      </c>
      <c r="O160" s="276" t="n"/>
      <c r="P160" s="277" t="n"/>
    </row>
    <row r="161">
      <c r="A161" s="275" t="inlineStr">
        <is>
          <t>Nation-state</t>
        </is>
      </c>
      <c r="B161" s="276" t="inlineStr">
        <is>
          <t>Data or transaction-integrity compromise</t>
        </is>
      </c>
      <c r="C161" s="276" t="inlineStr">
        <is>
          <t>Third-party or software supply chain</t>
        </is>
      </c>
      <c r="D161" s="276" t="inlineStr">
        <is>
          <t>T1657</t>
        </is>
      </c>
      <c r="E161" s="276" t="inlineStr">
        <is>
          <t>Financial Theft</t>
        </is>
      </c>
      <c r="F161" s="276" t="inlineStr">
        <is>
          <t>S5</t>
        </is>
      </c>
      <c r="G161" s="276" t="b">
        <v>1</v>
      </c>
      <c r="H161" s="276" t="b">
        <v>0</v>
      </c>
      <c r="I161" s="276" t="b">
        <v>0</v>
      </c>
      <c r="J161" s="276" t="n">
        <v>0.5</v>
      </c>
      <c r="K161" s="276" t="n">
        <v>0.275654296875</v>
      </c>
      <c r="L161" s="276" t="n">
        <v>0.275654296875</v>
      </c>
      <c r="M161" s="276" t="inlineStr">
        <is>
          <t>SaaS; Office Suite; Identity Provider</t>
        </is>
      </c>
      <c r="N161" s="276" t="inlineStr">
        <is>
          <t>https://attack.mitre.org/techniques/T1657/</t>
        </is>
      </c>
      <c r="O161" s="276" t="n"/>
      <c r="P161" s="277" t="n"/>
    </row>
    <row r="162">
      <c r="A162" s="275" t="inlineStr">
        <is>
          <t>Nation-state</t>
        </is>
      </c>
      <c r="B162" s="276" t="inlineStr">
        <is>
          <t>Data or transaction-integrity compromise</t>
        </is>
      </c>
      <c r="C162" s="276" t="inlineStr">
        <is>
          <t>Insider or trusted access</t>
        </is>
      </c>
      <c r="D162" s="276" t="inlineStr">
        <is>
          <t>T1098</t>
        </is>
      </c>
      <c r="E162" s="276" t="inlineStr">
        <is>
          <t>Account Manipulation</t>
        </is>
      </c>
      <c r="F162" s="276" t="inlineStr">
        <is>
          <t>S3</t>
        </is>
      </c>
      <c r="G162" s="276" t="b">
        <v>1</v>
      </c>
      <c r="H162" s="276" t="b">
        <v>1</v>
      </c>
      <c r="I162" s="276" t="b">
        <v>1</v>
      </c>
      <c r="J162" s="276" t="n">
        <v>0.8</v>
      </c>
      <c r="K162" s="276" t="n">
        <v>0.2477547340393066</v>
      </c>
      <c r="L162" s="276" t="n">
        <v>0.2477547340393066</v>
      </c>
      <c r="M162" s="276" t="inlineStr">
        <is>
          <t>Identity Provider; SaaS; Windows</t>
        </is>
      </c>
      <c r="N162" s="276" t="inlineStr">
        <is>
          <t>https://attack.mitre.org/techniques/T1098/</t>
        </is>
      </c>
      <c r="O162" s="276" t="n"/>
      <c r="P162" s="277" t="n"/>
    </row>
    <row r="163">
      <c r="A163" s="275" t="inlineStr">
        <is>
          <t>Nation-state</t>
        </is>
      </c>
      <c r="B163" s="276" t="inlineStr">
        <is>
          <t>Data or transaction-integrity compromise</t>
        </is>
      </c>
      <c r="C163" s="276" t="inlineStr">
        <is>
          <t>Insider or trusted access</t>
        </is>
      </c>
      <c r="D163" s="276" t="inlineStr">
        <is>
          <t>T1087</t>
        </is>
      </c>
      <c r="E163" s="276" t="inlineStr">
        <is>
          <t>Account Discovery</t>
        </is>
      </c>
      <c r="F163" s="276" t="inlineStr">
        <is>
          <t>S4</t>
        </is>
      </c>
      <c r="G163" s="276" t="b">
        <v>1</v>
      </c>
      <c r="H163" s="276" t="b">
        <v>1</v>
      </c>
      <c r="I163" s="276" t="b">
        <v>1</v>
      </c>
      <c r="J163" s="276" t="n">
        <v>0.6</v>
      </c>
      <c r="K163" s="276" t="n">
        <v>0</v>
      </c>
      <c r="L163" s="276" t="n">
        <v>0</v>
      </c>
      <c r="M163" s="276" t="inlineStr">
        <is>
          <t>Identity Provider; SaaS; Windows</t>
        </is>
      </c>
      <c r="N163" s="276" t="inlineStr">
        <is>
          <t>https://attack.mitre.org/techniques/T1087/</t>
        </is>
      </c>
      <c r="O163" s="276" t="n"/>
      <c r="P163" s="277" t="n"/>
    </row>
    <row r="164">
      <c r="A164" s="275" t="inlineStr">
        <is>
          <t>Nation-state</t>
        </is>
      </c>
      <c r="B164" s="276" t="inlineStr">
        <is>
          <t>Data or transaction-integrity compromise</t>
        </is>
      </c>
      <c r="C164" s="276" t="inlineStr">
        <is>
          <t>Insider or trusted access</t>
        </is>
      </c>
      <c r="D164" s="276" t="inlineStr">
        <is>
          <t>T1213</t>
        </is>
      </c>
      <c r="E164" s="276" t="inlineStr">
        <is>
          <t>Data from Information Repositories</t>
        </is>
      </c>
      <c r="F164" s="276" t="inlineStr">
        <is>
          <t>S4</t>
        </is>
      </c>
      <c r="G164" s="276" t="b">
        <v>1</v>
      </c>
      <c r="H164" s="276" t="b">
        <v>1</v>
      </c>
      <c r="I164" s="276" t="b">
        <v>1</v>
      </c>
      <c r="J164" s="276" t="n">
        <v>0.9</v>
      </c>
      <c r="K164" s="276" t="n">
        <v>0.177890625</v>
      </c>
      <c r="L164" s="276" t="n">
        <v>0.177890625</v>
      </c>
      <c r="M164" s="276" t="inlineStr">
        <is>
          <t>SaaS; Office Suite; Windows</t>
        </is>
      </c>
      <c r="N164" s="276" t="inlineStr">
        <is>
          <t>https://attack.mitre.org/techniques/T1213/</t>
        </is>
      </c>
      <c r="O164" s="276" t="n"/>
      <c r="P164" s="277" t="n"/>
    </row>
    <row r="165">
      <c r="A165" s="275" t="inlineStr">
        <is>
          <t>Nation-state</t>
        </is>
      </c>
      <c r="B165" s="276" t="inlineStr">
        <is>
          <t>Data or transaction-integrity compromise</t>
        </is>
      </c>
      <c r="C165" s="276" t="inlineStr">
        <is>
          <t>Insider or trusted access</t>
        </is>
      </c>
      <c r="D165" s="276" t="inlineStr">
        <is>
          <t>T1567</t>
        </is>
      </c>
      <c r="E165" s="276" t="inlineStr">
        <is>
          <t>Exfiltration Over Web Service</t>
        </is>
      </c>
      <c r="F165" s="276" t="inlineStr">
        <is>
          <t>S5</t>
        </is>
      </c>
      <c r="G165" s="276" t="b">
        <v>1</v>
      </c>
      <c r="H165" s="276" t="b">
        <v>0</v>
      </c>
      <c r="I165" s="276" t="b">
        <v>0</v>
      </c>
      <c r="J165" s="276" t="n">
        <v>0.8</v>
      </c>
      <c r="K165" s="276" t="n">
        <v>0.20625</v>
      </c>
      <c r="L165" s="276" t="n">
        <v>0.20625</v>
      </c>
      <c r="M165" s="276" t="inlineStr">
        <is>
          <t>SaaS; Office Suite</t>
        </is>
      </c>
      <c r="N165" s="276" t="inlineStr">
        <is>
          <t>https://attack.mitre.org/techniques/T1567/</t>
        </is>
      </c>
      <c r="O165" s="276" t="n"/>
      <c r="P165" s="277" t="n"/>
    </row>
    <row r="166">
      <c r="A166" s="275" t="inlineStr">
        <is>
          <t>Nation-state</t>
        </is>
      </c>
      <c r="B166" s="276" t="inlineStr">
        <is>
          <t>Data or transaction-integrity compromise</t>
        </is>
      </c>
      <c r="C166" s="276" t="inlineStr">
        <is>
          <t>Insider or trusted access</t>
        </is>
      </c>
      <c r="D166" s="276" t="inlineStr">
        <is>
          <t>T1565</t>
        </is>
      </c>
      <c r="E166" s="276" t="inlineStr">
        <is>
          <t>Data Manipulation</t>
        </is>
      </c>
      <c r="F166" s="276" t="inlineStr">
        <is>
          <t>S5</t>
        </is>
      </c>
      <c r="G166" s="276" t="b">
        <v>1</v>
      </c>
      <c r="H166" s="276" t="b">
        <v>1</v>
      </c>
      <c r="I166" s="276" t="b">
        <v>1</v>
      </c>
      <c r="J166" s="276" t="n">
        <v>0.9</v>
      </c>
      <c r="K166" s="276" t="n">
        <v>0.2206064987182617</v>
      </c>
      <c r="L166" s="276" t="n">
        <v>0.2206064987182617</v>
      </c>
      <c r="M166" s="276" t="inlineStr">
        <is>
          <t>SaaS; Databases; Windows</t>
        </is>
      </c>
      <c r="N166" s="276" t="inlineStr">
        <is>
          <t>https://attack.mitre.org/techniques/T1565/</t>
        </is>
      </c>
      <c r="O166" s="276" t="n"/>
      <c r="P166" s="277" t="n"/>
    </row>
    <row r="167">
      <c r="A167" s="275" t="inlineStr">
        <is>
          <t>Nation-state</t>
        </is>
      </c>
      <c r="B167" s="276" t="inlineStr">
        <is>
          <t>Data or transaction-integrity compromise</t>
        </is>
      </c>
      <c r="C167" s="276" t="inlineStr">
        <is>
          <t>Insider or trusted access</t>
        </is>
      </c>
      <c r="D167" s="276" t="inlineStr">
        <is>
          <t>T1657</t>
        </is>
      </c>
      <c r="E167" s="276" t="inlineStr">
        <is>
          <t>Financial Theft</t>
        </is>
      </c>
      <c r="F167" s="276" t="inlineStr">
        <is>
          <t>S5</t>
        </is>
      </c>
      <c r="G167" s="276" t="b">
        <v>1</v>
      </c>
      <c r="H167" s="276" t="b">
        <v>0</v>
      </c>
      <c r="I167" s="276" t="b">
        <v>0</v>
      </c>
      <c r="J167" s="276" t="n">
        <v>0.9</v>
      </c>
      <c r="K167" s="276" t="n">
        <v>0.275654296875</v>
      </c>
      <c r="L167" s="276" t="n">
        <v>0.275654296875</v>
      </c>
      <c r="M167" s="276" t="inlineStr">
        <is>
          <t>SaaS; Office Suite; Identity Provider</t>
        </is>
      </c>
      <c r="N167" s="276" t="inlineStr">
        <is>
          <t>https://attack.mitre.org/techniques/T1657/</t>
        </is>
      </c>
      <c r="O167" s="276" t="n"/>
      <c r="P167" s="277" t="n"/>
    </row>
    <row r="168">
      <c r="A168" s="275" t="inlineStr">
        <is>
          <t>Nation-state</t>
        </is>
      </c>
      <c r="B168" s="276" t="inlineStr">
        <is>
          <t>Cyber-enabled theft or fraud</t>
        </is>
      </c>
      <c r="C168" s="276" t="inlineStr">
        <is>
          <t>Identity and credential compromise</t>
        </is>
      </c>
      <c r="D168" s="276" t="inlineStr">
        <is>
          <t>T1566</t>
        </is>
      </c>
      <c r="E168" s="276" t="inlineStr">
        <is>
          <t>Phishing</t>
        </is>
      </c>
      <c r="F168" s="276" t="inlineStr">
        <is>
          <t>S1</t>
        </is>
      </c>
      <c r="G168" s="276" t="b">
        <v>1</v>
      </c>
      <c r="H168" s="276" t="b">
        <v>1</v>
      </c>
      <c r="I168" s="276" t="b">
        <v>1</v>
      </c>
      <c r="J168" s="276" t="n">
        <v>1</v>
      </c>
      <c r="K168" s="276" t="n">
        <v>0.20625</v>
      </c>
      <c r="L168" s="276" t="n">
        <v>0.20625</v>
      </c>
      <c r="M168" s="276" t="inlineStr">
        <is>
          <t>Windows; SaaS; Office Suite</t>
        </is>
      </c>
      <c r="N168" s="276" t="inlineStr">
        <is>
          <t>https://attack.mitre.org/techniques/T1566/</t>
        </is>
      </c>
      <c r="O168" s="276" t="n"/>
      <c r="P168" s="277" t="n"/>
    </row>
    <row r="169">
      <c r="A169" s="275" t="inlineStr">
        <is>
          <t>Nation-state</t>
        </is>
      </c>
      <c r="B169" s="276" t="inlineStr">
        <is>
          <t>Cyber-enabled theft or fraud</t>
        </is>
      </c>
      <c r="C169" s="276" t="inlineStr">
        <is>
          <t>Identity and credential compromise</t>
        </is>
      </c>
      <c r="D169" s="276" t="inlineStr">
        <is>
          <t>T1078</t>
        </is>
      </c>
      <c r="E169" s="276" t="inlineStr">
        <is>
          <t>Valid Accounts</t>
        </is>
      </c>
      <c r="F169" s="276" t="inlineStr">
        <is>
          <t>S1</t>
        </is>
      </c>
      <c r="G169" s="276" t="b">
        <v>1</v>
      </c>
      <c r="H169" s="276" t="b">
        <v>1</v>
      </c>
      <c r="I169" s="276" t="b">
        <v>1</v>
      </c>
      <c r="J169" s="276" t="n">
        <v>1</v>
      </c>
      <c r="K169" s="276" t="n">
        <v>0.272109375</v>
      </c>
      <c r="L169" s="276" t="n">
        <v>0.272109375</v>
      </c>
      <c r="M169" s="276" t="inlineStr">
        <is>
          <t>Identity Provider; SaaS; IaaS; Windows</t>
        </is>
      </c>
      <c r="N169" s="276" t="inlineStr">
        <is>
          <t>https://attack.mitre.org/techniques/T1078/</t>
        </is>
      </c>
      <c r="O169" s="276" t="n"/>
      <c r="P169" s="277" t="n"/>
    </row>
    <row r="170">
      <c r="A170" s="275" t="inlineStr">
        <is>
          <t>Nation-state</t>
        </is>
      </c>
      <c r="B170" s="276" t="inlineStr">
        <is>
          <t>Cyber-enabled theft or fraud</t>
        </is>
      </c>
      <c r="C170" s="276" t="inlineStr">
        <is>
          <t>Identity and credential compromise</t>
        </is>
      </c>
      <c r="D170" s="276" t="inlineStr">
        <is>
          <t>T1110</t>
        </is>
      </c>
      <c r="E170" s="276" t="inlineStr">
        <is>
          <t>Brute Force</t>
        </is>
      </c>
      <c r="F170" s="276" t="inlineStr">
        <is>
          <t>S1</t>
        </is>
      </c>
      <c r="G170" s="276" t="b">
        <v>1</v>
      </c>
      <c r="H170" s="276" t="b">
        <v>1</v>
      </c>
      <c r="I170" s="276" t="b">
        <v>1</v>
      </c>
      <c r="J170" s="276" t="n">
        <v>0.7</v>
      </c>
      <c r="K170" s="276" t="n">
        <v>0.24375</v>
      </c>
      <c r="L170" s="276" t="n">
        <v>0.24375</v>
      </c>
      <c r="M170" s="276" t="inlineStr">
        <is>
          <t>Identity Provider; SaaS; Windows</t>
        </is>
      </c>
      <c r="N170" s="276" t="inlineStr">
        <is>
          <t>https://attack.mitre.org/techniques/T1110/</t>
        </is>
      </c>
      <c r="O170" s="276" t="n"/>
      <c r="P170" s="277" t="n"/>
    </row>
    <row r="171">
      <c r="A171" s="275" t="inlineStr">
        <is>
          <t>Nation-state</t>
        </is>
      </c>
      <c r="B171" s="276" t="inlineStr">
        <is>
          <t>Cyber-enabled theft or fraud</t>
        </is>
      </c>
      <c r="C171" s="276" t="inlineStr">
        <is>
          <t>Identity and credential compromise</t>
        </is>
      </c>
      <c r="D171" s="276" t="inlineStr">
        <is>
          <t>T1098</t>
        </is>
      </c>
      <c r="E171" s="276" t="inlineStr">
        <is>
          <t>Account Manipulation</t>
        </is>
      </c>
      <c r="F171" s="276" t="inlineStr">
        <is>
          <t>S3</t>
        </is>
      </c>
      <c r="G171" s="276" t="b">
        <v>1</v>
      </c>
      <c r="H171" s="276" t="b">
        <v>1</v>
      </c>
      <c r="I171" s="276" t="b">
        <v>1</v>
      </c>
      <c r="J171" s="276" t="n">
        <v>0.7</v>
      </c>
      <c r="K171" s="276" t="n">
        <v>0.2477547340393066</v>
      </c>
      <c r="L171" s="276" t="n">
        <v>0.2477547340393066</v>
      </c>
      <c r="M171" s="276" t="inlineStr">
        <is>
          <t>Identity Provider; SaaS; Windows</t>
        </is>
      </c>
      <c r="N171" s="276" t="inlineStr">
        <is>
          <t>https://attack.mitre.org/techniques/T1098/</t>
        </is>
      </c>
      <c r="O171" s="276" t="n"/>
      <c r="P171" s="277" t="n"/>
    </row>
    <row r="172">
      <c r="A172" s="275" t="inlineStr">
        <is>
          <t>Nation-state</t>
        </is>
      </c>
      <c r="B172" s="276" t="inlineStr">
        <is>
          <t>Cyber-enabled theft or fraud</t>
        </is>
      </c>
      <c r="C172" s="276" t="inlineStr">
        <is>
          <t>Identity and credential compromise</t>
        </is>
      </c>
      <c r="D172" s="276" t="inlineStr">
        <is>
          <t>T1567</t>
        </is>
      </c>
      <c r="E172" s="276" t="inlineStr">
        <is>
          <t>Exfiltration Over Web Service</t>
        </is>
      </c>
      <c r="F172" s="276" t="inlineStr">
        <is>
          <t>S5</t>
        </is>
      </c>
      <c r="G172" s="276" t="b">
        <v>1</v>
      </c>
      <c r="H172" s="276" t="b">
        <v>0</v>
      </c>
      <c r="I172" s="276" t="b">
        <v>0</v>
      </c>
      <c r="J172" s="276" t="n">
        <v>0.7</v>
      </c>
      <c r="K172" s="276" t="n">
        <v>0.20625</v>
      </c>
      <c r="L172" s="276" t="n">
        <v>0.20625</v>
      </c>
      <c r="M172" s="276" t="inlineStr">
        <is>
          <t>SaaS; Office Suite</t>
        </is>
      </c>
      <c r="N172" s="276" t="inlineStr">
        <is>
          <t>https://attack.mitre.org/techniques/T1567/</t>
        </is>
      </c>
      <c r="O172" s="276" t="n"/>
      <c r="P172" s="277" t="n"/>
    </row>
    <row r="173">
      <c r="A173" s="275" t="inlineStr">
        <is>
          <t>Nation-state</t>
        </is>
      </c>
      <c r="B173" s="276" t="inlineStr">
        <is>
          <t>Cyber-enabled theft or fraud</t>
        </is>
      </c>
      <c r="C173" s="276" t="inlineStr">
        <is>
          <t>Identity and credential compromise</t>
        </is>
      </c>
      <c r="D173" s="276" t="inlineStr">
        <is>
          <t>T1657</t>
        </is>
      </c>
      <c r="E173" s="276" t="inlineStr">
        <is>
          <t>Financial Theft</t>
        </is>
      </c>
      <c r="F173" s="276" t="inlineStr">
        <is>
          <t>S5</t>
        </is>
      </c>
      <c r="G173" s="276" t="b">
        <v>1</v>
      </c>
      <c r="H173" s="276" t="b">
        <v>1</v>
      </c>
      <c r="I173" s="276" t="b">
        <v>1</v>
      </c>
      <c r="J173" s="276" t="n">
        <v>0.8</v>
      </c>
      <c r="K173" s="276" t="n">
        <v>0.275654296875</v>
      </c>
      <c r="L173" s="276" t="n">
        <v>0.275654296875</v>
      </c>
      <c r="M173" s="276" t="inlineStr">
        <is>
          <t>SaaS; Office Suite; Identity Provider</t>
        </is>
      </c>
      <c r="N173" s="276" t="inlineStr">
        <is>
          <t>https://attack.mitre.org/techniques/T1657/</t>
        </is>
      </c>
      <c r="O173" s="276" t="n"/>
      <c r="P173" s="277" t="n"/>
    </row>
    <row r="174">
      <c r="A174" s="275" t="inlineStr">
        <is>
          <t>Nation-state</t>
        </is>
      </c>
      <c r="B174" s="276" t="inlineStr">
        <is>
          <t>Cyber-enabled theft or fraud</t>
        </is>
      </c>
      <c r="C174" s="276" t="inlineStr">
        <is>
          <t>Identity and credential compromise</t>
        </is>
      </c>
      <c r="D174" s="276" t="inlineStr">
        <is>
          <t>T1565</t>
        </is>
      </c>
      <c r="E174" s="276" t="inlineStr">
        <is>
          <t>Data Manipulation</t>
        </is>
      </c>
      <c r="F174" s="276" t="inlineStr">
        <is>
          <t>S5</t>
        </is>
      </c>
      <c r="G174" s="276" t="b">
        <v>1</v>
      </c>
      <c r="H174" s="276" t="b">
        <v>1</v>
      </c>
      <c r="I174" s="276" t="b">
        <v>1</v>
      </c>
      <c r="J174" s="276" t="n">
        <v>0.5</v>
      </c>
      <c r="K174" s="276" t="n">
        <v>0.2206064987182617</v>
      </c>
      <c r="L174" s="276" t="n">
        <v>0.2206064987182617</v>
      </c>
      <c r="M174" s="276" t="inlineStr">
        <is>
          <t>SaaS; Databases; Windows</t>
        </is>
      </c>
      <c r="N174" s="276" t="inlineStr">
        <is>
          <t>https://attack.mitre.org/techniques/T1565/</t>
        </is>
      </c>
      <c r="O174" s="276" t="n"/>
      <c r="P174" s="277" t="n"/>
    </row>
    <row r="175">
      <c r="A175" s="275" t="inlineStr">
        <is>
          <t>Nation-state</t>
        </is>
      </c>
      <c r="B175" s="276" t="inlineStr">
        <is>
          <t>Cyber-enabled theft or fraud</t>
        </is>
      </c>
      <c r="C175" s="276" t="inlineStr">
        <is>
          <t>Identity and credential compromise</t>
        </is>
      </c>
      <c r="D175" s="276" t="inlineStr">
        <is>
          <t>T1486</t>
        </is>
      </c>
      <c r="E175" s="276" t="inlineStr">
        <is>
          <t>Data Encrypted for Impact</t>
        </is>
      </c>
      <c r="F175" s="276" t="inlineStr">
        <is>
          <t>S5</t>
        </is>
      </c>
      <c r="G175" s="276" t="b">
        <v>1</v>
      </c>
      <c r="H175" s="276" t="b">
        <v>0</v>
      </c>
      <c r="I175" s="276" t="b">
        <v>0</v>
      </c>
      <c r="J175" s="276" t="n">
        <v>0.7</v>
      </c>
      <c r="K175" s="276" t="n">
        <v>0.16875</v>
      </c>
      <c r="L175" s="276" t="n">
        <v>0.16875</v>
      </c>
      <c r="M175" s="276" t="inlineStr">
        <is>
          <t>Windows; Linux; IaaS</t>
        </is>
      </c>
      <c r="N175" s="276" t="inlineStr">
        <is>
          <t>https://attack.mitre.org/techniques/T1486/</t>
        </is>
      </c>
      <c r="O175" s="276" t="n"/>
      <c r="P175" s="277" t="n"/>
    </row>
    <row r="176">
      <c r="A176" s="275" t="inlineStr">
        <is>
          <t>Nation-state</t>
        </is>
      </c>
      <c r="B176" s="276" t="inlineStr">
        <is>
          <t>Cyber-enabled theft or fraud</t>
        </is>
      </c>
      <c r="C176" s="276" t="inlineStr">
        <is>
          <t>Identity and credential compromise</t>
        </is>
      </c>
      <c r="D176" s="276" t="inlineStr">
        <is>
          <t>T1490</t>
        </is>
      </c>
      <c r="E176" s="276" t="inlineStr">
        <is>
          <t>Inhibit System Recovery</t>
        </is>
      </c>
      <c r="F176" s="276" t="inlineStr">
        <is>
          <t>S5</t>
        </is>
      </c>
      <c r="G176" s="276" t="b">
        <v>1</v>
      </c>
      <c r="H176" s="276" t="b">
        <v>0</v>
      </c>
      <c r="I176" s="276" t="b">
        <v>0</v>
      </c>
      <c r="J176" s="276" t="n">
        <v>0.6</v>
      </c>
      <c r="K176" s="276" t="n">
        <v>0</v>
      </c>
      <c r="L176" s="276" t="n">
        <v>0</v>
      </c>
      <c r="M176" s="276" t="inlineStr">
        <is>
          <t>Windows; Linux; IaaS</t>
        </is>
      </c>
      <c r="N176" s="276" t="inlineStr">
        <is>
          <t>https://attack.mitre.org/techniques/T1490/</t>
        </is>
      </c>
      <c r="O176" s="276" t="n"/>
      <c r="P176" s="277" t="n"/>
    </row>
    <row r="177">
      <c r="A177" s="275" t="inlineStr">
        <is>
          <t>Nation-state</t>
        </is>
      </c>
      <c r="B177" s="276" t="inlineStr">
        <is>
          <t>Cyber-enabled theft or fraud</t>
        </is>
      </c>
      <c r="C177" s="276" t="inlineStr">
        <is>
          <t>User endpoint and social engineering</t>
        </is>
      </c>
      <c r="D177" s="276" t="inlineStr">
        <is>
          <t>T1566</t>
        </is>
      </c>
      <c r="E177" s="276" t="inlineStr">
        <is>
          <t>Phishing</t>
        </is>
      </c>
      <c r="F177" s="276" t="inlineStr">
        <is>
          <t>S1</t>
        </is>
      </c>
      <c r="G177" s="276" t="b">
        <v>1</v>
      </c>
      <c r="H177" s="276" t="b">
        <v>1</v>
      </c>
      <c r="I177" s="276" t="b">
        <v>1</v>
      </c>
      <c r="J177" s="276" t="n">
        <v>1</v>
      </c>
      <c r="K177" s="276" t="n">
        <v>0.20625</v>
      </c>
      <c r="L177" s="276" t="n">
        <v>0.20625</v>
      </c>
      <c r="M177" s="276" t="inlineStr">
        <is>
          <t>Windows; SaaS; Office Suite</t>
        </is>
      </c>
      <c r="N177" s="276" t="inlineStr">
        <is>
          <t>https://attack.mitre.org/techniques/T1566/</t>
        </is>
      </c>
      <c r="O177" s="276" t="n"/>
      <c r="P177" s="277" t="n"/>
    </row>
    <row r="178">
      <c r="A178" s="275" t="inlineStr">
        <is>
          <t>Nation-state</t>
        </is>
      </c>
      <c r="B178" s="276" t="inlineStr">
        <is>
          <t>Cyber-enabled theft or fraud</t>
        </is>
      </c>
      <c r="C178" s="276" t="inlineStr">
        <is>
          <t>User endpoint and social engineering</t>
        </is>
      </c>
      <c r="D178" s="276" t="inlineStr">
        <is>
          <t>T1203</t>
        </is>
      </c>
      <c r="E178" s="276" t="inlineStr">
        <is>
          <t>Exploitation for Client Execution</t>
        </is>
      </c>
      <c r="F178" s="276" t="inlineStr">
        <is>
          <t>S2</t>
        </is>
      </c>
      <c r="G178" s="276" t="b">
        <v>1</v>
      </c>
      <c r="H178" s="276" t="b">
        <v>1</v>
      </c>
      <c r="I178" s="276" t="b">
        <v>1</v>
      </c>
      <c r="J178" s="276" t="n">
        <v>0.8</v>
      </c>
      <c r="K178" s="276" t="n">
        <v>0.2404920959472656</v>
      </c>
      <c r="L178" s="276" t="n">
        <v>0.2404920959472656</v>
      </c>
      <c r="M178" s="276" t="inlineStr">
        <is>
          <t>Windows; macOS; Linux</t>
        </is>
      </c>
      <c r="N178" s="276" t="inlineStr">
        <is>
          <t>https://attack.mitre.org/techniques/T1203/</t>
        </is>
      </c>
      <c r="O178" s="276" t="n"/>
      <c r="P178" s="277" t="n"/>
    </row>
    <row r="179">
      <c r="A179" s="275" t="inlineStr">
        <is>
          <t>Nation-state</t>
        </is>
      </c>
      <c r="B179" s="276" t="inlineStr">
        <is>
          <t>Cyber-enabled theft or fraud</t>
        </is>
      </c>
      <c r="C179" s="276" t="inlineStr">
        <is>
          <t>User endpoint and social engineering</t>
        </is>
      </c>
      <c r="D179" s="276" t="inlineStr">
        <is>
          <t>T1059</t>
        </is>
      </c>
      <c r="E179" s="276" t="inlineStr">
        <is>
          <t>Command and Scripting Interpreter</t>
        </is>
      </c>
      <c r="F179" s="276" t="inlineStr">
        <is>
          <t>S2</t>
        </is>
      </c>
      <c r="G179" s="276" t="b">
        <v>1</v>
      </c>
      <c r="H179" s="276" t="b">
        <v>1</v>
      </c>
      <c r="I179" s="276" t="b">
        <v>1</v>
      </c>
      <c r="J179" s="276" t="n">
        <v>0.9</v>
      </c>
      <c r="K179" s="276" t="n">
        <v>0.1875</v>
      </c>
      <c r="L179" s="276" t="n">
        <v>0.1875</v>
      </c>
      <c r="M179" s="276" t="inlineStr">
        <is>
          <t>Windows; macOS; Linux; IaaS</t>
        </is>
      </c>
      <c r="N179" s="276" t="inlineStr">
        <is>
          <t>https://attack.mitre.org/techniques/T1059/</t>
        </is>
      </c>
      <c r="O179" s="276" t="n"/>
      <c r="P179" s="277" t="n"/>
    </row>
    <row r="180">
      <c r="A180" s="275" t="inlineStr">
        <is>
          <t>Nation-state</t>
        </is>
      </c>
      <c r="B180" s="276" t="inlineStr">
        <is>
          <t>Cyber-enabled theft or fraud</t>
        </is>
      </c>
      <c r="C180" s="276" t="inlineStr">
        <is>
          <t>User endpoint and social engineering</t>
        </is>
      </c>
      <c r="D180" s="276" t="inlineStr">
        <is>
          <t>T1486</t>
        </is>
      </c>
      <c r="E180" s="276" t="inlineStr">
        <is>
          <t>Data Encrypted for Impact</t>
        </is>
      </c>
      <c r="F180" s="276" t="inlineStr">
        <is>
          <t>S5</t>
        </is>
      </c>
      <c r="G180" s="276" t="b">
        <v>1</v>
      </c>
      <c r="H180" s="276" t="b">
        <v>0</v>
      </c>
      <c r="I180" s="276" t="b">
        <v>0</v>
      </c>
      <c r="J180" s="276" t="n">
        <v>0.8</v>
      </c>
      <c r="K180" s="276" t="n">
        <v>0.16875</v>
      </c>
      <c r="L180" s="276" t="n">
        <v>0.16875</v>
      </c>
      <c r="M180" s="276" t="inlineStr">
        <is>
          <t>Windows; Linux; IaaS</t>
        </is>
      </c>
      <c r="N180" s="276" t="inlineStr">
        <is>
          <t>https://attack.mitre.org/techniques/T1486/</t>
        </is>
      </c>
      <c r="O180" s="276" t="n"/>
      <c r="P180" s="277" t="n"/>
    </row>
    <row r="181">
      <c r="A181" s="275" t="inlineStr">
        <is>
          <t>Nation-state</t>
        </is>
      </c>
      <c r="B181" s="276" t="inlineStr">
        <is>
          <t>Cyber-enabled theft or fraud</t>
        </is>
      </c>
      <c r="C181" s="276" t="inlineStr">
        <is>
          <t>User endpoint and social engineering</t>
        </is>
      </c>
      <c r="D181" s="276" t="inlineStr">
        <is>
          <t>T1490</t>
        </is>
      </c>
      <c r="E181" s="276" t="inlineStr">
        <is>
          <t>Inhibit System Recovery</t>
        </is>
      </c>
      <c r="F181" s="276" t="inlineStr">
        <is>
          <t>S5</t>
        </is>
      </c>
      <c r="G181" s="276" t="b">
        <v>1</v>
      </c>
      <c r="H181" s="276" t="b">
        <v>0</v>
      </c>
      <c r="I181" s="276" t="b">
        <v>0</v>
      </c>
      <c r="J181" s="276" t="n">
        <v>0.7</v>
      </c>
      <c r="K181" s="276" t="n">
        <v>0</v>
      </c>
      <c r="L181" s="276" t="n">
        <v>0</v>
      </c>
      <c r="M181" s="276" t="inlineStr">
        <is>
          <t>Windows; Linux; IaaS</t>
        </is>
      </c>
      <c r="N181" s="276" t="inlineStr">
        <is>
          <t>https://attack.mitre.org/techniques/T1490/</t>
        </is>
      </c>
      <c r="O181" s="276" t="n"/>
      <c r="P181" s="277" t="n"/>
    </row>
    <row r="182">
      <c r="A182" s="275" t="inlineStr">
        <is>
          <t>Nation-state</t>
        </is>
      </c>
      <c r="B182" s="276" t="inlineStr">
        <is>
          <t>Cyber-enabled theft or fraud</t>
        </is>
      </c>
      <c r="C182" s="276" t="inlineStr">
        <is>
          <t>User endpoint and social engineering</t>
        </is>
      </c>
      <c r="D182" s="276" t="inlineStr">
        <is>
          <t>T1567</t>
        </is>
      </c>
      <c r="E182" s="276" t="inlineStr">
        <is>
          <t>Exfiltration Over Web Service</t>
        </is>
      </c>
      <c r="F182" s="276" t="inlineStr">
        <is>
          <t>S5</t>
        </is>
      </c>
      <c r="G182" s="276" t="b">
        <v>1</v>
      </c>
      <c r="H182" s="276" t="b">
        <v>0</v>
      </c>
      <c r="I182" s="276" t="b">
        <v>0</v>
      </c>
      <c r="J182" s="276" t="n">
        <v>0.7</v>
      </c>
      <c r="K182" s="276" t="n">
        <v>0.20625</v>
      </c>
      <c r="L182" s="276" t="n">
        <v>0.20625</v>
      </c>
      <c r="M182" s="276" t="inlineStr">
        <is>
          <t>SaaS; Office Suite</t>
        </is>
      </c>
      <c r="N182" s="276" t="inlineStr">
        <is>
          <t>https://attack.mitre.org/techniques/T1567/</t>
        </is>
      </c>
      <c r="O182" s="276" t="n"/>
      <c r="P182" s="277" t="n"/>
    </row>
    <row r="183">
      <c r="A183" s="275" t="inlineStr">
        <is>
          <t>Nation-state</t>
        </is>
      </c>
      <c r="B183" s="276" t="inlineStr">
        <is>
          <t>Cyber-enabled theft or fraud</t>
        </is>
      </c>
      <c r="C183" s="276" t="inlineStr">
        <is>
          <t>User endpoint and social engineering</t>
        </is>
      </c>
      <c r="D183" s="276" t="inlineStr">
        <is>
          <t>T1657</t>
        </is>
      </c>
      <c r="E183" s="276" t="inlineStr">
        <is>
          <t>Financial Theft</t>
        </is>
      </c>
      <c r="F183" s="276" t="inlineStr">
        <is>
          <t>S5</t>
        </is>
      </c>
      <c r="G183" s="276" t="b">
        <v>1</v>
      </c>
      <c r="H183" s="276" t="b">
        <v>1</v>
      </c>
      <c r="I183" s="276" t="b">
        <v>1</v>
      </c>
      <c r="J183" s="276" t="n">
        <v>0.5</v>
      </c>
      <c r="K183" s="276" t="n">
        <v>0.275654296875</v>
      </c>
      <c r="L183" s="276" t="n">
        <v>0.275654296875</v>
      </c>
      <c r="M183" s="276" t="inlineStr">
        <is>
          <t>SaaS; Office Suite; Identity Provider</t>
        </is>
      </c>
      <c r="N183" s="276" t="inlineStr">
        <is>
          <t>https://attack.mitre.org/techniques/T1657/</t>
        </is>
      </c>
      <c r="O183" s="276" t="n"/>
      <c r="P183" s="277" t="n"/>
    </row>
    <row r="184">
      <c r="A184" s="275" t="inlineStr">
        <is>
          <t>Nation-state</t>
        </is>
      </c>
      <c r="B184" s="276" t="inlineStr">
        <is>
          <t>Cyber-enabled theft or fraud</t>
        </is>
      </c>
      <c r="C184" s="276" t="inlineStr">
        <is>
          <t>User endpoint and social engineering</t>
        </is>
      </c>
      <c r="D184" s="276" t="inlineStr">
        <is>
          <t>T1565</t>
        </is>
      </c>
      <c r="E184" s="276" t="inlineStr">
        <is>
          <t>Data Manipulation</t>
        </is>
      </c>
      <c r="F184" s="276" t="inlineStr">
        <is>
          <t>S5</t>
        </is>
      </c>
      <c r="G184" s="276" t="b">
        <v>1</v>
      </c>
      <c r="H184" s="276" t="b">
        <v>1</v>
      </c>
      <c r="I184" s="276" t="b">
        <v>1</v>
      </c>
      <c r="J184" s="276" t="n">
        <v>0.5</v>
      </c>
      <c r="K184" s="276" t="n">
        <v>0.2206064987182617</v>
      </c>
      <c r="L184" s="276" t="n">
        <v>0.2206064987182617</v>
      </c>
      <c r="M184" s="276" t="inlineStr">
        <is>
          <t>SaaS; Databases; Windows</t>
        </is>
      </c>
      <c r="N184" s="276" t="inlineStr">
        <is>
          <t>https://attack.mitre.org/techniques/T1565/</t>
        </is>
      </c>
      <c r="O184" s="276" t="n"/>
      <c r="P184" s="277" t="n"/>
    </row>
    <row r="185">
      <c r="A185" s="275" t="inlineStr">
        <is>
          <t>Nation-state</t>
        </is>
      </c>
      <c r="B185" s="276" t="inlineStr">
        <is>
          <t>Cyber-enabled theft or fraud</t>
        </is>
      </c>
      <c r="C185" s="276" t="inlineStr">
        <is>
          <t>Public-facing application exploitation</t>
        </is>
      </c>
      <c r="D185" s="276" t="inlineStr">
        <is>
          <t>T1190</t>
        </is>
      </c>
      <c r="E185" s="276" t="inlineStr">
        <is>
          <t>Exploit Public-Facing Application</t>
        </is>
      </c>
      <c r="F185" s="276" t="inlineStr">
        <is>
          <t>S1</t>
        </is>
      </c>
      <c r="G185" s="276" t="b">
        <v>1</v>
      </c>
      <c r="H185" s="276" t="b">
        <v>1</v>
      </c>
      <c r="I185" s="276" t="b">
        <v>1</v>
      </c>
      <c r="J185" s="276" t="n">
        <v>1</v>
      </c>
      <c r="K185" s="276" t="n">
        <v>0.2496630477905274</v>
      </c>
      <c r="L185" s="276" t="n">
        <v>0.2496630477905274</v>
      </c>
      <c r="M185" s="276" t="inlineStr">
        <is>
          <t>Network Devices; SaaS; IaaS</t>
        </is>
      </c>
      <c r="N185" s="276" t="inlineStr">
        <is>
          <t>https://attack.mitre.org/techniques/T1190/</t>
        </is>
      </c>
      <c r="O185" s="276" t="n"/>
      <c r="P185" s="277" t="n"/>
    </row>
    <row r="186">
      <c r="A186" s="275" t="inlineStr">
        <is>
          <t>Nation-state</t>
        </is>
      </c>
      <c r="B186" s="276" t="inlineStr">
        <is>
          <t>Cyber-enabled theft or fraud</t>
        </is>
      </c>
      <c r="C186" s="276" t="inlineStr">
        <is>
          <t>Public-facing application exploitation</t>
        </is>
      </c>
      <c r="D186" s="276" t="inlineStr">
        <is>
          <t>T1059</t>
        </is>
      </c>
      <c r="E186" s="276" t="inlineStr">
        <is>
          <t>Command and Scripting Interpreter</t>
        </is>
      </c>
      <c r="F186" s="276" t="inlineStr">
        <is>
          <t>S2</t>
        </is>
      </c>
      <c r="G186" s="276" t="b">
        <v>1</v>
      </c>
      <c r="H186" s="276" t="b">
        <v>1</v>
      </c>
      <c r="I186" s="276" t="b">
        <v>1</v>
      </c>
      <c r="J186" s="276" t="n">
        <v>0.8</v>
      </c>
      <c r="K186" s="276" t="n">
        <v>0.1875</v>
      </c>
      <c r="L186" s="276" t="n">
        <v>0.1875</v>
      </c>
      <c r="M186" s="276" t="inlineStr">
        <is>
          <t>Windows; macOS; Linux; IaaS</t>
        </is>
      </c>
      <c r="N186" s="276" t="inlineStr">
        <is>
          <t>https://attack.mitre.org/techniques/T1059/</t>
        </is>
      </c>
      <c r="O186" s="276" t="n"/>
      <c r="P186" s="277" t="n"/>
    </row>
    <row r="187">
      <c r="A187" s="275" t="inlineStr">
        <is>
          <t>Nation-state</t>
        </is>
      </c>
      <c r="B187" s="276" t="inlineStr">
        <is>
          <t>Cyber-enabled theft or fraud</t>
        </is>
      </c>
      <c r="C187" s="276" t="inlineStr">
        <is>
          <t>Public-facing application exploitation</t>
        </is>
      </c>
      <c r="D187" s="276" t="inlineStr">
        <is>
          <t>T1068</t>
        </is>
      </c>
      <c r="E187" s="276" t="inlineStr">
        <is>
          <t>Exploitation for Privilege Escalation</t>
        </is>
      </c>
      <c r="F187" s="276" t="inlineStr">
        <is>
          <t>S3</t>
        </is>
      </c>
      <c r="G187" s="276" t="b">
        <v>1</v>
      </c>
      <c r="H187" s="276" t="b">
        <v>1</v>
      </c>
      <c r="I187" s="276" t="b">
        <v>1</v>
      </c>
      <c r="J187" s="276" t="n">
        <v>0.7</v>
      </c>
      <c r="K187" s="276" t="n">
        <v>0.2094165115356445</v>
      </c>
      <c r="L187" s="276" t="n">
        <v>0.2094165115356445</v>
      </c>
      <c r="M187" s="276" t="inlineStr">
        <is>
          <t>Windows; macOS; Linux</t>
        </is>
      </c>
      <c r="N187" s="276" t="inlineStr">
        <is>
          <t>https://attack.mitre.org/techniques/T1068/</t>
        </is>
      </c>
      <c r="O187" s="276" t="n"/>
      <c r="P187" s="277" t="n"/>
    </row>
    <row r="188">
      <c r="A188" s="275" t="inlineStr">
        <is>
          <t>Nation-state</t>
        </is>
      </c>
      <c r="B188" s="276" t="inlineStr">
        <is>
          <t>Cyber-enabled theft or fraud</t>
        </is>
      </c>
      <c r="C188" s="276" t="inlineStr">
        <is>
          <t>Public-facing application exploitation</t>
        </is>
      </c>
      <c r="D188" s="276" t="inlineStr">
        <is>
          <t>T1003</t>
        </is>
      </c>
      <c r="E188" s="276" t="inlineStr">
        <is>
          <t>OS Credential Dumping</t>
        </is>
      </c>
      <c r="F188" s="276" t="inlineStr">
        <is>
          <t>S3</t>
        </is>
      </c>
      <c r="G188" s="276" t="b">
        <v>1</v>
      </c>
      <c r="H188" s="276" t="b">
        <v>1</v>
      </c>
      <c r="I188" s="276" t="b">
        <v>1</v>
      </c>
      <c r="J188" s="276" t="n">
        <v>0.6</v>
      </c>
      <c r="K188" s="276" t="n">
        <v>0.232294921875</v>
      </c>
      <c r="L188" s="276" t="n">
        <v>0.232294921875</v>
      </c>
      <c r="M188" s="276" t="inlineStr">
        <is>
          <t>Windows; Linux; macOS</t>
        </is>
      </c>
      <c r="N188" s="276" t="inlineStr">
        <is>
          <t>https://attack.mitre.org/techniques/T1003/</t>
        </is>
      </c>
      <c r="O188" s="276" t="n"/>
      <c r="P188" s="277" t="n"/>
    </row>
    <row r="189">
      <c r="A189" s="275" t="inlineStr">
        <is>
          <t>Nation-state</t>
        </is>
      </c>
      <c r="B189" s="276" t="inlineStr">
        <is>
          <t>Cyber-enabled theft or fraud</t>
        </is>
      </c>
      <c r="C189" s="276" t="inlineStr">
        <is>
          <t>Public-facing application exploitation</t>
        </is>
      </c>
      <c r="D189" s="276" t="inlineStr">
        <is>
          <t>T1046</t>
        </is>
      </c>
      <c r="E189" s="276" t="inlineStr">
        <is>
          <t>Network Service Discovery</t>
        </is>
      </c>
      <c r="F189" s="276" t="inlineStr">
        <is>
          <t>S4</t>
        </is>
      </c>
      <c r="G189" s="276" t="b">
        <v>1</v>
      </c>
      <c r="H189" s="276" t="b">
        <v>1</v>
      </c>
      <c r="I189" s="276" t="b">
        <v>1</v>
      </c>
      <c r="J189" s="276" t="n">
        <v>0.7</v>
      </c>
      <c r="K189" s="276" t="n">
        <v>0.16875</v>
      </c>
      <c r="L189" s="276" t="n">
        <v>0.16875</v>
      </c>
      <c r="M189" s="276" t="inlineStr">
        <is>
          <t>Network Devices; Windows; Linux</t>
        </is>
      </c>
      <c r="N189" s="276" t="inlineStr">
        <is>
          <t>https://attack.mitre.org/techniques/T1046/</t>
        </is>
      </c>
      <c r="O189" s="276" t="n"/>
      <c r="P189" s="277" t="n"/>
    </row>
    <row r="190">
      <c r="A190" s="275" t="inlineStr">
        <is>
          <t>Nation-state</t>
        </is>
      </c>
      <c r="B190" s="276" t="inlineStr">
        <is>
          <t>Cyber-enabled theft or fraud</t>
        </is>
      </c>
      <c r="C190" s="276" t="inlineStr">
        <is>
          <t>Public-facing application exploitation</t>
        </is>
      </c>
      <c r="D190" s="276" t="inlineStr">
        <is>
          <t>T1210</t>
        </is>
      </c>
      <c r="E190" s="276" t="inlineStr">
        <is>
          <t>Exploitation of Remote Services</t>
        </is>
      </c>
      <c r="F190" s="276" t="inlineStr">
        <is>
          <t>S4</t>
        </is>
      </c>
      <c r="G190" s="276" t="b">
        <v>1</v>
      </c>
      <c r="H190" s="276" t="b">
        <v>1</v>
      </c>
      <c r="I190" s="276" t="b">
        <v>1</v>
      </c>
      <c r="J190" s="276" t="n">
        <v>0.9</v>
      </c>
      <c r="K190" s="276" t="n">
        <v>0.2103495368957519</v>
      </c>
      <c r="L190" s="276" t="n">
        <v>0.2103495368957519</v>
      </c>
      <c r="M190" s="276" t="inlineStr">
        <is>
          <t>Windows; Linux; Network Devices</t>
        </is>
      </c>
      <c r="N190" s="276" t="inlineStr">
        <is>
          <t>https://attack.mitre.org/techniques/T1210/</t>
        </is>
      </c>
      <c r="O190" s="276" t="n"/>
      <c r="P190" s="277" t="n"/>
    </row>
    <row r="191">
      <c r="A191" s="275" t="inlineStr">
        <is>
          <t>Nation-state</t>
        </is>
      </c>
      <c r="B191" s="276" t="inlineStr">
        <is>
          <t>Cyber-enabled theft or fraud</t>
        </is>
      </c>
      <c r="C191" s="276" t="inlineStr">
        <is>
          <t>Public-facing application exploitation</t>
        </is>
      </c>
      <c r="D191" s="276" t="inlineStr">
        <is>
          <t>T1021</t>
        </is>
      </c>
      <c r="E191" s="276" t="inlineStr">
        <is>
          <t>Remote Services</t>
        </is>
      </c>
      <c r="F191" s="276" t="inlineStr">
        <is>
          <t>S4</t>
        </is>
      </c>
      <c r="G191" s="276" t="b">
        <v>1</v>
      </c>
      <c r="H191" s="276" t="b">
        <v>1</v>
      </c>
      <c r="I191" s="276" t="b">
        <v>1</v>
      </c>
      <c r="J191" s="276" t="n">
        <v>0.7</v>
      </c>
      <c r="K191" s="276" t="n">
        <v>0.1875</v>
      </c>
      <c r="L191" s="276" t="n">
        <v>0.1875</v>
      </c>
      <c r="M191" s="276" t="inlineStr">
        <is>
          <t>Windows; Linux; Network Devices</t>
        </is>
      </c>
      <c r="N191" s="276" t="inlineStr">
        <is>
          <t>https://attack.mitre.org/techniques/T1021/</t>
        </is>
      </c>
      <c r="O191" s="276" t="n"/>
      <c r="P191" s="277" t="n"/>
    </row>
    <row r="192">
      <c r="A192" s="275" t="inlineStr">
        <is>
          <t>Nation-state</t>
        </is>
      </c>
      <c r="B192" s="276" t="inlineStr">
        <is>
          <t>Cyber-enabled theft or fraud</t>
        </is>
      </c>
      <c r="C192" s="276" t="inlineStr">
        <is>
          <t>Public-facing application exploitation</t>
        </is>
      </c>
      <c r="D192" s="276" t="inlineStr">
        <is>
          <t>T1486</t>
        </is>
      </c>
      <c r="E192" s="276" t="inlineStr">
        <is>
          <t>Data Encrypted for Impact</t>
        </is>
      </c>
      <c r="F192" s="276" t="inlineStr">
        <is>
          <t>S5</t>
        </is>
      </c>
      <c r="G192" s="276" t="b">
        <v>1</v>
      </c>
      <c r="H192" s="276" t="b">
        <v>0</v>
      </c>
      <c r="I192" s="276" t="b">
        <v>0</v>
      </c>
      <c r="J192" s="276" t="n">
        <v>0.6</v>
      </c>
      <c r="K192" s="276" t="n">
        <v>0.16875</v>
      </c>
      <c r="L192" s="276" t="n">
        <v>0.16875</v>
      </c>
      <c r="M192" s="276" t="inlineStr">
        <is>
          <t>Windows; Linux; IaaS</t>
        </is>
      </c>
      <c r="N192" s="276" t="inlineStr">
        <is>
          <t>https://attack.mitre.org/techniques/T1486/</t>
        </is>
      </c>
      <c r="O192" s="276" t="n"/>
      <c r="P192" s="277" t="n"/>
    </row>
    <row r="193">
      <c r="A193" s="275" t="inlineStr">
        <is>
          <t>Nation-state</t>
        </is>
      </c>
      <c r="B193" s="276" t="inlineStr">
        <is>
          <t>Cyber-enabled theft or fraud</t>
        </is>
      </c>
      <c r="C193" s="276" t="inlineStr">
        <is>
          <t>Public-facing application exploitation</t>
        </is>
      </c>
      <c r="D193" s="276" t="inlineStr">
        <is>
          <t>T1490</t>
        </is>
      </c>
      <c r="E193" s="276" t="inlineStr">
        <is>
          <t>Inhibit System Recovery</t>
        </is>
      </c>
      <c r="F193" s="276" t="inlineStr">
        <is>
          <t>S5</t>
        </is>
      </c>
      <c r="G193" s="276" t="b">
        <v>1</v>
      </c>
      <c r="H193" s="276" t="b">
        <v>0</v>
      </c>
      <c r="I193" s="276" t="b">
        <v>0</v>
      </c>
      <c r="J193" s="276" t="n">
        <v>0.5</v>
      </c>
      <c r="K193" s="276" t="n">
        <v>0</v>
      </c>
      <c r="L193" s="276" t="n">
        <v>0</v>
      </c>
      <c r="M193" s="276" t="inlineStr">
        <is>
          <t>Windows; Linux; IaaS</t>
        </is>
      </c>
      <c r="N193" s="276" t="inlineStr">
        <is>
          <t>https://attack.mitre.org/techniques/T1490/</t>
        </is>
      </c>
      <c r="O193" s="276" t="n"/>
      <c r="P193" s="277" t="n"/>
    </row>
    <row r="194">
      <c r="A194" s="275" t="inlineStr">
        <is>
          <t>Nation-state</t>
        </is>
      </c>
      <c r="B194" s="276" t="inlineStr">
        <is>
          <t>Cyber-enabled theft or fraud</t>
        </is>
      </c>
      <c r="C194" s="276" t="inlineStr">
        <is>
          <t>Public-facing application exploitation</t>
        </is>
      </c>
      <c r="D194" s="276" t="inlineStr">
        <is>
          <t>T1567</t>
        </is>
      </c>
      <c r="E194" s="276" t="inlineStr">
        <is>
          <t>Exfiltration Over Web Service</t>
        </is>
      </c>
      <c r="F194" s="276" t="inlineStr">
        <is>
          <t>S5</t>
        </is>
      </c>
      <c r="G194" s="276" t="b">
        <v>1</v>
      </c>
      <c r="H194" s="276" t="b">
        <v>0</v>
      </c>
      <c r="I194" s="276" t="b">
        <v>0</v>
      </c>
      <c r="J194" s="276" t="n">
        <v>0.6</v>
      </c>
      <c r="K194" s="276" t="n">
        <v>0.20625</v>
      </c>
      <c r="L194" s="276" t="n">
        <v>0.20625</v>
      </c>
      <c r="M194" s="276" t="inlineStr">
        <is>
          <t>SaaS; Office Suite</t>
        </is>
      </c>
      <c r="N194" s="276" t="inlineStr">
        <is>
          <t>https://attack.mitre.org/techniques/T1567/</t>
        </is>
      </c>
      <c r="O194" s="276" t="n"/>
      <c r="P194" s="277" t="n"/>
    </row>
    <row r="195">
      <c r="A195" s="275" t="inlineStr">
        <is>
          <t>Nation-state</t>
        </is>
      </c>
      <c r="B195" s="276" t="inlineStr">
        <is>
          <t>Cyber-enabled theft or fraud</t>
        </is>
      </c>
      <c r="C195" s="276" t="inlineStr">
        <is>
          <t>Public-facing application exploitation</t>
        </is>
      </c>
      <c r="D195" s="276" t="inlineStr">
        <is>
          <t>T1565</t>
        </is>
      </c>
      <c r="E195" s="276" t="inlineStr">
        <is>
          <t>Data Manipulation</t>
        </is>
      </c>
      <c r="F195" s="276" t="inlineStr">
        <is>
          <t>S5</t>
        </is>
      </c>
      <c r="G195" s="276" t="b">
        <v>1</v>
      </c>
      <c r="H195" s="276" t="b">
        <v>1</v>
      </c>
      <c r="I195" s="276" t="b">
        <v>1</v>
      </c>
      <c r="J195" s="276" t="n">
        <v>0.6</v>
      </c>
      <c r="K195" s="276" t="n">
        <v>0.2206064987182617</v>
      </c>
      <c r="L195" s="276" t="n">
        <v>0.2206064987182617</v>
      </c>
      <c r="M195" s="276" t="inlineStr">
        <is>
          <t>SaaS; Databases; Windows</t>
        </is>
      </c>
      <c r="N195" s="276" t="inlineStr">
        <is>
          <t>https://attack.mitre.org/techniques/T1565/</t>
        </is>
      </c>
      <c r="O195" s="276" t="n"/>
      <c r="P195" s="277" t="n"/>
    </row>
    <row r="196">
      <c r="A196" s="275" t="inlineStr">
        <is>
          <t>Nation-state</t>
        </is>
      </c>
      <c r="B196" s="276" t="inlineStr">
        <is>
          <t>Cyber-enabled theft or fraud</t>
        </is>
      </c>
      <c r="C196" s="276" t="inlineStr">
        <is>
          <t>Public-facing application exploitation</t>
        </is>
      </c>
      <c r="D196" s="276" t="inlineStr">
        <is>
          <t>T1657</t>
        </is>
      </c>
      <c r="E196" s="276" t="inlineStr">
        <is>
          <t>Financial Theft</t>
        </is>
      </c>
      <c r="F196" s="276" t="inlineStr">
        <is>
          <t>S5</t>
        </is>
      </c>
      <c r="G196" s="276" t="b">
        <v>1</v>
      </c>
      <c r="H196" s="276" t="b">
        <v>1</v>
      </c>
      <c r="I196" s="276" t="b">
        <v>1</v>
      </c>
      <c r="J196" s="276" t="n">
        <v>0.4</v>
      </c>
      <c r="K196" s="276" t="n">
        <v>0.275654296875</v>
      </c>
      <c r="L196" s="276" t="n">
        <v>0.275654296875</v>
      </c>
      <c r="M196" s="276" t="inlineStr">
        <is>
          <t>SaaS; Office Suite; Identity Provider</t>
        </is>
      </c>
      <c r="N196" s="276" t="inlineStr">
        <is>
          <t>https://attack.mitre.org/techniques/T1657/</t>
        </is>
      </c>
      <c r="O196" s="276" t="n"/>
      <c r="P196" s="277" t="n"/>
    </row>
    <row r="197">
      <c r="A197" s="275" t="inlineStr">
        <is>
          <t>Nation-state</t>
        </is>
      </c>
      <c r="B197" s="276" t="inlineStr">
        <is>
          <t>Cyber-enabled theft or fraud</t>
        </is>
      </c>
      <c r="C197" s="276" t="inlineStr">
        <is>
          <t>Third-party or software supply chain</t>
        </is>
      </c>
      <c r="D197" s="276" t="inlineStr">
        <is>
          <t>T1199</t>
        </is>
      </c>
      <c r="E197" s="276" t="inlineStr">
        <is>
          <t>Trusted Relationship</t>
        </is>
      </c>
      <c r="F197" s="276" t="inlineStr">
        <is>
          <t>S3</t>
        </is>
      </c>
      <c r="G197" s="276" t="b">
        <v>1</v>
      </c>
      <c r="H197" s="276" t="b">
        <v>1</v>
      </c>
      <c r="I197" s="276" t="b">
        <v>1</v>
      </c>
      <c r="J197" s="276" t="n">
        <v>1</v>
      </c>
      <c r="K197" s="276" t="n">
        <v>0.20625</v>
      </c>
      <c r="L197" s="276" t="n">
        <v>0.20625</v>
      </c>
      <c r="M197" s="276" t="inlineStr">
        <is>
          <t>SaaS; IaaS; Network Devices</t>
        </is>
      </c>
      <c r="N197" s="276" t="inlineStr">
        <is>
          <t>https://attack.mitre.org/techniques/T1199/</t>
        </is>
      </c>
      <c r="O197" s="276" t="n"/>
      <c r="P197" s="277" t="n"/>
    </row>
    <row r="198">
      <c r="A198" s="275" t="inlineStr">
        <is>
          <t>Nation-state</t>
        </is>
      </c>
      <c r="B198" s="276" t="inlineStr">
        <is>
          <t>Cyber-enabled theft or fraud</t>
        </is>
      </c>
      <c r="C198" s="276" t="inlineStr">
        <is>
          <t>Third-party or software supply chain</t>
        </is>
      </c>
      <c r="D198" s="276" t="inlineStr">
        <is>
          <t>T1098</t>
        </is>
      </c>
      <c r="E198" s="276" t="inlineStr">
        <is>
          <t>Account Manipulation</t>
        </is>
      </c>
      <c r="F198" s="276" t="inlineStr">
        <is>
          <t>S3</t>
        </is>
      </c>
      <c r="G198" s="276" t="b">
        <v>1</v>
      </c>
      <c r="H198" s="276" t="b">
        <v>1</v>
      </c>
      <c r="I198" s="276" t="b">
        <v>1</v>
      </c>
      <c r="J198" s="276" t="n">
        <v>0.6</v>
      </c>
      <c r="K198" s="276" t="n">
        <v>0.2477547340393066</v>
      </c>
      <c r="L198" s="276" t="n">
        <v>0.2477547340393066</v>
      </c>
      <c r="M198" s="276" t="inlineStr">
        <is>
          <t>Identity Provider; SaaS; Windows</t>
        </is>
      </c>
      <c r="N198" s="276" t="inlineStr">
        <is>
          <t>https://attack.mitre.org/techniques/T1098/</t>
        </is>
      </c>
      <c r="O198" s="276" t="n"/>
      <c r="P198" s="277" t="n"/>
    </row>
    <row r="199">
      <c r="A199" s="275" t="inlineStr">
        <is>
          <t>Nation-state</t>
        </is>
      </c>
      <c r="B199" s="276" t="inlineStr">
        <is>
          <t>Cyber-enabled theft or fraud</t>
        </is>
      </c>
      <c r="C199" s="276" t="inlineStr">
        <is>
          <t>Third-party or software supply chain</t>
        </is>
      </c>
      <c r="D199" s="276" t="inlineStr">
        <is>
          <t>T1087</t>
        </is>
      </c>
      <c r="E199" s="276" t="inlineStr">
        <is>
          <t>Account Discovery</t>
        </is>
      </c>
      <c r="F199" s="276" t="inlineStr">
        <is>
          <t>S4</t>
        </is>
      </c>
      <c r="G199" s="276" t="b">
        <v>1</v>
      </c>
      <c r="H199" s="276" t="b">
        <v>1</v>
      </c>
      <c r="I199" s="276" t="b">
        <v>1</v>
      </c>
      <c r="J199" s="276" t="n">
        <v>0.5</v>
      </c>
      <c r="K199" s="276" t="n">
        <v>0</v>
      </c>
      <c r="L199" s="276" t="n">
        <v>0</v>
      </c>
      <c r="M199" s="276" t="inlineStr">
        <is>
          <t>Identity Provider; SaaS; Windows</t>
        </is>
      </c>
      <c r="N199" s="276" t="inlineStr">
        <is>
          <t>https://attack.mitre.org/techniques/T1087/</t>
        </is>
      </c>
      <c r="O199" s="276" t="n"/>
      <c r="P199" s="277" t="n"/>
    </row>
    <row r="200">
      <c r="A200" s="275" t="inlineStr">
        <is>
          <t>Nation-state</t>
        </is>
      </c>
      <c r="B200" s="276" t="inlineStr">
        <is>
          <t>Cyber-enabled theft or fraud</t>
        </is>
      </c>
      <c r="C200" s="276" t="inlineStr">
        <is>
          <t>Third-party or software supply chain</t>
        </is>
      </c>
      <c r="D200" s="276" t="inlineStr">
        <is>
          <t>T1213</t>
        </is>
      </c>
      <c r="E200" s="276" t="inlineStr">
        <is>
          <t>Data from Information Repositories</t>
        </is>
      </c>
      <c r="F200" s="276" t="inlineStr">
        <is>
          <t>S4</t>
        </is>
      </c>
      <c r="G200" s="276" t="b">
        <v>1</v>
      </c>
      <c r="H200" s="276" t="b">
        <v>1</v>
      </c>
      <c r="I200" s="276" t="b">
        <v>1</v>
      </c>
      <c r="J200" s="276" t="n">
        <v>0.7</v>
      </c>
      <c r="K200" s="276" t="n">
        <v>0.177890625</v>
      </c>
      <c r="L200" s="276" t="n">
        <v>0.177890625</v>
      </c>
      <c r="M200" s="276" t="inlineStr">
        <is>
          <t>SaaS; Office Suite; Windows</t>
        </is>
      </c>
      <c r="N200" s="276" t="inlineStr">
        <is>
          <t>https://attack.mitre.org/techniques/T1213/</t>
        </is>
      </c>
      <c r="O200" s="276" t="n"/>
      <c r="P200" s="277" t="n"/>
    </row>
    <row r="201">
      <c r="A201" s="275" t="inlineStr">
        <is>
          <t>Nation-state</t>
        </is>
      </c>
      <c r="B201" s="276" t="inlineStr">
        <is>
          <t>Cyber-enabled theft or fraud</t>
        </is>
      </c>
      <c r="C201" s="276" t="inlineStr">
        <is>
          <t>Third-party or software supply chain</t>
        </is>
      </c>
      <c r="D201" s="276" t="inlineStr">
        <is>
          <t>T1567</t>
        </is>
      </c>
      <c r="E201" s="276" t="inlineStr">
        <is>
          <t>Exfiltration Over Web Service</t>
        </is>
      </c>
      <c r="F201" s="276" t="inlineStr">
        <is>
          <t>S5</t>
        </is>
      </c>
      <c r="G201" s="276" t="b">
        <v>1</v>
      </c>
      <c r="H201" s="276" t="b">
        <v>0</v>
      </c>
      <c r="I201" s="276" t="b">
        <v>0</v>
      </c>
      <c r="J201" s="276" t="n">
        <v>0.6</v>
      </c>
      <c r="K201" s="276" t="n">
        <v>0.20625</v>
      </c>
      <c r="L201" s="276" t="n">
        <v>0.20625</v>
      </c>
      <c r="M201" s="276" t="inlineStr">
        <is>
          <t>SaaS; Office Suite</t>
        </is>
      </c>
      <c r="N201" s="276" t="inlineStr">
        <is>
          <t>https://attack.mitre.org/techniques/T1567/</t>
        </is>
      </c>
      <c r="O201" s="276" t="n"/>
      <c r="P201" s="277" t="n"/>
    </row>
    <row r="202">
      <c r="A202" s="275" t="inlineStr">
        <is>
          <t>Nation-state</t>
        </is>
      </c>
      <c r="B202" s="276" t="inlineStr">
        <is>
          <t>Cyber-enabled theft or fraud</t>
        </is>
      </c>
      <c r="C202" s="276" t="inlineStr">
        <is>
          <t>Third-party or software supply chain</t>
        </is>
      </c>
      <c r="D202" s="276" t="inlineStr">
        <is>
          <t>T1486</t>
        </is>
      </c>
      <c r="E202" s="276" t="inlineStr">
        <is>
          <t>Data Encrypted for Impact</t>
        </is>
      </c>
      <c r="F202" s="276" t="inlineStr">
        <is>
          <t>S5</t>
        </is>
      </c>
      <c r="G202" s="276" t="b">
        <v>1</v>
      </c>
      <c r="H202" s="276" t="b">
        <v>0</v>
      </c>
      <c r="I202" s="276" t="b">
        <v>0</v>
      </c>
      <c r="J202" s="276" t="n">
        <v>0.5</v>
      </c>
      <c r="K202" s="276" t="n">
        <v>0.16875</v>
      </c>
      <c r="L202" s="276" t="n">
        <v>0.16875</v>
      </c>
      <c r="M202" s="276" t="inlineStr">
        <is>
          <t>Windows; Linux; IaaS</t>
        </is>
      </c>
      <c r="N202" s="276" t="inlineStr">
        <is>
          <t>https://attack.mitre.org/techniques/T1486/</t>
        </is>
      </c>
      <c r="O202" s="276" t="n"/>
      <c r="P202" s="277" t="n"/>
    </row>
    <row r="203">
      <c r="A203" s="275" t="inlineStr">
        <is>
          <t>Nation-state</t>
        </is>
      </c>
      <c r="B203" s="276" t="inlineStr">
        <is>
          <t>Cyber-enabled theft or fraud</t>
        </is>
      </c>
      <c r="C203" s="276" t="inlineStr">
        <is>
          <t>Third-party or software supply chain</t>
        </is>
      </c>
      <c r="D203" s="276" t="inlineStr">
        <is>
          <t>T1565</t>
        </is>
      </c>
      <c r="E203" s="276" t="inlineStr">
        <is>
          <t>Data Manipulation</t>
        </is>
      </c>
      <c r="F203" s="276" t="inlineStr">
        <is>
          <t>S5</t>
        </is>
      </c>
      <c r="G203" s="276" t="b">
        <v>1</v>
      </c>
      <c r="H203" s="276" t="b">
        <v>1</v>
      </c>
      <c r="I203" s="276" t="b">
        <v>1</v>
      </c>
      <c r="J203" s="276" t="n">
        <v>0.6</v>
      </c>
      <c r="K203" s="276" t="n">
        <v>0.2206064987182617</v>
      </c>
      <c r="L203" s="276" t="n">
        <v>0.2206064987182617</v>
      </c>
      <c r="M203" s="276" t="inlineStr">
        <is>
          <t>SaaS; Databases; Windows</t>
        </is>
      </c>
      <c r="N203" s="276" t="inlineStr">
        <is>
          <t>https://attack.mitre.org/techniques/T1565/</t>
        </is>
      </c>
      <c r="O203" s="276" t="n"/>
      <c r="P203" s="277" t="n"/>
    </row>
    <row r="204">
      <c r="A204" s="275" t="inlineStr">
        <is>
          <t>Nation-state</t>
        </is>
      </c>
      <c r="B204" s="276" t="inlineStr">
        <is>
          <t>Cyber-enabled theft or fraud</t>
        </is>
      </c>
      <c r="C204" s="276" t="inlineStr">
        <is>
          <t>Third-party or software supply chain</t>
        </is>
      </c>
      <c r="D204" s="276" t="inlineStr">
        <is>
          <t>T1657</t>
        </is>
      </c>
      <c r="E204" s="276" t="inlineStr">
        <is>
          <t>Financial Theft</t>
        </is>
      </c>
      <c r="F204" s="276" t="inlineStr">
        <is>
          <t>S5</t>
        </is>
      </c>
      <c r="G204" s="276" t="b">
        <v>1</v>
      </c>
      <c r="H204" s="276" t="b">
        <v>1</v>
      </c>
      <c r="I204" s="276" t="b">
        <v>1</v>
      </c>
      <c r="J204" s="276" t="n">
        <v>0.5</v>
      </c>
      <c r="K204" s="276" t="n">
        <v>0.275654296875</v>
      </c>
      <c r="L204" s="276" t="n">
        <v>0.275654296875</v>
      </c>
      <c r="M204" s="276" t="inlineStr">
        <is>
          <t>SaaS; Office Suite; Identity Provider</t>
        </is>
      </c>
      <c r="N204" s="276" t="inlineStr">
        <is>
          <t>https://attack.mitre.org/techniques/T1657/</t>
        </is>
      </c>
      <c r="O204" s="276" t="n"/>
      <c r="P204" s="277" t="n"/>
    </row>
    <row r="205">
      <c r="A205" s="275" t="inlineStr">
        <is>
          <t>Nation-state</t>
        </is>
      </c>
      <c r="B205" s="276" t="inlineStr">
        <is>
          <t>Cyber-enabled theft or fraud</t>
        </is>
      </c>
      <c r="C205" s="276" t="inlineStr">
        <is>
          <t>Insider or trusted access</t>
        </is>
      </c>
      <c r="D205" s="276" t="inlineStr">
        <is>
          <t>T1098</t>
        </is>
      </c>
      <c r="E205" s="276" t="inlineStr">
        <is>
          <t>Account Manipulation</t>
        </is>
      </c>
      <c r="F205" s="276" t="inlineStr">
        <is>
          <t>S3</t>
        </is>
      </c>
      <c r="G205" s="276" t="b">
        <v>1</v>
      </c>
      <c r="H205" s="276" t="b">
        <v>1</v>
      </c>
      <c r="I205" s="276" t="b">
        <v>1</v>
      </c>
      <c r="J205" s="276" t="n">
        <v>0.8</v>
      </c>
      <c r="K205" s="276" t="n">
        <v>0.2477547340393066</v>
      </c>
      <c r="L205" s="276" t="n">
        <v>0.2477547340393066</v>
      </c>
      <c r="M205" s="276" t="inlineStr">
        <is>
          <t>Identity Provider; SaaS; Windows</t>
        </is>
      </c>
      <c r="N205" s="276" t="inlineStr">
        <is>
          <t>https://attack.mitre.org/techniques/T1098/</t>
        </is>
      </c>
      <c r="O205" s="276" t="n"/>
      <c r="P205" s="277" t="n"/>
    </row>
    <row r="206">
      <c r="A206" s="275" t="inlineStr">
        <is>
          <t>Nation-state</t>
        </is>
      </c>
      <c r="B206" s="276" t="inlineStr">
        <is>
          <t>Cyber-enabled theft or fraud</t>
        </is>
      </c>
      <c r="C206" s="276" t="inlineStr">
        <is>
          <t>Insider or trusted access</t>
        </is>
      </c>
      <c r="D206" s="276" t="inlineStr">
        <is>
          <t>T1567</t>
        </is>
      </c>
      <c r="E206" s="276" t="inlineStr">
        <is>
          <t>Exfiltration Over Web Service</t>
        </is>
      </c>
      <c r="F206" s="276" t="inlineStr">
        <is>
          <t>S5</t>
        </is>
      </c>
      <c r="G206" s="276" t="b">
        <v>1</v>
      </c>
      <c r="H206" s="276" t="b">
        <v>0</v>
      </c>
      <c r="I206" s="276" t="b">
        <v>0</v>
      </c>
      <c r="J206" s="276" t="n">
        <v>0.8</v>
      </c>
      <c r="K206" s="276" t="n">
        <v>0.20625</v>
      </c>
      <c r="L206" s="276" t="n">
        <v>0.20625</v>
      </c>
      <c r="M206" s="276" t="inlineStr">
        <is>
          <t>SaaS; Office Suite</t>
        </is>
      </c>
      <c r="N206" s="276" t="inlineStr">
        <is>
          <t>https://attack.mitre.org/techniques/T1567/</t>
        </is>
      </c>
      <c r="O206" s="276" t="n"/>
      <c r="P206" s="277" t="n"/>
    </row>
    <row r="207">
      <c r="A207" s="275" t="inlineStr">
        <is>
          <t>Nation-state</t>
        </is>
      </c>
      <c r="B207" s="276" t="inlineStr">
        <is>
          <t>Cyber-enabled theft or fraud</t>
        </is>
      </c>
      <c r="C207" s="276" t="inlineStr">
        <is>
          <t>Insider or trusted access</t>
        </is>
      </c>
      <c r="D207" s="276" t="inlineStr">
        <is>
          <t>T1565</t>
        </is>
      </c>
      <c r="E207" s="276" t="inlineStr">
        <is>
          <t>Data Manipulation</t>
        </is>
      </c>
      <c r="F207" s="276" t="inlineStr">
        <is>
          <t>S5</t>
        </is>
      </c>
      <c r="G207" s="276" t="b">
        <v>1</v>
      </c>
      <c r="H207" s="276" t="b">
        <v>1</v>
      </c>
      <c r="I207" s="276" t="b">
        <v>1</v>
      </c>
      <c r="J207" s="276" t="n">
        <v>0.9</v>
      </c>
      <c r="K207" s="276" t="n">
        <v>0.2206064987182617</v>
      </c>
      <c r="L207" s="276" t="n">
        <v>0.2206064987182617</v>
      </c>
      <c r="M207" s="276" t="inlineStr">
        <is>
          <t>SaaS; Databases; Windows</t>
        </is>
      </c>
      <c r="N207" s="276" t="inlineStr">
        <is>
          <t>https://attack.mitre.org/techniques/T1565/</t>
        </is>
      </c>
      <c r="O207" s="276" t="n"/>
      <c r="P207" s="277" t="n"/>
    </row>
    <row r="208">
      <c r="A208" s="275" t="inlineStr">
        <is>
          <t>Nation-state</t>
        </is>
      </c>
      <c r="B208" s="276" t="inlineStr">
        <is>
          <t>Cyber-enabled theft or fraud</t>
        </is>
      </c>
      <c r="C208" s="276" t="inlineStr">
        <is>
          <t>Insider or trusted access</t>
        </is>
      </c>
      <c r="D208" s="276" t="inlineStr">
        <is>
          <t>T1657</t>
        </is>
      </c>
      <c r="E208" s="276" t="inlineStr">
        <is>
          <t>Financial Theft</t>
        </is>
      </c>
      <c r="F208" s="276" t="inlineStr">
        <is>
          <t>S5</t>
        </is>
      </c>
      <c r="G208" s="276" t="b">
        <v>1</v>
      </c>
      <c r="H208" s="276" t="b">
        <v>1</v>
      </c>
      <c r="I208" s="276" t="b">
        <v>1</v>
      </c>
      <c r="J208" s="276" t="n">
        <v>0.9</v>
      </c>
      <c r="K208" s="276" t="n">
        <v>0.275654296875</v>
      </c>
      <c r="L208" s="276" t="n">
        <v>0.275654296875</v>
      </c>
      <c r="M208" s="276" t="inlineStr">
        <is>
          <t>SaaS; Office Suite; Identity Provider</t>
        </is>
      </c>
      <c r="N208" s="276" t="inlineStr">
        <is>
          <t>https://attack.mitre.org/techniques/T1657/</t>
        </is>
      </c>
      <c r="O208" s="276" t="n"/>
      <c r="P208" s="277" t="n"/>
    </row>
    <row r="209">
      <c r="A209" s="275" t="inlineStr">
        <is>
          <t>Cybercriminal</t>
        </is>
      </c>
      <c r="B209" s="276" t="inlineStr">
        <is>
          <t>Critical business-service disruption</t>
        </is>
      </c>
      <c r="C209" s="276" t="inlineStr">
        <is>
          <t>Identity and credential compromise</t>
        </is>
      </c>
      <c r="D209" s="276" t="inlineStr">
        <is>
          <t>T1566</t>
        </is>
      </c>
      <c r="E209" s="276" t="inlineStr">
        <is>
          <t>Phishing</t>
        </is>
      </c>
      <c r="F209" s="276" t="inlineStr">
        <is>
          <t>S1</t>
        </is>
      </c>
      <c r="G209" s="276" t="b">
        <v>1</v>
      </c>
      <c r="H209" s="276" t="b">
        <v>1</v>
      </c>
      <c r="I209" s="276" t="b">
        <v>1</v>
      </c>
      <c r="J209" s="276" t="n">
        <v>1</v>
      </c>
      <c r="K209" s="276" t="n">
        <v>0.20625</v>
      </c>
      <c r="L209" s="276" t="n">
        <v>0.20625</v>
      </c>
      <c r="M209" s="276" t="inlineStr">
        <is>
          <t>Windows; SaaS; Office Suite</t>
        </is>
      </c>
      <c r="N209" s="276" t="inlineStr">
        <is>
          <t>https://attack.mitre.org/techniques/T1566/</t>
        </is>
      </c>
      <c r="O209" s="276" t="n"/>
      <c r="P209" s="277" t="n"/>
    </row>
    <row r="210">
      <c r="A210" s="275" t="inlineStr">
        <is>
          <t>Cybercriminal</t>
        </is>
      </c>
      <c r="B210" s="276" t="inlineStr">
        <is>
          <t>Critical business-service disruption</t>
        </is>
      </c>
      <c r="C210" s="276" t="inlineStr">
        <is>
          <t>Identity and credential compromise</t>
        </is>
      </c>
      <c r="D210" s="276" t="inlineStr">
        <is>
          <t>T1078</t>
        </is>
      </c>
      <c r="E210" s="276" t="inlineStr">
        <is>
          <t>Valid Accounts</t>
        </is>
      </c>
      <c r="F210" s="276" t="inlineStr">
        <is>
          <t>S1</t>
        </is>
      </c>
      <c r="G210" s="276" t="b">
        <v>1</v>
      </c>
      <c r="H210" s="276" t="b">
        <v>1</v>
      </c>
      <c r="I210" s="276" t="b">
        <v>1</v>
      </c>
      <c r="J210" s="276" t="n">
        <v>1</v>
      </c>
      <c r="K210" s="276" t="n">
        <v>0.272109375</v>
      </c>
      <c r="L210" s="276" t="n">
        <v>0.272109375</v>
      </c>
      <c r="M210" s="276" t="inlineStr">
        <is>
          <t>Identity Provider; SaaS; IaaS; Windows</t>
        </is>
      </c>
      <c r="N210" s="276" t="inlineStr">
        <is>
          <t>https://attack.mitre.org/techniques/T1078/</t>
        </is>
      </c>
      <c r="O210" s="276" t="n"/>
      <c r="P210" s="277" t="n"/>
    </row>
    <row r="211">
      <c r="A211" s="275" t="inlineStr">
        <is>
          <t>Cybercriminal</t>
        </is>
      </c>
      <c r="B211" s="276" t="inlineStr">
        <is>
          <t>Critical business-service disruption</t>
        </is>
      </c>
      <c r="C211" s="276" t="inlineStr">
        <is>
          <t>Identity and credential compromise</t>
        </is>
      </c>
      <c r="D211" s="276" t="inlineStr">
        <is>
          <t>T1110</t>
        </is>
      </c>
      <c r="E211" s="276" t="inlineStr">
        <is>
          <t>Brute Force</t>
        </is>
      </c>
      <c r="F211" s="276" t="inlineStr">
        <is>
          <t>S1</t>
        </is>
      </c>
      <c r="G211" s="276" t="b">
        <v>1</v>
      </c>
      <c r="H211" s="276" t="b">
        <v>1</v>
      </c>
      <c r="I211" s="276" t="b">
        <v>1</v>
      </c>
      <c r="J211" s="276" t="n">
        <v>0.7</v>
      </c>
      <c r="K211" s="276" t="n">
        <v>0.24375</v>
      </c>
      <c r="L211" s="276" t="n">
        <v>0.24375</v>
      </c>
      <c r="M211" s="276" t="inlineStr">
        <is>
          <t>Identity Provider; SaaS; Windows</t>
        </is>
      </c>
      <c r="N211" s="276" t="inlineStr">
        <is>
          <t>https://attack.mitre.org/techniques/T1110/</t>
        </is>
      </c>
      <c r="O211" s="276" t="n"/>
      <c r="P211" s="277" t="n"/>
    </row>
    <row r="212">
      <c r="A212" s="275" t="inlineStr">
        <is>
          <t>Cybercriminal</t>
        </is>
      </c>
      <c r="B212" s="276" t="inlineStr">
        <is>
          <t>Critical business-service disruption</t>
        </is>
      </c>
      <c r="C212" s="276" t="inlineStr">
        <is>
          <t>Identity and credential compromise</t>
        </is>
      </c>
      <c r="D212" s="276" t="inlineStr">
        <is>
          <t>T1098</t>
        </is>
      </c>
      <c r="E212" s="276" t="inlineStr">
        <is>
          <t>Account Manipulation</t>
        </is>
      </c>
      <c r="F212" s="276" t="inlineStr">
        <is>
          <t>S3</t>
        </is>
      </c>
      <c r="G212" s="276" t="b">
        <v>1</v>
      </c>
      <c r="H212" s="276" t="b">
        <v>1</v>
      </c>
      <c r="I212" s="276" t="b">
        <v>1</v>
      </c>
      <c r="J212" s="276" t="n">
        <v>0.7</v>
      </c>
      <c r="K212" s="276" t="n">
        <v>0.2477547340393066</v>
      </c>
      <c r="L212" s="276" t="n">
        <v>0.2477547340393066</v>
      </c>
      <c r="M212" s="276" t="inlineStr">
        <is>
          <t>Identity Provider; SaaS; Windows</t>
        </is>
      </c>
      <c r="N212" s="276" t="inlineStr">
        <is>
          <t>https://attack.mitre.org/techniques/T1098/</t>
        </is>
      </c>
      <c r="O212" s="276" t="n"/>
      <c r="P212" s="277" t="n"/>
    </row>
    <row r="213">
      <c r="A213" s="275" t="inlineStr">
        <is>
          <t>Cybercriminal</t>
        </is>
      </c>
      <c r="B213" s="276" t="inlineStr">
        <is>
          <t>Critical business-service disruption</t>
        </is>
      </c>
      <c r="C213" s="276" t="inlineStr">
        <is>
          <t>Identity and credential compromise</t>
        </is>
      </c>
      <c r="D213" s="276" t="inlineStr">
        <is>
          <t>T1087</t>
        </is>
      </c>
      <c r="E213" s="276" t="inlineStr">
        <is>
          <t>Account Discovery</t>
        </is>
      </c>
      <c r="F213" s="276" t="inlineStr">
        <is>
          <t>S4</t>
        </is>
      </c>
      <c r="G213" s="276" t="b">
        <v>1</v>
      </c>
      <c r="H213" s="276" t="b">
        <v>1</v>
      </c>
      <c r="I213" s="276" t="b">
        <v>1</v>
      </c>
      <c r="J213" s="276" t="n">
        <v>0.6</v>
      </c>
      <c r="K213" s="276" t="n">
        <v>0</v>
      </c>
      <c r="L213" s="276" t="n">
        <v>0</v>
      </c>
      <c r="M213" s="276" t="inlineStr">
        <is>
          <t>Identity Provider; SaaS; Windows</t>
        </is>
      </c>
      <c r="N213" s="276" t="inlineStr">
        <is>
          <t>https://attack.mitre.org/techniques/T1087/</t>
        </is>
      </c>
      <c r="O213" s="276" t="n"/>
      <c r="P213" s="277" t="n"/>
    </row>
    <row r="214">
      <c r="A214" s="275" t="inlineStr">
        <is>
          <t>Cybercriminal</t>
        </is>
      </c>
      <c r="B214" s="276" t="inlineStr">
        <is>
          <t>Critical business-service disruption</t>
        </is>
      </c>
      <c r="C214" s="276" t="inlineStr">
        <is>
          <t>Identity and credential compromise</t>
        </is>
      </c>
      <c r="D214" s="276" t="inlineStr">
        <is>
          <t>T1213</t>
        </is>
      </c>
      <c r="E214" s="276" t="inlineStr">
        <is>
          <t>Data from Information Repositories</t>
        </is>
      </c>
      <c r="F214" s="276" t="inlineStr">
        <is>
          <t>S4</t>
        </is>
      </c>
      <c r="G214" s="276" t="b">
        <v>1</v>
      </c>
      <c r="H214" s="276" t="b">
        <v>0</v>
      </c>
      <c r="I214" s="276" t="b">
        <v>0</v>
      </c>
      <c r="J214" s="276" t="n">
        <v>0.8</v>
      </c>
      <c r="K214" s="276" t="n">
        <v>0.177890625</v>
      </c>
      <c r="L214" s="276" t="n">
        <v>0.177890625</v>
      </c>
      <c r="M214" s="276" t="inlineStr">
        <is>
          <t>SaaS; Office Suite; Windows</t>
        </is>
      </c>
      <c r="N214" s="276" t="inlineStr">
        <is>
          <t>https://attack.mitre.org/techniques/T1213/</t>
        </is>
      </c>
      <c r="O214" s="276" t="n"/>
      <c r="P214" s="277" t="n"/>
    </row>
    <row r="215">
      <c r="A215" s="275" t="inlineStr">
        <is>
          <t>Cybercriminal</t>
        </is>
      </c>
      <c r="B215" s="276" t="inlineStr">
        <is>
          <t>Critical business-service disruption</t>
        </is>
      </c>
      <c r="C215" s="276" t="inlineStr">
        <is>
          <t>Identity and credential compromise</t>
        </is>
      </c>
      <c r="D215" s="276" t="inlineStr">
        <is>
          <t>T1567</t>
        </is>
      </c>
      <c r="E215" s="276" t="inlineStr">
        <is>
          <t>Exfiltration Over Web Service</t>
        </is>
      </c>
      <c r="F215" s="276" t="inlineStr">
        <is>
          <t>S5</t>
        </is>
      </c>
      <c r="G215" s="276" t="b">
        <v>1</v>
      </c>
      <c r="H215" s="276" t="b">
        <v>0</v>
      </c>
      <c r="I215" s="276" t="b">
        <v>0</v>
      </c>
      <c r="J215" s="276" t="n">
        <v>0.7</v>
      </c>
      <c r="K215" s="276" t="n">
        <v>0.20625</v>
      </c>
      <c r="L215" s="276" t="n">
        <v>0.20625</v>
      </c>
      <c r="M215" s="276" t="inlineStr">
        <is>
          <t>SaaS; Office Suite</t>
        </is>
      </c>
      <c r="N215" s="276" t="inlineStr">
        <is>
          <t>https://attack.mitre.org/techniques/T1567/</t>
        </is>
      </c>
      <c r="O215" s="276" t="n"/>
      <c r="P215" s="277" t="n"/>
    </row>
    <row r="216">
      <c r="A216" s="275" t="inlineStr">
        <is>
          <t>Cybercriminal</t>
        </is>
      </c>
      <c r="B216" s="276" t="inlineStr">
        <is>
          <t>Critical business-service disruption</t>
        </is>
      </c>
      <c r="C216" s="276" t="inlineStr">
        <is>
          <t>Identity and credential compromise</t>
        </is>
      </c>
      <c r="D216" s="276" t="inlineStr">
        <is>
          <t>T1657</t>
        </is>
      </c>
      <c r="E216" s="276" t="inlineStr">
        <is>
          <t>Financial Theft</t>
        </is>
      </c>
      <c r="F216" s="276" t="inlineStr">
        <is>
          <t>S5</t>
        </is>
      </c>
      <c r="G216" s="276" t="b">
        <v>1</v>
      </c>
      <c r="H216" s="276" t="b">
        <v>0</v>
      </c>
      <c r="I216" s="276" t="b">
        <v>0</v>
      </c>
      <c r="J216" s="276" t="n">
        <v>0.8</v>
      </c>
      <c r="K216" s="276" t="n">
        <v>0.275654296875</v>
      </c>
      <c r="L216" s="276" t="n">
        <v>0.275654296875</v>
      </c>
      <c r="M216" s="276" t="inlineStr">
        <is>
          <t>SaaS; Office Suite; Identity Provider</t>
        </is>
      </c>
      <c r="N216" s="276" t="inlineStr">
        <is>
          <t>https://attack.mitre.org/techniques/T1657/</t>
        </is>
      </c>
      <c r="O216" s="276" t="n"/>
      <c r="P216" s="277" t="n"/>
    </row>
    <row r="217">
      <c r="A217" s="275" t="inlineStr">
        <is>
          <t>Cybercriminal</t>
        </is>
      </c>
      <c r="B217" s="276" t="inlineStr">
        <is>
          <t>Critical business-service disruption</t>
        </is>
      </c>
      <c r="C217" s="276" t="inlineStr">
        <is>
          <t>Identity and credential compromise</t>
        </is>
      </c>
      <c r="D217" s="276" t="inlineStr">
        <is>
          <t>T1565</t>
        </is>
      </c>
      <c r="E217" s="276" t="inlineStr">
        <is>
          <t>Data Manipulation</t>
        </is>
      </c>
      <c r="F217" s="276" t="inlineStr">
        <is>
          <t>S5</t>
        </is>
      </c>
      <c r="G217" s="276" t="b">
        <v>1</v>
      </c>
      <c r="H217" s="276" t="b">
        <v>1</v>
      </c>
      <c r="I217" s="276" t="b">
        <v>1</v>
      </c>
      <c r="J217" s="276" t="n">
        <v>0.5</v>
      </c>
      <c r="K217" s="276" t="n">
        <v>0.2206064987182617</v>
      </c>
      <c r="L217" s="276" t="n">
        <v>0.2206064987182617</v>
      </c>
      <c r="M217" s="276" t="inlineStr">
        <is>
          <t>SaaS; Databases; Windows</t>
        </is>
      </c>
      <c r="N217" s="276" t="inlineStr">
        <is>
          <t>https://attack.mitre.org/techniques/T1565/</t>
        </is>
      </c>
      <c r="O217" s="276" t="n"/>
      <c r="P217" s="277" t="n"/>
    </row>
    <row r="218">
      <c r="A218" s="275" t="inlineStr">
        <is>
          <t>Cybercriminal</t>
        </is>
      </c>
      <c r="B218" s="276" t="inlineStr">
        <is>
          <t>Critical business-service disruption</t>
        </is>
      </c>
      <c r="C218" s="276" t="inlineStr">
        <is>
          <t>Identity and credential compromise</t>
        </is>
      </c>
      <c r="D218" s="276" t="inlineStr">
        <is>
          <t>T1486</t>
        </is>
      </c>
      <c r="E218" s="276" t="inlineStr">
        <is>
          <t>Data Encrypted for Impact</t>
        </is>
      </c>
      <c r="F218" s="276" t="inlineStr">
        <is>
          <t>S5</t>
        </is>
      </c>
      <c r="G218" s="276" t="b">
        <v>1</v>
      </c>
      <c r="H218" s="276" t="b">
        <v>1</v>
      </c>
      <c r="I218" s="276" t="b">
        <v>1</v>
      </c>
      <c r="J218" s="276" t="n">
        <v>0.7</v>
      </c>
      <c r="K218" s="276" t="n">
        <v>0.16875</v>
      </c>
      <c r="L218" s="276" t="n">
        <v>0.16875</v>
      </c>
      <c r="M218" s="276" t="inlineStr">
        <is>
          <t>Windows; Linux; IaaS</t>
        </is>
      </c>
      <c r="N218" s="276" t="inlineStr">
        <is>
          <t>https://attack.mitre.org/techniques/T1486/</t>
        </is>
      </c>
      <c r="O218" s="276" t="n"/>
      <c r="P218" s="277" t="n"/>
    </row>
    <row r="219">
      <c r="A219" s="275" t="inlineStr">
        <is>
          <t>Cybercriminal</t>
        </is>
      </c>
      <c r="B219" s="276" t="inlineStr">
        <is>
          <t>Critical business-service disruption</t>
        </is>
      </c>
      <c r="C219" s="276" t="inlineStr">
        <is>
          <t>Identity and credential compromise</t>
        </is>
      </c>
      <c r="D219" s="276" t="inlineStr">
        <is>
          <t>T1490</t>
        </is>
      </c>
      <c r="E219" s="276" t="inlineStr">
        <is>
          <t>Inhibit System Recovery</t>
        </is>
      </c>
      <c r="F219" s="276" t="inlineStr">
        <is>
          <t>S5</t>
        </is>
      </c>
      <c r="G219" s="276" t="b">
        <v>1</v>
      </c>
      <c r="H219" s="276" t="b">
        <v>1</v>
      </c>
      <c r="I219" s="276" t="b">
        <v>1</v>
      </c>
      <c r="J219" s="276" t="n">
        <v>0.6</v>
      </c>
      <c r="K219" s="276" t="n">
        <v>0</v>
      </c>
      <c r="L219" s="276" t="n">
        <v>0</v>
      </c>
      <c r="M219" s="276" t="inlineStr">
        <is>
          <t>Windows; Linux; IaaS</t>
        </is>
      </c>
      <c r="N219" s="276" t="inlineStr">
        <is>
          <t>https://attack.mitre.org/techniques/T1490/</t>
        </is>
      </c>
      <c r="O219" s="276" t="n"/>
      <c r="P219" s="277" t="n"/>
    </row>
    <row r="220">
      <c r="A220" s="275" t="inlineStr">
        <is>
          <t>Cybercriminal</t>
        </is>
      </c>
      <c r="B220" s="276" t="inlineStr">
        <is>
          <t>Critical business-service disruption</t>
        </is>
      </c>
      <c r="C220" s="276" t="inlineStr">
        <is>
          <t>User endpoint and social engineering</t>
        </is>
      </c>
      <c r="D220" s="276" t="inlineStr">
        <is>
          <t>T1566</t>
        </is>
      </c>
      <c r="E220" s="276" t="inlineStr">
        <is>
          <t>Phishing</t>
        </is>
      </c>
      <c r="F220" s="276" t="inlineStr">
        <is>
          <t>S1</t>
        </is>
      </c>
      <c r="G220" s="276" t="b">
        <v>1</v>
      </c>
      <c r="H220" s="276" t="b">
        <v>1</v>
      </c>
      <c r="I220" s="276" t="b">
        <v>1</v>
      </c>
      <c r="J220" s="276" t="n">
        <v>1</v>
      </c>
      <c r="K220" s="276" t="n">
        <v>0.20625</v>
      </c>
      <c r="L220" s="276" t="n">
        <v>0.20625</v>
      </c>
      <c r="M220" s="276" t="inlineStr">
        <is>
          <t>Windows; SaaS; Office Suite</t>
        </is>
      </c>
      <c r="N220" s="276" t="inlineStr">
        <is>
          <t>https://attack.mitre.org/techniques/T1566/</t>
        </is>
      </c>
      <c r="O220" s="276" t="n"/>
      <c r="P220" s="277" t="n"/>
    </row>
    <row r="221">
      <c r="A221" s="275" t="inlineStr">
        <is>
          <t>Cybercriminal</t>
        </is>
      </c>
      <c r="B221" s="276" t="inlineStr">
        <is>
          <t>Critical business-service disruption</t>
        </is>
      </c>
      <c r="C221" s="276" t="inlineStr">
        <is>
          <t>User endpoint and social engineering</t>
        </is>
      </c>
      <c r="D221" s="276" t="inlineStr">
        <is>
          <t>T1203</t>
        </is>
      </c>
      <c r="E221" s="276" t="inlineStr">
        <is>
          <t>Exploitation for Client Execution</t>
        </is>
      </c>
      <c r="F221" s="276" t="inlineStr">
        <is>
          <t>S2</t>
        </is>
      </c>
      <c r="G221" s="276" t="b">
        <v>1</v>
      </c>
      <c r="H221" s="276" t="b">
        <v>1</v>
      </c>
      <c r="I221" s="276" t="b">
        <v>1</v>
      </c>
      <c r="J221" s="276" t="n">
        <v>0.8</v>
      </c>
      <c r="K221" s="276" t="n">
        <v>0.2404920959472656</v>
      </c>
      <c r="L221" s="276" t="n">
        <v>0.2404920959472656</v>
      </c>
      <c r="M221" s="276" t="inlineStr">
        <is>
          <t>Windows; macOS; Linux</t>
        </is>
      </c>
      <c r="N221" s="276" t="inlineStr">
        <is>
          <t>https://attack.mitre.org/techniques/T1203/</t>
        </is>
      </c>
      <c r="O221" s="276" t="n"/>
      <c r="P221" s="277" t="n"/>
    </row>
    <row r="222">
      <c r="A222" s="275" t="inlineStr">
        <is>
          <t>Cybercriminal</t>
        </is>
      </c>
      <c r="B222" s="276" t="inlineStr">
        <is>
          <t>Critical business-service disruption</t>
        </is>
      </c>
      <c r="C222" s="276" t="inlineStr">
        <is>
          <t>User endpoint and social engineering</t>
        </is>
      </c>
      <c r="D222" s="276" t="inlineStr">
        <is>
          <t>T1059</t>
        </is>
      </c>
      <c r="E222" s="276" t="inlineStr">
        <is>
          <t>Command and Scripting Interpreter</t>
        </is>
      </c>
      <c r="F222" s="276" t="inlineStr">
        <is>
          <t>S2</t>
        </is>
      </c>
      <c r="G222" s="276" t="b">
        <v>1</v>
      </c>
      <c r="H222" s="276" t="b">
        <v>1</v>
      </c>
      <c r="I222" s="276" t="b">
        <v>1</v>
      </c>
      <c r="J222" s="276" t="n">
        <v>0.9</v>
      </c>
      <c r="K222" s="276" t="n">
        <v>0.1875</v>
      </c>
      <c r="L222" s="276" t="n">
        <v>0.1875</v>
      </c>
      <c r="M222" s="276" t="inlineStr">
        <is>
          <t>Windows; macOS; Linux; IaaS</t>
        </is>
      </c>
      <c r="N222" s="276" t="inlineStr">
        <is>
          <t>https://attack.mitre.org/techniques/T1059/</t>
        </is>
      </c>
      <c r="O222" s="276" t="n"/>
      <c r="P222" s="277" t="n"/>
    </row>
    <row r="223">
      <c r="A223" s="275" t="inlineStr">
        <is>
          <t>Cybercriminal</t>
        </is>
      </c>
      <c r="B223" s="276" t="inlineStr">
        <is>
          <t>Critical business-service disruption</t>
        </is>
      </c>
      <c r="C223" s="276" t="inlineStr">
        <is>
          <t>User endpoint and social engineering</t>
        </is>
      </c>
      <c r="D223" s="276" t="inlineStr">
        <is>
          <t>T1068</t>
        </is>
      </c>
      <c r="E223" s="276" t="inlineStr">
        <is>
          <t>Exploitation for Privilege Escalation</t>
        </is>
      </c>
      <c r="F223" s="276" t="inlineStr">
        <is>
          <t>S3</t>
        </is>
      </c>
      <c r="G223" s="276" t="b">
        <v>1</v>
      </c>
      <c r="H223" s="276" t="b">
        <v>1</v>
      </c>
      <c r="I223" s="276" t="b">
        <v>1</v>
      </c>
      <c r="J223" s="276" t="n">
        <v>0.7</v>
      </c>
      <c r="K223" s="276" t="n">
        <v>0.2094165115356445</v>
      </c>
      <c r="L223" s="276" t="n">
        <v>0.2094165115356445</v>
      </c>
      <c r="M223" s="276" t="inlineStr">
        <is>
          <t>Windows; macOS; Linux</t>
        </is>
      </c>
      <c r="N223" s="276" t="inlineStr">
        <is>
          <t>https://attack.mitre.org/techniques/T1068/</t>
        </is>
      </c>
      <c r="O223" s="276" t="n"/>
      <c r="P223" s="277" t="n"/>
    </row>
    <row r="224">
      <c r="A224" s="275" t="inlineStr">
        <is>
          <t>Cybercriminal</t>
        </is>
      </c>
      <c r="B224" s="276" t="inlineStr">
        <is>
          <t>Critical business-service disruption</t>
        </is>
      </c>
      <c r="C224" s="276" t="inlineStr">
        <is>
          <t>User endpoint and social engineering</t>
        </is>
      </c>
      <c r="D224" s="276" t="inlineStr">
        <is>
          <t>T1003</t>
        </is>
      </c>
      <c r="E224" s="276" t="inlineStr">
        <is>
          <t>OS Credential Dumping</t>
        </is>
      </c>
      <c r="F224" s="276" t="inlineStr">
        <is>
          <t>S3</t>
        </is>
      </c>
      <c r="G224" s="276" t="b">
        <v>1</v>
      </c>
      <c r="H224" s="276" t="b">
        <v>1</v>
      </c>
      <c r="I224" s="276" t="b">
        <v>1</v>
      </c>
      <c r="J224" s="276" t="n">
        <v>0.8</v>
      </c>
      <c r="K224" s="276" t="n">
        <v>0.232294921875</v>
      </c>
      <c r="L224" s="276" t="n">
        <v>0.232294921875</v>
      </c>
      <c r="M224" s="276" t="inlineStr">
        <is>
          <t>Windows; Linux; macOS</t>
        </is>
      </c>
      <c r="N224" s="276" t="inlineStr">
        <is>
          <t>https://attack.mitre.org/techniques/T1003/</t>
        </is>
      </c>
      <c r="O224" s="276" t="n"/>
      <c r="P224" s="277" t="n"/>
    </row>
    <row r="225">
      <c r="A225" s="275" t="inlineStr">
        <is>
          <t>Cybercriminal</t>
        </is>
      </c>
      <c r="B225" s="276" t="inlineStr">
        <is>
          <t>Critical business-service disruption</t>
        </is>
      </c>
      <c r="C225" s="276" t="inlineStr">
        <is>
          <t>User endpoint and social engineering</t>
        </is>
      </c>
      <c r="D225" s="276" t="inlineStr">
        <is>
          <t>T1046</t>
        </is>
      </c>
      <c r="E225" s="276" t="inlineStr">
        <is>
          <t>Network Service Discovery</t>
        </is>
      </c>
      <c r="F225" s="276" t="inlineStr">
        <is>
          <t>S4</t>
        </is>
      </c>
      <c r="G225" s="276" t="b">
        <v>1</v>
      </c>
      <c r="H225" s="276" t="b">
        <v>1</v>
      </c>
      <c r="I225" s="276" t="b">
        <v>1</v>
      </c>
      <c r="J225" s="276" t="n">
        <v>0.6</v>
      </c>
      <c r="K225" s="276" t="n">
        <v>0.16875</v>
      </c>
      <c r="L225" s="276" t="n">
        <v>0.16875</v>
      </c>
      <c r="M225" s="276" t="inlineStr">
        <is>
          <t>Network Devices; Windows; Linux</t>
        </is>
      </c>
      <c r="N225" s="276" t="inlineStr">
        <is>
          <t>https://attack.mitre.org/techniques/T1046/</t>
        </is>
      </c>
      <c r="O225" s="276" t="n"/>
      <c r="P225" s="277" t="n"/>
    </row>
    <row r="226">
      <c r="A226" s="275" t="inlineStr">
        <is>
          <t>Cybercriminal</t>
        </is>
      </c>
      <c r="B226" s="276" t="inlineStr">
        <is>
          <t>Critical business-service disruption</t>
        </is>
      </c>
      <c r="C226" s="276" t="inlineStr">
        <is>
          <t>User endpoint and social engineering</t>
        </is>
      </c>
      <c r="D226" s="276" t="inlineStr">
        <is>
          <t>T1021</t>
        </is>
      </c>
      <c r="E226" s="276" t="inlineStr">
        <is>
          <t>Remote Services</t>
        </is>
      </c>
      <c r="F226" s="276" t="inlineStr">
        <is>
          <t>S4</t>
        </is>
      </c>
      <c r="G226" s="276" t="b">
        <v>1</v>
      </c>
      <c r="H226" s="276" t="b">
        <v>1</v>
      </c>
      <c r="I226" s="276" t="b">
        <v>1</v>
      </c>
      <c r="J226" s="276" t="n">
        <v>0.8</v>
      </c>
      <c r="K226" s="276" t="n">
        <v>0.1875</v>
      </c>
      <c r="L226" s="276" t="n">
        <v>0.1875</v>
      </c>
      <c r="M226" s="276" t="inlineStr">
        <is>
          <t>Windows; Linux; Network Devices</t>
        </is>
      </c>
      <c r="N226" s="276" t="inlineStr">
        <is>
          <t>https://attack.mitre.org/techniques/T1021/</t>
        </is>
      </c>
      <c r="O226" s="276" t="n"/>
      <c r="P226" s="277" t="n"/>
    </row>
    <row r="227">
      <c r="A227" s="275" t="inlineStr">
        <is>
          <t>Cybercriminal</t>
        </is>
      </c>
      <c r="B227" s="276" t="inlineStr">
        <is>
          <t>Critical business-service disruption</t>
        </is>
      </c>
      <c r="C227" s="276" t="inlineStr">
        <is>
          <t>User endpoint and social engineering</t>
        </is>
      </c>
      <c r="D227" s="276" t="inlineStr">
        <is>
          <t>T1213</t>
        </is>
      </c>
      <c r="E227" s="276" t="inlineStr">
        <is>
          <t>Data from Information Repositories</t>
        </is>
      </c>
      <c r="F227" s="276" t="inlineStr">
        <is>
          <t>S4</t>
        </is>
      </c>
      <c r="G227" s="276" t="b">
        <v>1</v>
      </c>
      <c r="H227" s="276" t="b">
        <v>0</v>
      </c>
      <c r="I227" s="276" t="b">
        <v>0</v>
      </c>
      <c r="J227" s="276" t="n">
        <v>0.7</v>
      </c>
      <c r="K227" s="276" t="n">
        <v>0.177890625</v>
      </c>
      <c r="L227" s="276" t="n">
        <v>0.177890625</v>
      </c>
      <c r="M227" s="276" t="inlineStr">
        <is>
          <t>SaaS; Office Suite; Windows</t>
        </is>
      </c>
      <c r="N227" s="276" t="inlineStr">
        <is>
          <t>https://attack.mitre.org/techniques/T1213/</t>
        </is>
      </c>
      <c r="O227" s="276" t="n"/>
      <c r="P227" s="277" t="n"/>
    </row>
    <row r="228">
      <c r="A228" s="275" t="inlineStr">
        <is>
          <t>Cybercriminal</t>
        </is>
      </c>
      <c r="B228" s="276" t="inlineStr">
        <is>
          <t>Critical business-service disruption</t>
        </is>
      </c>
      <c r="C228" s="276" t="inlineStr">
        <is>
          <t>User endpoint and social engineering</t>
        </is>
      </c>
      <c r="D228" s="276" t="inlineStr">
        <is>
          <t>T1486</t>
        </is>
      </c>
      <c r="E228" s="276" t="inlineStr">
        <is>
          <t>Data Encrypted for Impact</t>
        </is>
      </c>
      <c r="F228" s="276" t="inlineStr">
        <is>
          <t>S5</t>
        </is>
      </c>
      <c r="G228" s="276" t="b">
        <v>1</v>
      </c>
      <c r="H228" s="276" t="b">
        <v>1</v>
      </c>
      <c r="I228" s="276" t="b">
        <v>1</v>
      </c>
      <c r="J228" s="276" t="n">
        <v>0.8</v>
      </c>
      <c r="K228" s="276" t="n">
        <v>0.16875</v>
      </c>
      <c r="L228" s="276" t="n">
        <v>0.16875</v>
      </c>
      <c r="M228" s="276" t="inlineStr">
        <is>
          <t>Windows; Linux; IaaS</t>
        </is>
      </c>
      <c r="N228" s="276" t="inlineStr">
        <is>
          <t>https://attack.mitre.org/techniques/T1486/</t>
        </is>
      </c>
      <c r="O228" s="276" t="n"/>
      <c r="P228" s="277" t="n"/>
    </row>
    <row r="229">
      <c r="A229" s="275" t="inlineStr">
        <is>
          <t>Cybercriminal</t>
        </is>
      </c>
      <c r="B229" s="276" t="inlineStr">
        <is>
          <t>Critical business-service disruption</t>
        </is>
      </c>
      <c r="C229" s="276" t="inlineStr">
        <is>
          <t>User endpoint and social engineering</t>
        </is>
      </c>
      <c r="D229" s="276" t="inlineStr">
        <is>
          <t>T1490</t>
        </is>
      </c>
      <c r="E229" s="276" t="inlineStr">
        <is>
          <t>Inhibit System Recovery</t>
        </is>
      </c>
      <c r="F229" s="276" t="inlineStr">
        <is>
          <t>S5</t>
        </is>
      </c>
      <c r="G229" s="276" t="b">
        <v>1</v>
      </c>
      <c r="H229" s="276" t="b">
        <v>1</v>
      </c>
      <c r="I229" s="276" t="b">
        <v>1</v>
      </c>
      <c r="J229" s="276" t="n">
        <v>0.7</v>
      </c>
      <c r="K229" s="276" t="n">
        <v>0</v>
      </c>
      <c r="L229" s="276" t="n">
        <v>0</v>
      </c>
      <c r="M229" s="276" t="inlineStr">
        <is>
          <t>Windows; Linux; IaaS</t>
        </is>
      </c>
      <c r="N229" s="276" t="inlineStr">
        <is>
          <t>https://attack.mitre.org/techniques/T1490/</t>
        </is>
      </c>
      <c r="O229" s="276" t="n"/>
      <c r="P229" s="277" t="n"/>
    </row>
    <row r="230">
      <c r="A230" s="275" t="inlineStr">
        <is>
          <t>Cybercriminal</t>
        </is>
      </c>
      <c r="B230" s="276" t="inlineStr">
        <is>
          <t>Critical business-service disruption</t>
        </is>
      </c>
      <c r="C230" s="276" t="inlineStr">
        <is>
          <t>User endpoint and social engineering</t>
        </is>
      </c>
      <c r="D230" s="276" t="inlineStr">
        <is>
          <t>T1567</t>
        </is>
      </c>
      <c r="E230" s="276" t="inlineStr">
        <is>
          <t>Exfiltration Over Web Service</t>
        </is>
      </c>
      <c r="F230" s="276" t="inlineStr">
        <is>
          <t>S5</t>
        </is>
      </c>
      <c r="G230" s="276" t="b">
        <v>1</v>
      </c>
      <c r="H230" s="276" t="b">
        <v>0</v>
      </c>
      <c r="I230" s="276" t="b">
        <v>0</v>
      </c>
      <c r="J230" s="276" t="n">
        <v>0.7</v>
      </c>
      <c r="K230" s="276" t="n">
        <v>0.20625</v>
      </c>
      <c r="L230" s="276" t="n">
        <v>0.20625</v>
      </c>
      <c r="M230" s="276" t="inlineStr">
        <is>
          <t>SaaS; Office Suite</t>
        </is>
      </c>
      <c r="N230" s="276" t="inlineStr">
        <is>
          <t>https://attack.mitre.org/techniques/T1567/</t>
        </is>
      </c>
      <c r="O230" s="276" t="n"/>
      <c r="P230" s="277" t="n"/>
    </row>
    <row r="231">
      <c r="A231" s="275" t="inlineStr">
        <is>
          <t>Cybercriminal</t>
        </is>
      </c>
      <c r="B231" s="276" t="inlineStr">
        <is>
          <t>Critical business-service disruption</t>
        </is>
      </c>
      <c r="C231" s="276" t="inlineStr">
        <is>
          <t>User endpoint and social engineering</t>
        </is>
      </c>
      <c r="D231" s="276" t="inlineStr">
        <is>
          <t>T1657</t>
        </is>
      </c>
      <c r="E231" s="276" t="inlineStr">
        <is>
          <t>Financial Theft</t>
        </is>
      </c>
      <c r="F231" s="276" t="inlineStr">
        <is>
          <t>S5</t>
        </is>
      </c>
      <c r="G231" s="276" t="b">
        <v>1</v>
      </c>
      <c r="H231" s="276" t="b">
        <v>0</v>
      </c>
      <c r="I231" s="276" t="b">
        <v>0</v>
      </c>
      <c r="J231" s="276" t="n">
        <v>0.5</v>
      </c>
      <c r="K231" s="276" t="n">
        <v>0.275654296875</v>
      </c>
      <c r="L231" s="276" t="n">
        <v>0.275654296875</v>
      </c>
      <c r="M231" s="276" t="inlineStr">
        <is>
          <t>SaaS; Office Suite; Identity Provider</t>
        </is>
      </c>
      <c r="N231" s="276" t="inlineStr">
        <is>
          <t>https://attack.mitre.org/techniques/T1657/</t>
        </is>
      </c>
      <c r="O231" s="276" t="n"/>
      <c r="P231" s="277" t="n"/>
    </row>
    <row r="232">
      <c r="A232" s="275" t="inlineStr">
        <is>
          <t>Cybercriminal</t>
        </is>
      </c>
      <c r="B232" s="276" t="inlineStr">
        <is>
          <t>Critical business-service disruption</t>
        </is>
      </c>
      <c r="C232" s="276" t="inlineStr">
        <is>
          <t>User endpoint and social engineering</t>
        </is>
      </c>
      <c r="D232" s="276" t="inlineStr">
        <is>
          <t>T1565</t>
        </is>
      </c>
      <c r="E232" s="276" t="inlineStr">
        <is>
          <t>Data Manipulation</t>
        </is>
      </c>
      <c r="F232" s="276" t="inlineStr">
        <is>
          <t>S5</t>
        </is>
      </c>
      <c r="G232" s="276" t="b">
        <v>1</v>
      </c>
      <c r="H232" s="276" t="b">
        <v>1</v>
      </c>
      <c r="I232" s="276" t="b">
        <v>1</v>
      </c>
      <c r="J232" s="276" t="n">
        <v>0.5</v>
      </c>
      <c r="K232" s="276" t="n">
        <v>0.2206064987182617</v>
      </c>
      <c r="L232" s="276" t="n">
        <v>0.2206064987182617</v>
      </c>
      <c r="M232" s="276" t="inlineStr">
        <is>
          <t>SaaS; Databases; Windows</t>
        </is>
      </c>
      <c r="N232" s="276" t="inlineStr">
        <is>
          <t>https://attack.mitre.org/techniques/T1565/</t>
        </is>
      </c>
      <c r="O232" s="276" t="n"/>
      <c r="P232" s="277" t="n"/>
    </row>
    <row r="233">
      <c r="A233" s="275" t="inlineStr">
        <is>
          <t>Cybercriminal</t>
        </is>
      </c>
      <c r="B233" s="276" t="inlineStr">
        <is>
          <t>Critical business-service disruption</t>
        </is>
      </c>
      <c r="C233" s="276" t="inlineStr">
        <is>
          <t>Public-facing application exploitation</t>
        </is>
      </c>
      <c r="D233" s="276" t="inlineStr">
        <is>
          <t>T1190</t>
        </is>
      </c>
      <c r="E233" s="276" t="inlineStr">
        <is>
          <t>Exploit Public-Facing Application</t>
        </is>
      </c>
      <c r="F233" s="276" t="inlineStr">
        <is>
          <t>S1</t>
        </is>
      </c>
      <c r="G233" s="276" t="b">
        <v>1</v>
      </c>
      <c r="H233" s="276" t="b">
        <v>1</v>
      </c>
      <c r="I233" s="276" t="b">
        <v>1</v>
      </c>
      <c r="J233" s="276" t="n">
        <v>1</v>
      </c>
      <c r="K233" s="276" t="n">
        <v>0.2496630477905274</v>
      </c>
      <c r="L233" s="276" t="n">
        <v>0.2496630477905274</v>
      </c>
      <c r="M233" s="276" t="inlineStr">
        <is>
          <t>Network Devices; SaaS; IaaS</t>
        </is>
      </c>
      <c r="N233" s="276" t="inlineStr">
        <is>
          <t>https://attack.mitre.org/techniques/T1190/</t>
        </is>
      </c>
      <c r="O233" s="276" t="n"/>
      <c r="P233" s="277" t="n"/>
    </row>
    <row r="234">
      <c r="A234" s="275" t="inlineStr">
        <is>
          <t>Cybercriminal</t>
        </is>
      </c>
      <c r="B234" s="276" t="inlineStr">
        <is>
          <t>Critical business-service disruption</t>
        </is>
      </c>
      <c r="C234" s="276" t="inlineStr">
        <is>
          <t>Public-facing application exploitation</t>
        </is>
      </c>
      <c r="D234" s="276" t="inlineStr">
        <is>
          <t>T1059</t>
        </is>
      </c>
      <c r="E234" s="276" t="inlineStr">
        <is>
          <t>Command and Scripting Interpreter</t>
        </is>
      </c>
      <c r="F234" s="276" t="inlineStr">
        <is>
          <t>S2</t>
        </is>
      </c>
      <c r="G234" s="276" t="b">
        <v>1</v>
      </c>
      <c r="H234" s="276" t="b">
        <v>1</v>
      </c>
      <c r="I234" s="276" t="b">
        <v>1</v>
      </c>
      <c r="J234" s="276" t="n">
        <v>0.8</v>
      </c>
      <c r="K234" s="276" t="n">
        <v>0.1875</v>
      </c>
      <c r="L234" s="276" t="n">
        <v>0.1875</v>
      </c>
      <c r="M234" s="276" t="inlineStr">
        <is>
          <t>Windows; macOS; Linux; IaaS</t>
        </is>
      </c>
      <c r="N234" s="276" t="inlineStr">
        <is>
          <t>https://attack.mitre.org/techniques/T1059/</t>
        </is>
      </c>
      <c r="O234" s="276" t="n"/>
      <c r="P234" s="277" t="n"/>
    </row>
    <row r="235">
      <c r="A235" s="275" t="inlineStr">
        <is>
          <t>Cybercriminal</t>
        </is>
      </c>
      <c r="B235" s="276" t="inlineStr">
        <is>
          <t>Critical business-service disruption</t>
        </is>
      </c>
      <c r="C235" s="276" t="inlineStr">
        <is>
          <t>Public-facing application exploitation</t>
        </is>
      </c>
      <c r="D235" s="276" t="inlineStr">
        <is>
          <t>T1068</t>
        </is>
      </c>
      <c r="E235" s="276" t="inlineStr">
        <is>
          <t>Exploitation for Privilege Escalation</t>
        </is>
      </c>
      <c r="F235" s="276" t="inlineStr">
        <is>
          <t>S3</t>
        </is>
      </c>
      <c r="G235" s="276" t="b">
        <v>1</v>
      </c>
      <c r="H235" s="276" t="b">
        <v>1</v>
      </c>
      <c r="I235" s="276" t="b">
        <v>1</v>
      </c>
      <c r="J235" s="276" t="n">
        <v>0.7</v>
      </c>
      <c r="K235" s="276" t="n">
        <v>0.2094165115356445</v>
      </c>
      <c r="L235" s="276" t="n">
        <v>0.2094165115356445</v>
      </c>
      <c r="M235" s="276" t="inlineStr">
        <is>
          <t>Windows; macOS; Linux</t>
        </is>
      </c>
      <c r="N235" s="276" t="inlineStr">
        <is>
          <t>https://attack.mitre.org/techniques/T1068/</t>
        </is>
      </c>
      <c r="O235" s="276" t="n"/>
      <c r="P235" s="277" t="n"/>
    </row>
    <row r="236">
      <c r="A236" s="275" t="inlineStr">
        <is>
          <t>Cybercriminal</t>
        </is>
      </c>
      <c r="B236" s="276" t="inlineStr">
        <is>
          <t>Critical business-service disruption</t>
        </is>
      </c>
      <c r="C236" s="276" t="inlineStr">
        <is>
          <t>Public-facing application exploitation</t>
        </is>
      </c>
      <c r="D236" s="276" t="inlineStr">
        <is>
          <t>T1003</t>
        </is>
      </c>
      <c r="E236" s="276" t="inlineStr">
        <is>
          <t>OS Credential Dumping</t>
        </is>
      </c>
      <c r="F236" s="276" t="inlineStr">
        <is>
          <t>S3</t>
        </is>
      </c>
      <c r="G236" s="276" t="b">
        <v>1</v>
      </c>
      <c r="H236" s="276" t="b">
        <v>1</v>
      </c>
      <c r="I236" s="276" t="b">
        <v>1</v>
      </c>
      <c r="J236" s="276" t="n">
        <v>0.6</v>
      </c>
      <c r="K236" s="276" t="n">
        <v>0.232294921875</v>
      </c>
      <c r="L236" s="276" t="n">
        <v>0.232294921875</v>
      </c>
      <c r="M236" s="276" t="inlineStr">
        <is>
          <t>Windows; Linux; macOS</t>
        </is>
      </c>
      <c r="N236" s="276" t="inlineStr">
        <is>
          <t>https://attack.mitre.org/techniques/T1003/</t>
        </is>
      </c>
      <c r="O236" s="276" t="n"/>
      <c r="P236" s="277" t="n"/>
    </row>
    <row r="237">
      <c r="A237" s="275" t="inlineStr">
        <is>
          <t>Cybercriminal</t>
        </is>
      </c>
      <c r="B237" s="276" t="inlineStr">
        <is>
          <t>Critical business-service disruption</t>
        </is>
      </c>
      <c r="C237" s="276" t="inlineStr">
        <is>
          <t>Public-facing application exploitation</t>
        </is>
      </c>
      <c r="D237" s="276" t="inlineStr">
        <is>
          <t>T1046</t>
        </is>
      </c>
      <c r="E237" s="276" t="inlineStr">
        <is>
          <t>Network Service Discovery</t>
        </is>
      </c>
      <c r="F237" s="276" t="inlineStr">
        <is>
          <t>S4</t>
        </is>
      </c>
      <c r="G237" s="276" t="b">
        <v>1</v>
      </c>
      <c r="H237" s="276" t="b">
        <v>1</v>
      </c>
      <c r="I237" s="276" t="b">
        <v>1</v>
      </c>
      <c r="J237" s="276" t="n">
        <v>0.7</v>
      </c>
      <c r="K237" s="276" t="n">
        <v>0.16875</v>
      </c>
      <c r="L237" s="276" t="n">
        <v>0.16875</v>
      </c>
      <c r="M237" s="276" t="inlineStr">
        <is>
          <t>Network Devices; Windows; Linux</t>
        </is>
      </c>
      <c r="N237" s="276" t="inlineStr">
        <is>
          <t>https://attack.mitre.org/techniques/T1046/</t>
        </is>
      </c>
      <c r="O237" s="276" t="n"/>
      <c r="P237" s="277" t="n"/>
    </row>
    <row r="238">
      <c r="A238" s="275" t="inlineStr">
        <is>
          <t>Cybercriminal</t>
        </is>
      </c>
      <c r="B238" s="276" t="inlineStr">
        <is>
          <t>Critical business-service disruption</t>
        </is>
      </c>
      <c r="C238" s="276" t="inlineStr">
        <is>
          <t>Public-facing application exploitation</t>
        </is>
      </c>
      <c r="D238" s="276" t="inlineStr">
        <is>
          <t>T1210</t>
        </is>
      </c>
      <c r="E238" s="276" t="inlineStr">
        <is>
          <t>Exploitation of Remote Services</t>
        </is>
      </c>
      <c r="F238" s="276" t="inlineStr">
        <is>
          <t>S4</t>
        </is>
      </c>
      <c r="G238" s="276" t="b">
        <v>1</v>
      </c>
      <c r="H238" s="276" t="b">
        <v>1</v>
      </c>
      <c r="I238" s="276" t="b">
        <v>1</v>
      </c>
      <c r="J238" s="276" t="n">
        <v>0.9</v>
      </c>
      <c r="K238" s="276" t="n">
        <v>0.2103495368957519</v>
      </c>
      <c r="L238" s="276" t="n">
        <v>0.2103495368957519</v>
      </c>
      <c r="M238" s="276" t="inlineStr">
        <is>
          <t>Windows; Linux; Network Devices</t>
        </is>
      </c>
      <c r="N238" s="276" t="inlineStr">
        <is>
          <t>https://attack.mitre.org/techniques/T1210/</t>
        </is>
      </c>
      <c r="O238" s="276" t="n"/>
      <c r="P238" s="277" t="n"/>
    </row>
    <row r="239">
      <c r="A239" s="275" t="inlineStr">
        <is>
          <t>Cybercriminal</t>
        </is>
      </c>
      <c r="B239" s="276" t="inlineStr">
        <is>
          <t>Critical business-service disruption</t>
        </is>
      </c>
      <c r="C239" s="276" t="inlineStr">
        <is>
          <t>Public-facing application exploitation</t>
        </is>
      </c>
      <c r="D239" s="276" t="inlineStr">
        <is>
          <t>T1021</t>
        </is>
      </c>
      <c r="E239" s="276" t="inlineStr">
        <is>
          <t>Remote Services</t>
        </is>
      </c>
      <c r="F239" s="276" t="inlineStr">
        <is>
          <t>S4</t>
        </is>
      </c>
      <c r="G239" s="276" t="b">
        <v>1</v>
      </c>
      <c r="H239" s="276" t="b">
        <v>1</v>
      </c>
      <c r="I239" s="276" t="b">
        <v>1</v>
      </c>
      <c r="J239" s="276" t="n">
        <v>0.7</v>
      </c>
      <c r="K239" s="276" t="n">
        <v>0.1875</v>
      </c>
      <c r="L239" s="276" t="n">
        <v>0.1875</v>
      </c>
      <c r="M239" s="276" t="inlineStr">
        <is>
          <t>Windows; Linux; Network Devices</t>
        </is>
      </c>
      <c r="N239" s="276" t="inlineStr">
        <is>
          <t>https://attack.mitre.org/techniques/T1021/</t>
        </is>
      </c>
      <c r="O239" s="276" t="n"/>
      <c r="P239" s="277" t="n"/>
    </row>
    <row r="240">
      <c r="A240" s="275" t="inlineStr">
        <is>
          <t>Cybercriminal</t>
        </is>
      </c>
      <c r="B240" s="276" t="inlineStr">
        <is>
          <t>Critical business-service disruption</t>
        </is>
      </c>
      <c r="C240" s="276" t="inlineStr">
        <is>
          <t>Public-facing application exploitation</t>
        </is>
      </c>
      <c r="D240" s="276" t="inlineStr">
        <is>
          <t>T1486</t>
        </is>
      </c>
      <c r="E240" s="276" t="inlineStr">
        <is>
          <t>Data Encrypted for Impact</t>
        </is>
      </c>
      <c r="F240" s="276" t="inlineStr">
        <is>
          <t>S5</t>
        </is>
      </c>
      <c r="G240" s="276" t="b">
        <v>1</v>
      </c>
      <c r="H240" s="276" t="b">
        <v>1</v>
      </c>
      <c r="I240" s="276" t="b">
        <v>1</v>
      </c>
      <c r="J240" s="276" t="n">
        <v>0.6</v>
      </c>
      <c r="K240" s="276" t="n">
        <v>0.16875</v>
      </c>
      <c r="L240" s="276" t="n">
        <v>0.16875</v>
      </c>
      <c r="M240" s="276" t="inlineStr">
        <is>
          <t>Windows; Linux; IaaS</t>
        </is>
      </c>
      <c r="N240" s="276" t="inlineStr">
        <is>
          <t>https://attack.mitre.org/techniques/T1486/</t>
        </is>
      </c>
      <c r="O240" s="276" t="n"/>
      <c r="P240" s="277" t="n"/>
    </row>
    <row r="241">
      <c r="A241" s="275" t="inlineStr">
        <is>
          <t>Cybercriminal</t>
        </is>
      </c>
      <c r="B241" s="276" t="inlineStr">
        <is>
          <t>Critical business-service disruption</t>
        </is>
      </c>
      <c r="C241" s="276" t="inlineStr">
        <is>
          <t>Public-facing application exploitation</t>
        </is>
      </c>
      <c r="D241" s="276" t="inlineStr">
        <is>
          <t>T1490</t>
        </is>
      </c>
      <c r="E241" s="276" t="inlineStr">
        <is>
          <t>Inhibit System Recovery</t>
        </is>
      </c>
      <c r="F241" s="276" t="inlineStr">
        <is>
          <t>S5</t>
        </is>
      </c>
      <c r="G241" s="276" t="b">
        <v>1</v>
      </c>
      <c r="H241" s="276" t="b">
        <v>1</v>
      </c>
      <c r="I241" s="276" t="b">
        <v>1</v>
      </c>
      <c r="J241" s="276" t="n">
        <v>0.5</v>
      </c>
      <c r="K241" s="276" t="n">
        <v>0</v>
      </c>
      <c r="L241" s="276" t="n">
        <v>0</v>
      </c>
      <c r="M241" s="276" t="inlineStr">
        <is>
          <t>Windows; Linux; IaaS</t>
        </is>
      </c>
      <c r="N241" s="276" t="inlineStr">
        <is>
          <t>https://attack.mitre.org/techniques/T1490/</t>
        </is>
      </c>
      <c r="O241" s="276" t="n"/>
      <c r="P241" s="277" t="n"/>
    </row>
    <row r="242">
      <c r="A242" s="275" t="inlineStr">
        <is>
          <t>Cybercriminal</t>
        </is>
      </c>
      <c r="B242" s="276" t="inlineStr">
        <is>
          <t>Critical business-service disruption</t>
        </is>
      </c>
      <c r="C242" s="276" t="inlineStr">
        <is>
          <t>Public-facing application exploitation</t>
        </is>
      </c>
      <c r="D242" s="276" t="inlineStr">
        <is>
          <t>T1567</t>
        </is>
      </c>
      <c r="E242" s="276" t="inlineStr">
        <is>
          <t>Exfiltration Over Web Service</t>
        </is>
      </c>
      <c r="F242" s="276" t="inlineStr">
        <is>
          <t>S5</t>
        </is>
      </c>
      <c r="G242" s="276" t="b">
        <v>1</v>
      </c>
      <c r="H242" s="276" t="b">
        <v>0</v>
      </c>
      <c r="I242" s="276" t="b">
        <v>0</v>
      </c>
      <c r="J242" s="276" t="n">
        <v>0.6</v>
      </c>
      <c r="K242" s="276" t="n">
        <v>0.20625</v>
      </c>
      <c r="L242" s="276" t="n">
        <v>0.20625</v>
      </c>
      <c r="M242" s="276" t="inlineStr">
        <is>
          <t>SaaS; Office Suite</t>
        </is>
      </c>
      <c r="N242" s="276" t="inlineStr">
        <is>
          <t>https://attack.mitre.org/techniques/T1567/</t>
        </is>
      </c>
      <c r="O242" s="276" t="n"/>
      <c r="P242" s="277" t="n"/>
    </row>
    <row r="243">
      <c r="A243" s="275" t="inlineStr">
        <is>
          <t>Cybercriminal</t>
        </is>
      </c>
      <c r="B243" s="276" t="inlineStr">
        <is>
          <t>Critical business-service disruption</t>
        </is>
      </c>
      <c r="C243" s="276" t="inlineStr">
        <is>
          <t>Public-facing application exploitation</t>
        </is>
      </c>
      <c r="D243" s="276" t="inlineStr">
        <is>
          <t>T1565</t>
        </is>
      </c>
      <c r="E243" s="276" t="inlineStr">
        <is>
          <t>Data Manipulation</t>
        </is>
      </c>
      <c r="F243" s="276" t="inlineStr">
        <is>
          <t>S5</t>
        </is>
      </c>
      <c r="G243" s="276" t="b">
        <v>1</v>
      </c>
      <c r="H243" s="276" t="b">
        <v>1</v>
      </c>
      <c r="I243" s="276" t="b">
        <v>1</v>
      </c>
      <c r="J243" s="276" t="n">
        <v>0.6</v>
      </c>
      <c r="K243" s="276" t="n">
        <v>0.2206064987182617</v>
      </c>
      <c r="L243" s="276" t="n">
        <v>0.2206064987182617</v>
      </c>
      <c r="M243" s="276" t="inlineStr">
        <is>
          <t>SaaS; Databases; Windows</t>
        </is>
      </c>
      <c r="N243" s="276" t="inlineStr">
        <is>
          <t>https://attack.mitre.org/techniques/T1565/</t>
        </is>
      </c>
      <c r="O243" s="276" t="n"/>
      <c r="P243" s="277" t="n"/>
    </row>
    <row r="244">
      <c r="A244" s="275" t="inlineStr">
        <is>
          <t>Cybercriminal</t>
        </is>
      </c>
      <c r="B244" s="276" t="inlineStr">
        <is>
          <t>Critical business-service disruption</t>
        </is>
      </c>
      <c r="C244" s="276" t="inlineStr">
        <is>
          <t>Public-facing application exploitation</t>
        </is>
      </c>
      <c r="D244" s="276" t="inlineStr">
        <is>
          <t>T1657</t>
        </is>
      </c>
      <c r="E244" s="276" t="inlineStr">
        <is>
          <t>Financial Theft</t>
        </is>
      </c>
      <c r="F244" s="276" t="inlineStr">
        <is>
          <t>S5</t>
        </is>
      </c>
      <c r="G244" s="276" t="b">
        <v>1</v>
      </c>
      <c r="H244" s="276" t="b">
        <v>0</v>
      </c>
      <c r="I244" s="276" t="b">
        <v>0</v>
      </c>
      <c r="J244" s="276" t="n">
        <v>0.4</v>
      </c>
      <c r="K244" s="276" t="n">
        <v>0.275654296875</v>
      </c>
      <c r="L244" s="276" t="n">
        <v>0.275654296875</v>
      </c>
      <c r="M244" s="276" t="inlineStr">
        <is>
          <t>SaaS; Office Suite; Identity Provider</t>
        </is>
      </c>
      <c r="N244" s="276" t="inlineStr">
        <is>
          <t>https://attack.mitre.org/techniques/T1657/</t>
        </is>
      </c>
      <c r="O244" s="276" t="n"/>
      <c r="P244" s="277" t="n"/>
    </row>
    <row r="245">
      <c r="A245" s="275" t="inlineStr">
        <is>
          <t>Cybercriminal</t>
        </is>
      </c>
      <c r="B245" s="276" t="inlineStr">
        <is>
          <t>Critical business-service disruption</t>
        </is>
      </c>
      <c r="C245" s="276" t="inlineStr">
        <is>
          <t>Third-party or software supply chain</t>
        </is>
      </c>
      <c r="D245" s="276" t="inlineStr">
        <is>
          <t>T1199</t>
        </is>
      </c>
      <c r="E245" s="276" t="inlineStr">
        <is>
          <t>Trusted Relationship</t>
        </is>
      </c>
      <c r="F245" s="276" t="inlineStr">
        <is>
          <t>S3</t>
        </is>
      </c>
      <c r="G245" s="276" t="b">
        <v>1</v>
      </c>
      <c r="H245" s="276" t="b">
        <v>1</v>
      </c>
      <c r="I245" s="276" t="b">
        <v>1</v>
      </c>
      <c r="J245" s="276" t="n">
        <v>1</v>
      </c>
      <c r="K245" s="276" t="n">
        <v>0.20625</v>
      </c>
      <c r="L245" s="276" t="n">
        <v>0.20625</v>
      </c>
      <c r="M245" s="276" t="inlineStr">
        <is>
          <t>SaaS; IaaS; Network Devices</t>
        </is>
      </c>
      <c r="N245" s="276" t="inlineStr">
        <is>
          <t>https://attack.mitre.org/techniques/T1199/</t>
        </is>
      </c>
      <c r="O245" s="276" t="n"/>
      <c r="P245" s="277" t="n"/>
    </row>
    <row r="246">
      <c r="A246" s="275" t="inlineStr">
        <is>
          <t>Cybercriminal</t>
        </is>
      </c>
      <c r="B246" s="276" t="inlineStr">
        <is>
          <t>Critical business-service disruption</t>
        </is>
      </c>
      <c r="C246" s="276" t="inlineStr">
        <is>
          <t>Third-party or software supply chain</t>
        </is>
      </c>
      <c r="D246" s="276" t="inlineStr">
        <is>
          <t>T1098</t>
        </is>
      </c>
      <c r="E246" s="276" t="inlineStr">
        <is>
          <t>Account Manipulation</t>
        </is>
      </c>
      <c r="F246" s="276" t="inlineStr">
        <is>
          <t>S3</t>
        </is>
      </c>
      <c r="G246" s="276" t="b">
        <v>1</v>
      </c>
      <c r="H246" s="276" t="b">
        <v>1</v>
      </c>
      <c r="I246" s="276" t="b">
        <v>1</v>
      </c>
      <c r="J246" s="276" t="n">
        <v>0.6</v>
      </c>
      <c r="K246" s="276" t="n">
        <v>0.2477547340393066</v>
      </c>
      <c r="L246" s="276" t="n">
        <v>0.2477547340393066</v>
      </c>
      <c r="M246" s="276" t="inlineStr">
        <is>
          <t>Identity Provider; SaaS; Windows</t>
        </is>
      </c>
      <c r="N246" s="276" t="inlineStr">
        <is>
          <t>https://attack.mitre.org/techniques/T1098/</t>
        </is>
      </c>
      <c r="O246" s="276" t="n"/>
      <c r="P246" s="277" t="n"/>
    </row>
    <row r="247">
      <c r="A247" s="275" t="inlineStr">
        <is>
          <t>Cybercriminal</t>
        </is>
      </c>
      <c r="B247" s="276" t="inlineStr">
        <is>
          <t>Critical business-service disruption</t>
        </is>
      </c>
      <c r="C247" s="276" t="inlineStr">
        <is>
          <t>Third-party or software supply chain</t>
        </is>
      </c>
      <c r="D247" s="276" t="inlineStr">
        <is>
          <t>T1087</t>
        </is>
      </c>
      <c r="E247" s="276" t="inlineStr">
        <is>
          <t>Account Discovery</t>
        </is>
      </c>
      <c r="F247" s="276" t="inlineStr">
        <is>
          <t>S4</t>
        </is>
      </c>
      <c r="G247" s="276" t="b">
        <v>1</v>
      </c>
      <c r="H247" s="276" t="b">
        <v>1</v>
      </c>
      <c r="I247" s="276" t="b">
        <v>1</v>
      </c>
      <c r="J247" s="276" t="n">
        <v>0.5</v>
      </c>
      <c r="K247" s="276" t="n">
        <v>0</v>
      </c>
      <c r="L247" s="276" t="n">
        <v>0</v>
      </c>
      <c r="M247" s="276" t="inlineStr">
        <is>
          <t>Identity Provider; SaaS; Windows</t>
        </is>
      </c>
      <c r="N247" s="276" t="inlineStr">
        <is>
          <t>https://attack.mitre.org/techniques/T1087/</t>
        </is>
      </c>
      <c r="O247" s="276" t="n"/>
      <c r="P247" s="277" t="n"/>
    </row>
    <row r="248">
      <c r="A248" s="275" t="inlineStr">
        <is>
          <t>Cybercriminal</t>
        </is>
      </c>
      <c r="B248" s="276" t="inlineStr">
        <is>
          <t>Critical business-service disruption</t>
        </is>
      </c>
      <c r="C248" s="276" t="inlineStr">
        <is>
          <t>Third-party or software supply chain</t>
        </is>
      </c>
      <c r="D248" s="276" t="inlineStr">
        <is>
          <t>T1213</t>
        </is>
      </c>
      <c r="E248" s="276" t="inlineStr">
        <is>
          <t>Data from Information Repositories</t>
        </is>
      </c>
      <c r="F248" s="276" t="inlineStr">
        <is>
          <t>S4</t>
        </is>
      </c>
      <c r="G248" s="276" t="b">
        <v>1</v>
      </c>
      <c r="H248" s="276" t="b">
        <v>0</v>
      </c>
      <c r="I248" s="276" t="b">
        <v>0</v>
      </c>
      <c r="J248" s="276" t="n">
        <v>0.7</v>
      </c>
      <c r="K248" s="276" t="n">
        <v>0.177890625</v>
      </c>
      <c r="L248" s="276" t="n">
        <v>0.177890625</v>
      </c>
      <c r="M248" s="276" t="inlineStr">
        <is>
          <t>SaaS; Office Suite; Windows</t>
        </is>
      </c>
      <c r="N248" s="276" t="inlineStr">
        <is>
          <t>https://attack.mitre.org/techniques/T1213/</t>
        </is>
      </c>
      <c r="O248" s="276" t="n"/>
      <c r="P248" s="277" t="n"/>
    </row>
    <row r="249">
      <c r="A249" s="275" t="inlineStr">
        <is>
          <t>Cybercriminal</t>
        </is>
      </c>
      <c r="B249" s="276" t="inlineStr">
        <is>
          <t>Critical business-service disruption</t>
        </is>
      </c>
      <c r="C249" s="276" t="inlineStr">
        <is>
          <t>Third-party or software supply chain</t>
        </is>
      </c>
      <c r="D249" s="276" t="inlineStr">
        <is>
          <t>T1567</t>
        </is>
      </c>
      <c r="E249" s="276" t="inlineStr">
        <is>
          <t>Exfiltration Over Web Service</t>
        </is>
      </c>
      <c r="F249" s="276" t="inlineStr">
        <is>
          <t>S5</t>
        </is>
      </c>
      <c r="G249" s="276" t="b">
        <v>1</v>
      </c>
      <c r="H249" s="276" t="b">
        <v>0</v>
      </c>
      <c r="I249" s="276" t="b">
        <v>0</v>
      </c>
      <c r="J249" s="276" t="n">
        <v>0.6</v>
      </c>
      <c r="K249" s="276" t="n">
        <v>0.20625</v>
      </c>
      <c r="L249" s="276" t="n">
        <v>0.20625</v>
      </c>
      <c r="M249" s="276" t="inlineStr">
        <is>
          <t>SaaS; Office Suite</t>
        </is>
      </c>
      <c r="N249" s="276" t="inlineStr">
        <is>
          <t>https://attack.mitre.org/techniques/T1567/</t>
        </is>
      </c>
      <c r="O249" s="276" t="n"/>
      <c r="P249" s="277" t="n"/>
    </row>
    <row r="250">
      <c r="A250" s="275" t="inlineStr">
        <is>
          <t>Cybercriminal</t>
        </is>
      </c>
      <c r="B250" s="276" t="inlineStr">
        <is>
          <t>Critical business-service disruption</t>
        </is>
      </c>
      <c r="C250" s="276" t="inlineStr">
        <is>
          <t>Third-party or software supply chain</t>
        </is>
      </c>
      <c r="D250" s="276" t="inlineStr">
        <is>
          <t>T1486</t>
        </is>
      </c>
      <c r="E250" s="276" t="inlineStr">
        <is>
          <t>Data Encrypted for Impact</t>
        </is>
      </c>
      <c r="F250" s="276" t="inlineStr">
        <is>
          <t>S5</t>
        </is>
      </c>
      <c r="G250" s="276" t="b">
        <v>1</v>
      </c>
      <c r="H250" s="276" t="b">
        <v>1</v>
      </c>
      <c r="I250" s="276" t="b">
        <v>1</v>
      </c>
      <c r="J250" s="276" t="n">
        <v>0.5</v>
      </c>
      <c r="K250" s="276" t="n">
        <v>0.16875</v>
      </c>
      <c r="L250" s="276" t="n">
        <v>0.16875</v>
      </c>
      <c r="M250" s="276" t="inlineStr">
        <is>
          <t>Windows; Linux; IaaS</t>
        </is>
      </c>
      <c r="N250" s="276" t="inlineStr">
        <is>
          <t>https://attack.mitre.org/techniques/T1486/</t>
        </is>
      </c>
      <c r="O250" s="276" t="n"/>
      <c r="P250" s="277" t="n"/>
    </row>
    <row r="251">
      <c r="A251" s="275" t="inlineStr">
        <is>
          <t>Cybercriminal</t>
        </is>
      </c>
      <c r="B251" s="276" t="inlineStr">
        <is>
          <t>Critical business-service disruption</t>
        </is>
      </c>
      <c r="C251" s="276" t="inlineStr">
        <is>
          <t>Third-party or software supply chain</t>
        </is>
      </c>
      <c r="D251" s="276" t="inlineStr">
        <is>
          <t>T1565</t>
        </is>
      </c>
      <c r="E251" s="276" t="inlineStr">
        <is>
          <t>Data Manipulation</t>
        </is>
      </c>
      <c r="F251" s="276" t="inlineStr">
        <is>
          <t>S5</t>
        </is>
      </c>
      <c r="G251" s="276" t="b">
        <v>1</v>
      </c>
      <c r="H251" s="276" t="b">
        <v>1</v>
      </c>
      <c r="I251" s="276" t="b">
        <v>1</v>
      </c>
      <c r="J251" s="276" t="n">
        <v>0.6</v>
      </c>
      <c r="K251" s="276" t="n">
        <v>0.2206064987182617</v>
      </c>
      <c r="L251" s="276" t="n">
        <v>0.2206064987182617</v>
      </c>
      <c r="M251" s="276" t="inlineStr">
        <is>
          <t>SaaS; Databases; Windows</t>
        </is>
      </c>
      <c r="N251" s="276" t="inlineStr">
        <is>
          <t>https://attack.mitre.org/techniques/T1565/</t>
        </is>
      </c>
      <c r="O251" s="276" t="n"/>
      <c r="P251" s="277" t="n"/>
    </row>
    <row r="252">
      <c r="A252" s="275" t="inlineStr">
        <is>
          <t>Cybercriminal</t>
        </is>
      </c>
      <c r="B252" s="276" t="inlineStr">
        <is>
          <t>Critical business-service disruption</t>
        </is>
      </c>
      <c r="C252" s="276" t="inlineStr">
        <is>
          <t>Third-party or software supply chain</t>
        </is>
      </c>
      <c r="D252" s="276" t="inlineStr">
        <is>
          <t>T1657</t>
        </is>
      </c>
      <c r="E252" s="276" t="inlineStr">
        <is>
          <t>Financial Theft</t>
        </is>
      </c>
      <c r="F252" s="276" t="inlineStr">
        <is>
          <t>S5</t>
        </is>
      </c>
      <c r="G252" s="276" t="b">
        <v>1</v>
      </c>
      <c r="H252" s="276" t="b">
        <v>0</v>
      </c>
      <c r="I252" s="276" t="b">
        <v>0</v>
      </c>
      <c r="J252" s="276" t="n">
        <v>0.5</v>
      </c>
      <c r="K252" s="276" t="n">
        <v>0.275654296875</v>
      </c>
      <c r="L252" s="276" t="n">
        <v>0.275654296875</v>
      </c>
      <c r="M252" s="276" t="inlineStr">
        <is>
          <t>SaaS; Office Suite; Identity Provider</t>
        </is>
      </c>
      <c r="N252" s="276" t="inlineStr">
        <is>
          <t>https://attack.mitre.org/techniques/T1657/</t>
        </is>
      </c>
      <c r="O252" s="276" t="n"/>
      <c r="P252" s="277" t="n"/>
    </row>
    <row r="253">
      <c r="A253" s="275" t="inlineStr">
        <is>
          <t>Cybercriminal</t>
        </is>
      </c>
      <c r="B253" s="276" t="inlineStr">
        <is>
          <t>Critical business-service disruption</t>
        </is>
      </c>
      <c r="C253" s="276" t="inlineStr">
        <is>
          <t>Direct availability or DDoS</t>
        </is>
      </c>
      <c r="D253" s="276" t="inlineStr">
        <is>
          <t>T1498</t>
        </is>
      </c>
      <c r="E253" s="276" t="inlineStr">
        <is>
          <t>Network Denial of Service</t>
        </is>
      </c>
      <c r="F253" s="276" t="inlineStr">
        <is>
          <t>S1</t>
        </is>
      </c>
      <c r="G253" s="276" t="b">
        <v>1</v>
      </c>
      <c r="H253" s="276" t="b">
        <v>1</v>
      </c>
      <c r="I253" s="276" t="b">
        <v>1</v>
      </c>
      <c r="J253" s="276" t="n">
        <v>1</v>
      </c>
      <c r="K253" s="276" t="n">
        <v>0.2866992187499999</v>
      </c>
      <c r="L253" s="276" t="n">
        <v>0.2866992187499999</v>
      </c>
      <c r="M253" s="276" t="inlineStr">
        <is>
          <t>Network Devices</t>
        </is>
      </c>
      <c r="N253" s="276" t="inlineStr">
        <is>
          <t>https://attack.mitre.org/techniques/T1498/</t>
        </is>
      </c>
      <c r="O253" s="276" t="n"/>
      <c r="P253" s="277" t="n"/>
    </row>
    <row r="254">
      <c r="A254" s="275" t="inlineStr">
        <is>
          <t>Cybercriminal</t>
        </is>
      </c>
      <c r="B254" s="276" t="inlineStr">
        <is>
          <t>Critical business-service disruption</t>
        </is>
      </c>
      <c r="C254" s="276" t="inlineStr">
        <is>
          <t>Direct availability or DDoS</t>
        </is>
      </c>
      <c r="D254" s="276" t="inlineStr">
        <is>
          <t>T1499</t>
        </is>
      </c>
      <c r="E254" s="276" t="inlineStr">
        <is>
          <t>Endpoint Denial of Service</t>
        </is>
      </c>
      <c r="F254" s="276" t="inlineStr">
        <is>
          <t>S5</t>
        </is>
      </c>
      <c r="G254" s="276" t="b">
        <v>1</v>
      </c>
      <c r="H254" s="276" t="b">
        <v>1</v>
      </c>
      <c r="I254" s="276" t="b">
        <v>1</v>
      </c>
      <c r="J254" s="276" t="n">
        <v>1</v>
      </c>
      <c r="K254" s="276" t="n">
        <v>0.225</v>
      </c>
      <c r="L254" s="276" t="n">
        <v>0.225</v>
      </c>
      <c r="M254" s="276" t="inlineStr">
        <is>
          <t>Windows; Linux; Network Devices</t>
        </is>
      </c>
      <c r="N254" s="276" t="inlineStr">
        <is>
          <t>https://attack.mitre.org/techniques/T1499/</t>
        </is>
      </c>
      <c r="O254" s="276" t="n"/>
      <c r="P254" s="277" t="n"/>
    </row>
    <row r="255">
      <c r="A255" s="275" t="inlineStr">
        <is>
          <t>Cybercriminal</t>
        </is>
      </c>
      <c r="B255" s="276" t="inlineStr">
        <is>
          <t>Critical business-service disruption</t>
        </is>
      </c>
      <c r="C255" s="276" t="inlineStr">
        <is>
          <t>Insider or trusted access</t>
        </is>
      </c>
      <c r="D255" s="276" t="inlineStr">
        <is>
          <t>T1098</t>
        </is>
      </c>
      <c r="E255" s="276" t="inlineStr">
        <is>
          <t>Account Manipulation</t>
        </is>
      </c>
      <c r="F255" s="276" t="inlineStr">
        <is>
          <t>S3</t>
        </is>
      </c>
      <c r="G255" s="276" t="b">
        <v>1</v>
      </c>
      <c r="H255" s="276" t="b">
        <v>1</v>
      </c>
      <c r="I255" s="276" t="b">
        <v>1</v>
      </c>
      <c r="J255" s="276" t="n">
        <v>0.8</v>
      </c>
      <c r="K255" s="276" t="n">
        <v>0.2477547340393066</v>
      </c>
      <c r="L255" s="276" t="n">
        <v>0.2477547340393066</v>
      </c>
      <c r="M255" s="276" t="inlineStr">
        <is>
          <t>Identity Provider; SaaS; Windows</t>
        </is>
      </c>
      <c r="N255" s="276" t="inlineStr">
        <is>
          <t>https://attack.mitre.org/techniques/T1098/</t>
        </is>
      </c>
      <c r="O255" s="276" t="n"/>
      <c r="P255" s="277" t="n"/>
    </row>
    <row r="256">
      <c r="A256" s="275" t="inlineStr">
        <is>
          <t>Cybercriminal</t>
        </is>
      </c>
      <c r="B256" s="276" t="inlineStr">
        <is>
          <t>Critical business-service disruption</t>
        </is>
      </c>
      <c r="C256" s="276" t="inlineStr">
        <is>
          <t>Insider or trusted access</t>
        </is>
      </c>
      <c r="D256" s="276" t="inlineStr">
        <is>
          <t>T1087</t>
        </is>
      </c>
      <c r="E256" s="276" t="inlineStr">
        <is>
          <t>Account Discovery</t>
        </is>
      </c>
      <c r="F256" s="276" t="inlineStr">
        <is>
          <t>S4</t>
        </is>
      </c>
      <c r="G256" s="276" t="b">
        <v>1</v>
      </c>
      <c r="H256" s="276" t="b">
        <v>1</v>
      </c>
      <c r="I256" s="276" t="b">
        <v>1</v>
      </c>
      <c r="J256" s="276" t="n">
        <v>0.6</v>
      </c>
      <c r="K256" s="276" t="n">
        <v>0</v>
      </c>
      <c r="L256" s="276" t="n">
        <v>0</v>
      </c>
      <c r="M256" s="276" t="inlineStr">
        <is>
          <t>Identity Provider; SaaS; Windows</t>
        </is>
      </c>
      <c r="N256" s="276" t="inlineStr">
        <is>
          <t>https://attack.mitre.org/techniques/T1087/</t>
        </is>
      </c>
      <c r="O256" s="276" t="n"/>
      <c r="P256" s="277" t="n"/>
    </row>
    <row r="257">
      <c r="A257" s="275" t="inlineStr">
        <is>
          <t>Cybercriminal</t>
        </is>
      </c>
      <c r="B257" s="276" t="inlineStr">
        <is>
          <t>Critical business-service disruption</t>
        </is>
      </c>
      <c r="C257" s="276" t="inlineStr">
        <is>
          <t>Insider or trusted access</t>
        </is>
      </c>
      <c r="D257" s="276" t="inlineStr">
        <is>
          <t>T1213</t>
        </is>
      </c>
      <c r="E257" s="276" t="inlineStr">
        <is>
          <t>Data from Information Repositories</t>
        </is>
      </c>
      <c r="F257" s="276" t="inlineStr">
        <is>
          <t>S4</t>
        </is>
      </c>
      <c r="G257" s="276" t="b">
        <v>1</v>
      </c>
      <c r="H257" s="276" t="b">
        <v>0</v>
      </c>
      <c r="I257" s="276" t="b">
        <v>0</v>
      </c>
      <c r="J257" s="276" t="n">
        <v>0.9</v>
      </c>
      <c r="K257" s="276" t="n">
        <v>0.177890625</v>
      </c>
      <c r="L257" s="276" t="n">
        <v>0.177890625</v>
      </c>
      <c r="M257" s="276" t="inlineStr">
        <is>
          <t>SaaS; Office Suite; Windows</t>
        </is>
      </c>
      <c r="N257" s="276" t="inlineStr">
        <is>
          <t>https://attack.mitre.org/techniques/T1213/</t>
        </is>
      </c>
      <c r="O257" s="276" t="n"/>
      <c r="P257" s="277" t="n"/>
    </row>
    <row r="258">
      <c r="A258" s="275" t="inlineStr">
        <is>
          <t>Cybercriminal</t>
        </is>
      </c>
      <c r="B258" s="276" t="inlineStr">
        <is>
          <t>Critical business-service disruption</t>
        </is>
      </c>
      <c r="C258" s="276" t="inlineStr">
        <is>
          <t>Insider or trusted access</t>
        </is>
      </c>
      <c r="D258" s="276" t="inlineStr">
        <is>
          <t>T1567</t>
        </is>
      </c>
      <c r="E258" s="276" t="inlineStr">
        <is>
          <t>Exfiltration Over Web Service</t>
        </is>
      </c>
      <c r="F258" s="276" t="inlineStr">
        <is>
          <t>S5</t>
        </is>
      </c>
      <c r="G258" s="276" t="b">
        <v>1</v>
      </c>
      <c r="H258" s="276" t="b">
        <v>0</v>
      </c>
      <c r="I258" s="276" t="b">
        <v>0</v>
      </c>
      <c r="J258" s="276" t="n">
        <v>0.8</v>
      </c>
      <c r="K258" s="276" t="n">
        <v>0.20625</v>
      </c>
      <c r="L258" s="276" t="n">
        <v>0.20625</v>
      </c>
      <c r="M258" s="276" t="inlineStr">
        <is>
          <t>SaaS; Office Suite</t>
        </is>
      </c>
      <c r="N258" s="276" t="inlineStr">
        <is>
          <t>https://attack.mitre.org/techniques/T1567/</t>
        </is>
      </c>
      <c r="O258" s="276" t="n"/>
      <c r="P258" s="277" t="n"/>
    </row>
    <row r="259">
      <c r="A259" s="275" t="inlineStr">
        <is>
          <t>Cybercriminal</t>
        </is>
      </c>
      <c r="B259" s="276" t="inlineStr">
        <is>
          <t>Critical business-service disruption</t>
        </is>
      </c>
      <c r="C259" s="276" t="inlineStr">
        <is>
          <t>Insider or trusted access</t>
        </is>
      </c>
      <c r="D259" s="276" t="inlineStr">
        <is>
          <t>T1565</t>
        </is>
      </c>
      <c r="E259" s="276" t="inlineStr">
        <is>
          <t>Data Manipulation</t>
        </is>
      </c>
      <c r="F259" s="276" t="inlineStr">
        <is>
          <t>S5</t>
        </is>
      </c>
      <c r="G259" s="276" t="b">
        <v>1</v>
      </c>
      <c r="H259" s="276" t="b">
        <v>1</v>
      </c>
      <c r="I259" s="276" t="b">
        <v>1</v>
      </c>
      <c r="J259" s="276" t="n">
        <v>0.9</v>
      </c>
      <c r="K259" s="276" t="n">
        <v>0.2206064987182617</v>
      </c>
      <c r="L259" s="276" t="n">
        <v>0.2206064987182617</v>
      </c>
      <c r="M259" s="276" t="inlineStr">
        <is>
          <t>SaaS; Databases; Windows</t>
        </is>
      </c>
      <c r="N259" s="276" t="inlineStr">
        <is>
          <t>https://attack.mitre.org/techniques/T1565/</t>
        </is>
      </c>
      <c r="O259" s="276" t="n"/>
      <c r="P259" s="277" t="n"/>
    </row>
    <row r="260">
      <c r="A260" s="275" t="inlineStr">
        <is>
          <t>Cybercriminal</t>
        </is>
      </c>
      <c r="B260" s="276" t="inlineStr">
        <is>
          <t>Critical business-service disruption</t>
        </is>
      </c>
      <c r="C260" s="276" t="inlineStr">
        <is>
          <t>Insider or trusted access</t>
        </is>
      </c>
      <c r="D260" s="276" t="inlineStr">
        <is>
          <t>T1657</t>
        </is>
      </c>
      <c r="E260" s="276" t="inlineStr">
        <is>
          <t>Financial Theft</t>
        </is>
      </c>
      <c r="F260" s="276" t="inlineStr">
        <is>
          <t>S5</t>
        </is>
      </c>
      <c r="G260" s="276" t="b">
        <v>1</v>
      </c>
      <c r="H260" s="276" t="b">
        <v>0</v>
      </c>
      <c r="I260" s="276" t="b">
        <v>0</v>
      </c>
      <c r="J260" s="276" t="n">
        <v>0.9</v>
      </c>
      <c r="K260" s="276" t="n">
        <v>0.275654296875</v>
      </c>
      <c r="L260" s="276" t="n">
        <v>0.275654296875</v>
      </c>
      <c r="M260" s="276" t="inlineStr">
        <is>
          <t>SaaS; Office Suite; Identity Provider</t>
        </is>
      </c>
      <c r="N260" s="276" t="inlineStr">
        <is>
          <t>https://attack.mitre.org/techniques/T1657/</t>
        </is>
      </c>
      <c r="O260" s="276" t="n"/>
      <c r="P260" s="277" t="n"/>
    </row>
    <row r="261">
      <c r="A261" s="275" t="inlineStr">
        <is>
          <t>Cybercriminal</t>
        </is>
      </c>
      <c r="B261" s="276" t="inlineStr">
        <is>
          <t>Sensitive-data compromise</t>
        </is>
      </c>
      <c r="C261" s="276" t="inlineStr">
        <is>
          <t>Identity and credential compromise</t>
        </is>
      </c>
      <c r="D261" s="276" t="inlineStr">
        <is>
          <t>T1566</t>
        </is>
      </c>
      <c r="E261" s="276" t="inlineStr">
        <is>
          <t>Phishing</t>
        </is>
      </c>
      <c r="F261" s="276" t="inlineStr">
        <is>
          <t>S1</t>
        </is>
      </c>
      <c r="G261" s="276" t="b">
        <v>1</v>
      </c>
      <c r="H261" s="276" t="b">
        <v>1</v>
      </c>
      <c r="I261" s="276" t="b">
        <v>1</v>
      </c>
      <c r="J261" s="276" t="n">
        <v>1</v>
      </c>
      <c r="K261" s="276" t="n">
        <v>0.20625</v>
      </c>
      <c r="L261" s="276" t="n">
        <v>0.20625</v>
      </c>
      <c r="M261" s="276" t="inlineStr">
        <is>
          <t>Windows; SaaS; Office Suite</t>
        </is>
      </c>
      <c r="N261" s="276" t="inlineStr">
        <is>
          <t>https://attack.mitre.org/techniques/T1566/</t>
        </is>
      </c>
      <c r="O261" s="276" t="n"/>
      <c r="P261" s="277" t="n"/>
    </row>
    <row r="262">
      <c r="A262" s="275" t="inlineStr">
        <is>
          <t>Cybercriminal</t>
        </is>
      </c>
      <c r="B262" s="276" t="inlineStr">
        <is>
          <t>Sensitive-data compromise</t>
        </is>
      </c>
      <c r="C262" s="276" t="inlineStr">
        <is>
          <t>Identity and credential compromise</t>
        </is>
      </c>
      <c r="D262" s="276" t="inlineStr">
        <is>
          <t>T1078</t>
        </is>
      </c>
      <c r="E262" s="276" t="inlineStr">
        <is>
          <t>Valid Accounts</t>
        </is>
      </c>
      <c r="F262" s="276" t="inlineStr">
        <is>
          <t>S1</t>
        </is>
      </c>
      <c r="G262" s="276" t="b">
        <v>1</v>
      </c>
      <c r="H262" s="276" t="b">
        <v>1</v>
      </c>
      <c r="I262" s="276" t="b">
        <v>1</v>
      </c>
      <c r="J262" s="276" t="n">
        <v>1</v>
      </c>
      <c r="K262" s="276" t="n">
        <v>0.272109375</v>
      </c>
      <c r="L262" s="276" t="n">
        <v>0.272109375</v>
      </c>
      <c r="M262" s="276" t="inlineStr">
        <is>
          <t>Identity Provider; SaaS; IaaS; Windows</t>
        </is>
      </c>
      <c r="N262" s="276" t="inlineStr">
        <is>
          <t>https://attack.mitre.org/techniques/T1078/</t>
        </is>
      </c>
      <c r="O262" s="276" t="n"/>
      <c r="P262" s="277" t="n"/>
    </row>
    <row r="263">
      <c r="A263" s="275" t="inlineStr">
        <is>
          <t>Cybercriminal</t>
        </is>
      </c>
      <c r="B263" s="276" t="inlineStr">
        <is>
          <t>Sensitive-data compromise</t>
        </is>
      </c>
      <c r="C263" s="276" t="inlineStr">
        <is>
          <t>Identity and credential compromise</t>
        </is>
      </c>
      <c r="D263" s="276" t="inlineStr">
        <is>
          <t>T1110</t>
        </is>
      </c>
      <c r="E263" s="276" t="inlineStr">
        <is>
          <t>Brute Force</t>
        </is>
      </c>
      <c r="F263" s="276" t="inlineStr">
        <is>
          <t>S1</t>
        </is>
      </c>
      <c r="G263" s="276" t="b">
        <v>1</v>
      </c>
      <c r="H263" s="276" t="b">
        <v>1</v>
      </c>
      <c r="I263" s="276" t="b">
        <v>1</v>
      </c>
      <c r="J263" s="276" t="n">
        <v>0.7</v>
      </c>
      <c r="K263" s="276" t="n">
        <v>0.24375</v>
      </c>
      <c r="L263" s="276" t="n">
        <v>0.24375</v>
      </c>
      <c r="M263" s="276" t="inlineStr">
        <is>
          <t>Identity Provider; SaaS; Windows</t>
        </is>
      </c>
      <c r="N263" s="276" t="inlineStr">
        <is>
          <t>https://attack.mitre.org/techniques/T1110/</t>
        </is>
      </c>
      <c r="O263" s="276" t="n"/>
      <c r="P263" s="277" t="n"/>
    </row>
    <row r="264">
      <c r="A264" s="275" t="inlineStr">
        <is>
          <t>Cybercriminal</t>
        </is>
      </c>
      <c r="B264" s="276" t="inlineStr">
        <is>
          <t>Sensitive-data compromise</t>
        </is>
      </c>
      <c r="C264" s="276" t="inlineStr">
        <is>
          <t>Identity and credential compromise</t>
        </is>
      </c>
      <c r="D264" s="276" t="inlineStr">
        <is>
          <t>T1098</t>
        </is>
      </c>
      <c r="E264" s="276" t="inlineStr">
        <is>
          <t>Account Manipulation</t>
        </is>
      </c>
      <c r="F264" s="276" t="inlineStr">
        <is>
          <t>S3</t>
        </is>
      </c>
      <c r="G264" s="276" t="b">
        <v>1</v>
      </c>
      <c r="H264" s="276" t="b">
        <v>1</v>
      </c>
      <c r="I264" s="276" t="b">
        <v>1</v>
      </c>
      <c r="J264" s="276" t="n">
        <v>0.7</v>
      </c>
      <c r="K264" s="276" t="n">
        <v>0.2477547340393066</v>
      </c>
      <c r="L264" s="276" t="n">
        <v>0.2477547340393066</v>
      </c>
      <c r="M264" s="276" t="inlineStr">
        <is>
          <t>Identity Provider; SaaS; Windows</t>
        </is>
      </c>
      <c r="N264" s="276" t="inlineStr">
        <is>
          <t>https://attack.mitre.org/techniques/T1098/</t>
        </is>
      </c>
      <c r="O264" s="276" t="n"/>
      <c r="P264" s="277" t="n"/>
    </row>
    <row r="265">
      <c r="A265" s="275" t="inlineStr">
        <is>
          <t>Cybercriminal</t>
        </is>
      </c>
      <c r="B265" s="276" t="inlineStr">
        <is>
          <t>Sensitive-data compromise</t>
        </is>
      </c>
      <c r="C265" s="276" t="inlineStr">
        <is>
          <t>Identity and credential compromise</t>
        </is>
      </c>
      <c r="D265" s="276" t="inlineStr">
        <is>
          <t>T1087</t>
        </is>
      </c>
      <c r="E265" s="276" t="inlineStr">
        <is>
          <t>Account Discovery</t>
        </is>
      </c>
      <c r="F265" s="276" t="inlineStr">
        <is>
          <t>S4</t>
        </is>
      </c>
      <c r="G265" s="276" t="b">
        <v>1</v>
      </c>
      <c r="H265" s="276" t="b">
        <v>1</v>
      </c>
      <c r="I265" s="276" t="b">
        <v>1</v>
      </c>
      <c r="J265" s="276" t="n">
        <v>0.6</v>
      </c>
      <c r="K265" s="276" t="n">
        <v>0</v>
      </c>
      <c r="L265" s="276" t="n">
        <v>0</v>
      </c>
      <c r="M265" s="276" t="inlineStr">
        <is>
          <t>Identity Provider; SaaS; Windows</t>
        </is>
      </c>
      <c r="N265" s="276" t="inlineStr">
        <is>
          <t>https://attack.mitre.org/techniques/T1087/</t>
        </is>
      </c>
      <c r="O265" s="276" t="n"/>
      <c r="P265" s="277" t="n"/>
    </row>
    <row r="266">
      <c r="A266" s="275" t="inlineStr">
        <is>
          <t>Cybercriminal</t>
        </is>
      </c>
      <c r="B266" s="276" t="inlineStr">
        <is>
          <t>Sensitive-data compromise</t>
        </is>
      </c>
      <c r="C266" s="276" t="inlineStr">
        <is>
          <t>Identity and credential compromise</t>
        </is>
      </c>
      <c r="D266" s="276" t="inlineStr">
        <is>
          <t>T1213</t>
        </is>
      </c>
      <c r="E266" s="276" t="inlineStr">
        <is>
          <t>Data from Information Repositories</t>
        </is>
      </c>
      <c r="F266" s="276" t="inlineStr">
        <is>
          <t>S4</t>
        </is>
      </c>
      <c r="G266" s="276" t="b">
        <v>1</v>
      </c>
      <c r="H266" s="276" t="b">
        <v>1</v>
      </c>
      <c r="I266" s="276" t="b">
        <v>1</v>
      </c>
      <c r="J266" s="276" t="n">
        <v>0.8</v>
      </c>
      <c r="K266" s="276" t="n">
        <v>0.177890625</v>
      </c>
      <c r="L266" s="276" t="n">
        <v>0.177890625</v>
      </c>
      <c r="M266" s="276" t="inlineStr">
        <is>
          <t>SaaS; Office Suite; Windows</t>
        </is>
      </c>
      <c r="N266" s="276" t="inlineStr">
        <is>
          <t>https://attack.mitre.org/techniques/T1213/</t>
        </is>
      </c>
      <c r="O266" s="276" t="n"/>
      <c r="P266" s="277" t="n"/>
    </row>
    <row r="267">
      <c r="A267" s="275" t="inlineStr">
        <is>
          <t>Cybercriminal</t>
        </is>
      </c>
      <c r="B267" s="276" t="inlineStr">
        <is>
          <t>Sensitive-data compromise</t>
        </is>
      </c>
      <c r="C267" s="276" t="inlineStr">
        <is>
          <t>Identity and credential compromise</t>
        </is>
      </c>
      <c r="D267" s="276" t="inlineStr">
        <is>
          <t>T1567</t>
        </is>
      </c>
      <c r="E267" s="276" t="inlineStr">
        <is>
          <t>Exfiltration Over Web Service</t>
        </is>
      </c>
      <c r="F267" s="276" t="inlineStr">
        <is>
          <t>S5</t>
        </is>
      </c>
      <c r="G267" s="276" t="b">
        <v>1</v>
      </c>
      <c r="H267" s="276" t="b">
        <v>1</v>
      </c>
      <c r="I267" s="276" t="b">
        <v>1</v>
      </c>
      <c r="J267" s="276" t="n">
        <v>0.7</v>
      </c>
      <c r="K267" s="276" t="n">
        <v>0.20625</v>
      </c>
      <c r="L267" s="276" t="n">
        <v>0.20625</v>
      </c>
      <c r="M267" s="276" t="inlineStr">
        <is>
          <t>SaaS; Office Suite</t>
        </is>
      </c>
      <c r="N267" s="276" t="inlineStr">
        <is>
          <t>https://attack.mitre.org/techniques/T1567/</t>
        </is>
      </c>
      <c r="O267" s="276" t="n"/>
      <c r="P267" s="277" t="n"/>
    </row>
    <row r="268">
      <c r="A268" s="275" t="inlineStr">
        <is>
          <t>Cybercriminal</t>
        </is>
      </c>
      <c r="B268" s="276" t="inlineStr">
        <is>
          <t>Sensitive-data compromise</t>
        </is>
      </c>
      <c r="C268" s="276" t="inlineStr">
        <is>
          <t>Identity and credential compromise</t>
        </is>
      </c>
      <c r="D268" s="276" t="inlineStr">
        <is>
          <t>T1657</t>
        </is>
      </c>
      <c r="E268" s="276" t="inlineStr">
        <is>
          <t>Financial Theft</t>
        </is>
      </c>
      <c r="F268" s="276" t="inlineStr">
        <is>
          <t>S5</t>
        </is>
      </c>
      <c r="G268" s="276" t="b">
        <v>1</v>
      </c>
      <c r="H268" s="276" t="b">
        <v>0</v>
      </c>
      <c r="I268" s="276" t="b">
        <v>0</v>
      </c>
      <c r="J268" s="276" t="n">
        <v>0.8</v>
      </c>
      <c r="K268" s="276" t="n">
        <v>0.275654296875</v>
      </c>
      <c r="L268" s="276" t="n">
        <v>0.275654296875</v>
      </c>
      <c r="M268" s="276" t="inlineStr">
        <is>
          <t>SaaS; Office Suite; Identity Provider</t>
        </is>
      </c>
      <c r="N268" s="276" t="inlineStr">
        <is>
          <t>https://attack.mitre.org/techniques/T1657/</t>
        </is>
      </c>
      <c r="O268" s="276" t="n"/>
      <c r="P268" s="277" t="n"/>
    </row>
    <row r="269">
      <c r="A269" s="275" t="inlineStr">
        <is>
          <t>Cybercriminal</t>
        </is>
      </c>
      <c r="B269" s="276" t="inlineStr">
        <is>
          <t>Sensitive-data compromise</t>
        </is>
      </c>
      <c r="C269" s="276" t="inlineStr">
        <is>
          <t>Identity and credential compromise</t>
        </is>
      </c>
      <c r="D269" s="276" t="inlineStr">
        <is>
          <t>T1565</t>
        </is>
      </c>
      <c r="E269" s="276" t="inlineStr">
        <is>
          <t>Data Manipulation</t>
        </is>
      </c>
      <c r="F269" s="276" t="inlineStr">
        <is>
          <t>S5</t>
        </is>
      </c>
      <c r="G269" s="276" t="b">
        <v>1</v>
      </c>
      <c r="H269" s="276" t="b">
        <v>0</v>
      </c>
      <c r="I269" s="276" t="b">
        <v>0</v>
      </c>
      <c r="J269" s="276" t="n">
        <v>0.5</v>
      </c>
      <c r="K269" s="276" t="n">
        <v>0.2206064987182617</v>
      </c>
      <c r="L269" s="276" t="n">
        <v>0.2206064987182617</v>
      </c>
      <c r="M269" s="276" t="inlineStr">
        <is>
          <t>SaaS; Databases; Windows</t>
        </is>
      </c>
      <c r="N269" s="276" t="inlineStr">
        <is>
          <t>https://attack.mitre.org/techniques/T1565/</t>
        </is>
      </c>
      <c r="O269" s="276" t="n"/>
      <c r="P269" s="277" t="n"/>
    </row>
    <row r="270">
      <c r="A270" s="275" t="inlineStr">
        <is>
          <t>Cybercriminal</t>
        </is>
      </c>
      <c r="B270" s="276" t="inlineStr">
        <is>
          <t>Sensitive-data compromise</t>
        </is>
      </c>
      <c r="C270" s="276" t="inlineStr">
        <is>
          <t>Identity and credential compromise</t>
        </is>
      </c>
      <c r="D270" s="276" t="inlineStr">
        <is>
          <t>T1486</t>
        </is>
      </c>
      <c r="E270" s="276" t="inlineStr">
        <is>
          <t>Data Encrypted for Impact</t>
        </is>
      </c>
      <c r="F270" s="276" t="inlineStr">
        <is>
          <t>S5</t>
        </is>
      </c>
      <c r="G270" s="276" t="b">
        <v>1</v>
      </c>
      <c r="H270" s="276" t="b">
        <v>0</v>
      </c>
      <c r="I270" s="276" t="b">
        <v>0</v>
      </c>
      <c r="J270" s="276" t="n">
        <v>0.7</v>
      </c>
      <c r="K270" s="276" t="n">
        <v>0.16875</v>
      </c>
      <c r="L270" s="276" t="n">
        <v>0.16875</v>
      </c>
      <c r="M270" s="276" t="inlineStr">
        <is>
          <t>Windows; Linux; IaaS</t>
        </is>
      </c>
      <c r="N270" s="276" t="inlineStr">
        <is>
          <t>https://attack.mitre.org/techniques/T1486/</t>
        </is>
      </c>
      <c r="O270" s="276" t="n"/>
      <c r="P270" s="277" t="n"/>
    </row>
    <row r="271">
      <c r="A271" s="275" t="inlineStr">
        <is>
          <t>Cybercriminal</t>
        </is>
      </c>
      <c r="B271" s="276" t="inlineStr">
        <is>
          <t>Sensitive-data compromise</t>
        </is>
      </c>
      <c r="C271" s="276" t="inlineStr">
        <is>
          <t>Identity and credential compromise</t>
        </is>
      </c>
      <c r="D271" s="276" t="inlineStr">
        <is>
          <t>T1490</t>
        </is>
      </c>
      <c r="E271" s="276" t="inlineStr">
        <is>
          <t>Inhibit System Recovery</t>
        </is>
      </c>
      <c r="F271" s="276" t="inlineStr">
        <is>
          <t>S5</t>
        </is>
      </c>
      <c r="G271" s="276" t="b">
        <v>1</v>
      </c>
      <c r="H271" s="276" t="b">
        <v>0</v>
      </c>
      <c r="I271" s="276" t="b">
        <v>0</v>
      </c>
      <c r="J271" s="276" t="n">
        <v>0.6</v>
      </c>
      <c r="K271" s="276" t="n">
        <v>0</v>
      </c>
      <c r="L271" s="276" t="n">
        <v>0</v>
      </c>
      <c r="M271" s="276" t="inlineStr">
        <is>
          <t>Windows; Linux; IaaS</t>
        </is>
      </c>
      <c r="N271" s="276" t="inlineStr">
        <is>
          <t>https://attack.mitre.org/techniques/T1490/</t>
        </is>
      </c>
      <c r="O271" s="276" t="n"/>
      <c r="P271" s="277" t="n"/>
    </row>
    <row r="272">
      <c r="A272" s="275" t="inlineStr">
        <is>
          <t>Cybercriminal</t>
        </is>
      </c>
      <c r="B272" s="276" t="inlineStr">
        <is>
          <t>Sensitive-data compromise</t>
        </is>
      </c>
      <c r="C272" s="276" t="inlineStr">
        <is>
          <t>User endpoint and social engineering</t>
        </is>
      </c>
      <c r="D272" s="276" t="inlineStr">
        <is>
          <t>T1566</t>
        </is>
      </c>
      <c r="E272" s="276" t="inlineStr">
        <is>
          <t>Phishing</t>
        </is>
      </c>
      <c r="F272" s="276" t="inlineStr">
        <is>
          <t>S1</t>
        </is>
      </c>
      <c r="G272" s="276" t="b">
        <v>1</v>
      </c>
      <c r="H272" s="276" t="b">
        <v>1</v>
      </c>
      <c r="I272" s="276" t="b">
        <v>1</v>
      </c>
      <c r="J272" s="276" t="n">
        <v>1</v>
      </c>
      <c r="K272" s="276" t="n">
        <v>0.20625</v>
      </c>
      <c r="L272" s="276" t="n">
        <v>0.20625</v>
      </c>
      <c r="M272" s="276" t="inlineStr">
        <is>
          <t>Windows; SaaS; Office Suite</t>
        </is>
      </c>
      <c r="N272" s="276" t="inlineStr">
        <is>
          <t>https://attack.mitre.org/techniques/T1566/</t>
        </is>
      </c>
      <c r="O272" s="276" t="n"/>
      <c r="P272" s="277" t="n"/>
    </row>
    <row r="273">
      <c r="A273" s="275" t="inlineStr">
        <is>
          <t>Cybercriminal</t>
        </is>
      </c>
      <c r="B273" s="276" t="inlineStr">
        <is>
          <t>Sensitive-data compromise</t>
        </is>
      </c>
      <c r="C273" s="276" t="inlineStr">
        <is>
          <t>User endpoint and social engineering</t>
        </is>
      </c>
      <c r="D273" s="276" t="inlineStr">
        <is>
          <t>T1203</t>
        </is>
      </c>
      <c r="E273" s="276" t="inlineStr">
        <is>
          <t>Exploitation for Client Execution</t>
        </is>
      </c>
      <c r="F273" s="276" t="inlineStr">
        <is>
          <t>S2</t>
        </is>
      </c>
      <c r="G273" s="276" t="b">
        <v>1</v>
      </c>
      <c r="H273" s="276" t="b">
        <v>1</v>
      </c>
      <c r="I273" s="276" t="b">
        <v>1</v>
      </c>
      <c r="J273" s="276" t="n">
        <v>0.8</v>
      </c>
      <c r="K273" s="276" t="n">
        <v>0.2404920959472656</v>
      </c>
      <c r="L273" s="276" t="n">
        <v>0.2404920959472656</v>
      </c>
      <c r="M273" s="276" t="inlineStr">
        <is>
          <t>Windows; macOS; Linux</t>
        </is>
      </c>
      <c r="N273" s="276" t="inlineStr">
        <is>
          <t>https://attack.mitre.org/techniques/T1203/</t>
        </is>
      </c>
      <c r="O273" s="276" t="n"/>
      <c r="P273" s="277" t="n"/>
    </row>
    <row r="274">
      <c r="A274" s="275" t="inlineStr">
        <is>
          <t>Cybercriminal</t>
        </is>
      </c>
      <c r="B274" s="276" t="inlineStr">
        <is>
          <t>Sensitive-data compromise</t>
        </is>
      </c>
      <c r="C274" s="276" t="inlineStr">
        <is>
          <t>User endpoint and social engineering</t>
        </is>
      </c>
      <c r="D274" s="276" t="inlineStr">
        <is>
          <t>T1059</t>
        </is>
      </c>
      <c r="E274" s="276" t="inlineStr">
        <is>
          <t>Command and Scripting Interpreter</t>
        </is>
      </c>
      <c r="F274" s="276" t="inlineStr">
        <is>
          <t>S2</t>
        </is>
      </c>
      <c r="G274" s="276" t="b">
        <v>1</v>
      </c>
      <c r="H274" s="276" t="b">
        <v>1</v>
      </c>
      <c r="I274" s="276" t="b">
        <v>1</v>
      </c>
      <c r="J274" s="276" t="n">
        <v>0.9</v>
      </c>
      <c r="K274" s="276" t="n">
        <v>0.1875</v>
      </c>
      <c r="L274" s="276" t="n">
        <v>0.1875</v>
      </c>
      <c r="M274" s="276" t="inlineStr">
        <is>
          <t>Windows; macOS; Linux; IaaS</t>
        </is>
      </c>
      <c r="N274" s="276" t="inlineStr">
        <is>
          <t>https://attack.mitre.org/techniques/T1059/</t>
        </is>
      </c>
      <c r="O274" s="276" t="n"/>
      <c r="P274" s="277" t="n"/>
    </row>
    <row r="275">
      <c r="A275" s="275" t="inlineStr">
        <is>
          <t>Cybercriminal</t>
        </is>
      </c>
      <c r="B275" s="276" t="inlineStr">
        <is>
          <t>Sensitive-data compromise</t>
        </is>
      </c>
      <c r="C275" s="276" t="inlineStr">
        <is>
          <t>User endpoint and social engineering</t>
        </is>
      </c>
      <c r="D275" s="276" t="inlineStr">
        <is>
          <t>T1068</t>
        </is>
      </c>
      <c r="E275" s="276" t="inlineStr">
        <is>
          <t>Exploitation for Privilege Escalation</t>
        </is>
      </c>
      <c r="F275" s="276" t="inlineStr">
        <is>
          <t>S3</t>
        </is>
      </c>
      <c r="G275" s="276" t="b">
        <v>1</v>
      </c>
      <c r="H275" s="276" t="b">
        <v>1</v>
      </c>
      <c r="I275" s="276" t="b">
        <v>1</v>
      </c>
      <c r="J275" s="276" t="n">
        <v>0.7</v>
      </c>
      <c r="K275" s="276" t="n">
        <v>0.2094165115356445</v>
      </c>
      <c r="L275" s="276" t="n">
        <v>0.2094165115356445</v>
      </c>
      <c r="M275" s="276" t="inlineStr">
        <is>
          <t>Windows; macOS; Linux</t>
        </is>
      </c>
      <c r="N275" s="276" t="inlineStr">
        <is>
          <t>https://attack.mitre.org/techniques/T1068/</t>
        </is>
      </c>
      <c r="O275" s="276" t="n"/>
      <c r="P275" s="277" t="n"/>
    </row>
    <row r="276">
      <c r="A276" s="275" t="inlineStr">
        <is>
          <t>Cybercriminal</t>
        </is>
      </c>
      <c r="B276" s="276" t="inlineStr">
        <is>
          <t>Sensitive-data compromise</t>
        </is>
      </c>
      <c r="C276" s="276" t="inlineStr">
        <is>
          <t>User endpoint and social engineering</t>
        </is>
      </c>
      <c r="D276" s="276" t="inlineStr">
        <is>
          <t>T1003</t>
        </is>
      </c>
      <c r="E276" s="276" t="inlineStr">
        <is>
          <t>OS Credential Dumping</t>
        </is>
      </c>
      <c r="F276" s="276" t="inlineStr">
        <is>
          <t>S3</t>
        </is>
      </c>
      <c r="G276" s="276" t="b">
        <v>1</v>
      </c>
      <c r="H276" s="276" t="b">
        <v>1</v>
      </c>
      <c r="I276" s="276" t="b">
        <v>1</v>
      </c>
      <c r="J276" s="276" t="n">
        <v>0.8</v>
      </c>
      <c r="K276" s="276" t="n">
        <v>0.232294921875</v>
      </c>
      <c r="L276" s="276" t="n">
        <v>0.232294921875</v>
      </c>
      <c r="M276" s="276" t="inlineStr">
        <is>
          <t>Windows; Linux; macOS</t>
        </is>
      </c>
      <c r="N276" s="276" t="inlineStr">
        <is>
          <t>https://attack.mitre.org/techniques/T1003/</t>
        </is>
      </c>
      <c r="O276" s="276" t="n"/>
      <c r="P276" s="277" t="n"/>
    </row>
    <row r="277">
      <c r="A277" s="275" t="inlineStr">
        <is>
          <t>Cybercriminal</t>
        </is>
      </c>
      <c r="B277" s="276" t="inlineStr">
        <is>
          <t>Sensitive-data compromise</t>
        </is>
      </c>
      <c r="C277" s="276" t="inlineStr">
        <is>
          <t>User endpoint and social engineering</t>
        </is>
      </c>
      <c r="D277" s="276" t="inlineStr">
        <is>
          <t>T1046</t>
        </is>
      </c>
      <c r="E277" s="276" t="inlineStr">
        <is>
          <t>Network Service Discovery</t>
        </is>
      </c>
      <c r="F277" s="276" t="inlineStr">
        <is>
          <t>S4</t>
        </is>
      </c>
      <c r="G277" s="276" t="b">
        <v>1</v>
      </c>
      <c r="H277" s="276" t="b">
        <v>1</v>
      </c>
      <c r="I277" s="276" t="b">
        <v>1</v>
      </c>
      <c r="J277" s="276" t="n">
        <v>0.6</v>
      </c>
      <c r="K277" s="276" t="n">
        <v>0.16875</v>
      </c>
      <c r="L277" s="276" t="n">
        <v>0.16875</v>
      </c>
      <c r="M277" s="276" t="inlineStr">
        <is>
          <t>Network Devices; Windows; Linux</t>
        </is>
      </c>
      <c r="N277" s="276" t="inlineStr">
        <is>
          <t>https://attack.mitre.org/techniques/T1046/</t>
        </is>
      </c>
      <c r="O277" s="276" t="n"/>
      <c r="P277" s="277" t="n"/>
    </row>
    <row r="278">
      <c r="A278" s="275" t="inlineStr">
        <is>
          <t>Cybercriminal</t>
        </is>
      </c>
      <c r="B278" s="276" t="inlineStr">
        <is>
          <t>Sensitive-data compromise</t>
        </is>
      </c>
      <c r="C278" s="276" t="inlineStr">
        <is>
          <t>User endpoint and social engineering</t>
        </is>
      </c>
      <c r="D278" s="276" t="inlineStr">
        <is>
          <t>T1021</t>
        </is>
      </c>
      <c r="E278" s="276" t="inlineStr">
        <is>
          <t>Remote Services</t>
        </is>
      </c>
      <c r="F278" s="276" t="inlineStr">
        <is>
          <t>S4</t>
        </is>
      </c>
      <c r="G278" s="276" t="b">
        <v>1</v>
      </c>
      <c r="H278" s="276" t="b">
        <v>1</v>
      </c>
      <c r="I278" s="276" t="b">
        <v>1</v>
      </c>
      <c r="J278" s="276" t="n">
        <v>0.8</v>
      </c>
      <c r="K278" s="276" t="n">
        <v>0.1875</v>
      </c>
      <c r="L278" s="276" t="n">
        <v>0.1875</v>
      </c>
      <c r="M278" s="276" t="inlineStr">
        <is>
          <t>Windows; Linux; Network Devices</t>
        </is>
      </c>
      <c r="N278" s="276" t="inlineStr">
        <is>
          <t>https://attack.mitre.org/techniques/T1021/</t>
        </is>
      </c>
      <c r="O278" s="276" t="n"/>
      <c r="P278" s="277" t="n"/>
    </row>
    <row r="279">
      <c r="A279" s="275" t="inlineStr">
        <is>
          <t>Cybercriminal</t>
        </is>
      </c>
      <c r="B279" s="276" t="inlineStr">
        <is>
          <t>Sensitive-data compromise</t>
        </is>
      </c>
      <c r="C279" s="276" t="inlineStr">
        <is>
          <t>User endpoint and social engineering</t>
        </is>
      </c>
      <c r="D279" s="276" t="inlineStr">
        <is>
          <t>T1213</t>
        </is>
      </c>
      <c r="E279" s="276" t="inlineStr">
        <is>
          <t>Data from Information Repositories</t>
        </is>
      </c>
      <c r="F279" s="276" t="inlineStr">
        <is>
          <t>S4</t>
        </is>
      </c>
      <c r="G279" s="276" t="b">
        <v>1</v>
      </c>
      <c r="H279" s="276" t="b">
        <v>1</v>
      </c>
      <c r="I279" s="276" t="b">
        <v>1</v>
      </c>
      <c r="J279" s="276" t="n">
        <v>0.7</v>
      </c>
      <c r="K279" s="276" t="n">
        <v>0.177890625</v>
      </c>
      <c r="L279" s="276" t="n">
        <v>0.177890625</v>
      </c>
      <c r="M279" s="276" t="inlineStr">
        <is>
          <t>SaaS; Office Suite; Windows</t>
        </is>
      </c>
      <c r="N279" s="276" t="inlineStr">
        <is>
          <t>https://attack.mitre.org/techniques/T1213/</t>
        </is>
      </c>
      <c r="O279" s="276" t="n"/>
      <c r="P279" s="277" t="n"/>
    </row>
    <row r="280">
      <c r="A280" s="275" t="inlineStr">
        <is>
          <t>Cybercriminal</t>
        </is>
      </c>
      <c r="B280" s="276" t="inlineStr">
        <is>
          <t>Sensitive-data compromise</t>
        </is>
      </c>
      <c r="C280" s="276" t="inlineStr">
        <is>
          <t>User endpoint and social engineering</t>
        </is>
      </c>
      <c r="D280" s="276" t="inlineStr">
        <is>
          <t>T1486</t>
        </is>
      </c>
      <c r="E280" s="276" t="inlineStr">
        <is>
          <t>Data Encrypted for Impact</t>
        </is>
      </c>
      <c r="F280" s="276" t="inlineStr">
        <is>
          <t>S5</t>
        </is>
      </c>
      <c r="G280" s="276" t="b">
        <v>1</v>
      </c>
      <c r="H280" s="276" t="b">
        <v>0</v>
      </c>
      <c r="I280" s="276" t="b">
        <v>0</v>
      </c>
      <c r="J280" s="276" t="n">
        <v>0.8</v>
      </c>
      <c r="K280" s="276" t="n">
        <v>0.16875</v>
      </c>
      <c r="L280" s="276" t="n">
        <v>0.16875</v>
      </c>
      <c r="M280" s="276" t="inlineStr">
        <is>
          <t>Windows; Linux; IaaS</t>
        </is>
      </c>
      <c r="N280" s="276" t="inlineStr">
        <is>
          <t>https://attack.mitre.org/techniques/T1486/</t>
        </is>
      </c>
      <c r="O280" s="276" t="n"/>
      <c r="P280" s="277" t="n"/>
    </row>
    <row r="281">
      <c r="A281" s="275" t="inlineStr">
        <is>
          <t>Cybercriminal</t>
        </is>
      </c>
      <c r="B281" s="276" t="inlineStr">
        <is>
          <t>Sensitive-data compromise</t>
        </is>
      </c>
      <c r="C281" s="276" t="inlineStr">
        <is>
          <t>User endpoint and social engineering</t>
        </is>
      </c>
      <c r="D281" s="276" t="inlineStr">
        <is>
          <t>T1490</t>
        </is>
      </c>
      <c r="E281" s="276" t="inlineStr">
        <is>
          <t>Inhibit System Recovery</t>
        </is>
      </c>
      <c r="F281" s="276" t="inlineStr">
        <is>
          <t>S5</t>
        </is>
      </c>
      <c r="G281" s="276" t="b">
        <v>1</v>
      </c>
      <c r="H281" s="276" t="b">
        <v>0</v>
      </c>
      <c r="I281" s="276" t="b">
        <v>0</v>
      </c>
      <c r="J281" s="276" t="n">
        <v>0.7</v>
      </c>
      <c r="K281" s="276" t="n">
        <v>0</v>
      </c>
      <c r="L281" s="276" t="n">
        <v>0</v>
      </c>
      <c r="M281" s="276" t="inlineStr">
        <is>
          <t>Windows; Linux; IaaS</t>
        </is>
      </c>
      <c r="N281" s="276" t="inlineStr">
        <is>
          <t>https://attack.mitre.org/techniques/T1490/</t>
        </is>
      </c>
      <c r="O281" s="276" t="n"/>
      <c r="P281" s="277" t="n"/>
    </row>
    <row r="282">
      <c r="A282" s="275" t="inlineStr">
        <is>
          <t>Cybercriminal</t>
        </is>
      </c>
      <c r="B282" s="276" t="inlineStr">
        <is>
          <t>Sensitive-data compromise</t>
        </is>
      </c>
      <c r="C282" s="276" t="inlineStr">
        <is>
          <t>User endpoint and social engineering</t>
        </is>
      </c>
      <c r="D282" s="276" t="inlineStr">
        <is>
          <t>T1567</t>
        </is>
      </c>
      <c r="E282" s="276" t="inlineStr">
        <is>
          <t>Exfiltration Over Web Service</t>
        </is>
      </c>
      <c r="F282" s="276" t="inlineStr">
        <is>
          <t>S5</t>
        </is>
      </c>
      <c r="G282" s="276" t="b">
        <v>1</v>
      </c>
      <c r="H282" s="276" t="b">
        <v>1</v>
      </c>
      <c r="I282" s="276" t="b">
        <v>1</v>
      </c>
      <c r="J282" s="276" t="n">
        <v>0.7</v>
      </c>
      <c r="K282" s="276" t="n">
        <v>0.20625</v>
      </c>
      <c r="L282" s="276" t="n">
        <v>0.20625</v>
      </c>
      <c r="M282" s="276" t="inlineStr">
        <is>
          <t>SaaS; Office Suite</t>
        </is>
      </c>
      <c r="N282" s="276" t="inlineStr">
        <is>
          <t>https://attack.mitre.org/techniques/T1567/</t>
        </is>
      </c>
      <c r="O282" s="276" t="n"/>
      <c r="P282" s="277" t="n"/>
    </row>
    <row r="283">
      <c r="A283" s="275" t="inlineStr">
        <is>
          <t>Cybercriminal</t>
        </is>
      </c>
      <c r="B283" s="276" t="inlineStr">
        <is>
          <t>Sensitive-data compromise</t>
        </is>
      </c>
      <c r="C283" s="276" t="inlineStr">
        <is>
          <t>User endpoint and social engineering</t>
        </is>
      </c>
      <c r="D283" s="276" t="inlineStr">
        <is>
          <t>T1657</t>
        </is>
      </c>
      <c r="E283" s="276" t="inlineStr">
        <is>
          <t>Financial Theft</t>
        </is>
      </c>
      <c r="F283" s="276" t="inlineStr">
        <is>
          <t>S5</t>
        </is>
      </c>
      <c r="G283" s="276" t="b">
        <v>1</v>
      </c>
      <c r="H283" s="276" t="b">
        <v>0</v>
      </c>
      <c r="I283" s="276" t="b">
        <v>0</v>
      </c>
      <c r="J283" s="276" t="n">
        <v>0.5</v>
      </c>
      <c r="K283" s="276" t="n">
        <v>0.275654296875</v>
      </c>
      <c r="L283" s="276" t="n">
        <v>0.275654296875</v>
      </c>
      <c r="M283" s="276" t="inlineStr">
        <is>
          <t>SaaS; Office Suite; Identity Provider</t>
        </is>
      </c>
      <c r="N283" s="276" t="inlineStr">
        <is>
          <t>https://attack.mitre.org/techniques/T1657/</t>
        </is>
      </c>
      <c r="O283" s="276" t="n"/>
      <c r="P283" s="277" t="n"/>
    </row>
    <row r="284">
      <c r="A284" s="275" t="inlineStr">
        <is>
          <t>Cybercriminal</t>
        </is>
      </c>
      <c r="B284" s="276" t="inlineStr">
        <is>
          <t>Sensitive-data compromise</t>
        </is>
      </c>
      <c r="C284" s="276" t="inlineStr">
        <is>
          <t>User endpoint and social engineering</t>
        </is>
      </c>
      <c r="D284" s="276" t="inlineStr">
        <is>
          <t>T1565</t>
        </is>
      </c>
      <c r="E284" s="276" t="inlineStr">
        <is>
          <t>Data Manipulation</t>
        </is>
      </c>
      <c r="F284" s="276" t="inlineStr">
        <is>
          <t>S5</t>
        </is>
      </c>
      <c r="G284" s="276" t="b">
        <v>1</v>
      </c>
      <c r="H284" s="276" t="b">
        <v>0</v>
      </c>
      <c r="I284" s="276" t="b">
        <v>0</v>
      </c>
      <c r="J284" s="276" t="n">
        <v>0.5</v>
      </c>
      <c r="K284" s="276" t="n">
        <v>0.2206064987182617</v>
      </c>
      <c r="L284" s="276" t="n">
        <v>0.2206064987182617</v>
      </c>
      <c r="M284" s="276" t="inlineStr">
        <is>
          <t>SaaS; Databases; Windows</t>
        </is>
      </c>
      <c r="N284" s="276" t="inlineStr">
        <is>
          <t>https://attack.mitre.org/techniques/T1565/</t>
        </is>
      </c>
      <c r="O284" s="276" t="n"/>
      <c r="P284" s="277" t="n"/>
    </row>
    <row r="285">
      <c r="A285" s="275" t="inlineStr">
        <is>
          <t>Cybercriminal</t>
        </is>
      </c>
      <c r="B285" s="276" t="inlineStr">
        <is>
          <t>Sensitive-data compromise</t>
        </is>
      </c>
      <c r="C285" s="276" t="inlineStr">
        <is>
          <t>Public-facing application exploitation</t>
        </is>
      </c>
      <c r="D285" s="276" t="inlineStr">
        <is>
          <t>T1190</t>
        </is>
      </c>
      <c r="E285" s="276" t="inlineStr">
        <is>
          <t>Exploit Public-Facing Application</t>
        </is>
      </c>
      <c r="F285" s="276" t="inlineStr">
        <is>
          <t>S1</t>
        </is>
      </c>
      <c r="G285" s="276" t="b">
        <v>1</v>
      </c>
      <c r="H285" s="276" t="b">
        <v>1</v>
      </c>
      <c r="I285" s="276" t="b">
        <v>1</v>
      </c>
      <c r="J285" s="276" t="n">
        <v>1</v>
      </c>
      <c r="K285" s="276" t="n">
        <v>0.2496630477905274</v>
      </c>
      <c r="L285" s="276" t="n">
        <v>0.2496630477905274</v>
      </c>
      <c r="M285" s="276" t="inlineStr">
        <is>
          <t>Network Devices; SaaS; IaaS</t>
        </is>
      </c>
      <c r="N285" s="276" t="inlineStr">
        <is>
          <t>https://attack.mitre.org/techniques/T1190/</t>
        </is>
      </c>
      <c r="O285" s="276" t="n"/>
      <c r="P285" s="277" t="n"/>
    </row>
    <row r="286">
      <c r="A286" s="275" t="inlineStr">
        <is>
          <t>Cybercriminal</t>
        </is>
      </c>
      <c r="B286" s="276" t="inlineStr">
        <is>
          <t>Sensitive-data compromise</t>
        </is>
      </c>
      <c r="C286" s="276" t="inlineStr">
        <is>
          <t>Public-facing application exploitation</t>
        </is>
      </c>
      <c r="D286" s="276" t="inlineStr">
        <is>
          <t>T1059</t>
        </is>
      </c>
      <c r="E286" s="276" t="inlineStr">
        <is>
          <t>Command and Scripting Interpreter</t>
        </is>
      </c>
      <c r="F286" s="276" t="inlineStr">
        <is>
          <t>S2</t>
        </is>
      </c>
      <c r="G286" s="276" t="b">
        <v>1</v>
      </c>
      <c r="H286" s="276" t="b">
        <v>1</v>
      </c>
      <c r="I286" s="276" t="b">
        <v>1</v>
      </c>
      <c r="J286" s="276" t="n">
        <v>0.8</v>
      </c>
      <c r="K286" s="276" t="n">
        <v>0.1875</v>
      </c>
      <c r="L286" s="276" t="n">
        <v>0.1875</v>
      </c>
      <c r="M286" s="276" t="inlineStr">
        <is>
          <t>Windows; macOS; Linux; IaaS</t>
        </is>
      </c>
      <c r="N286" s="276" t="inlineStr">
        <is>
          <t>https://attack.mitre.org/techniques/T1059/</t>
        </is>
      </c>
      <c r="O286" s="276" t="n"/>
      <c r="P286" s="277" t="n"/>
    </row>
    <row r="287">
      <c r="A287" s="275" t="inlineStr">
        <is>
          <t>Cybercriminal</t>
        </is>
      </c>
      <c r="B287" s="276" t="inlineStr">
        <is>
          <t>Sensitive-data compromise</t>
        </is>
      </c>
      <c r="C287" s="276" t="inlineStr">
        <is>
          <t>Public-facing application exploitation</t>
        </is>
      </c>
      <c r="D287" s="276" t="inlineStr">
        <is>
          <t>T1068</t>
        </is>
      </c>
      <c r="E287" s="276" t="inlineStr">
        <is>
          <t>Exploitation for Privilege Escalation</t>
        </is>
      </c>
      <c r="F287" s="276" t="inlineStr">
        <is>
          <t>S3</t>
        </is>
      </c>
      <c r="G287" s="276" t="b">
        <v>1</v>
      </c>
      <c r="H287" s="276" t="b">
        <v>1</v>
      </c>
      <c r="I287" s="276" t="b">
        <v>1</v>
      </c>
      <c r="J287" s="276" t="n">
        <v>0.7</v>
      </c>
      <c r="K287" s="276" t="n">
        <v>0.2094165115356445</v>
      </c>
      <c r="L287" s="276" t="n">
        <v>0.2094165115356445</v>
      </c>
      <c r="M287" s="276" t="inlineStr">
        <is>
          <t>Windows; macOS; Linux</t>
        </is>
      </c>
      <c r="N287" s="276" t="inlineStr">
        <is>
          <t>https://attack.mitre.org/techniques/T1068/</t>
        </is>
      </c>
      <c r="O287" s="276" t="n"/>
      <c r="P287" s="277" t="n"/>
    </row>
    <row r="288">
      <c r="A288" s="275" t="inlineStr">
        <is>
          <t>Cybercriminal</t>
        </is>
      </c>
      <c r="B288" s="276" t="inlineStr">
        <is>
          <t>Sensitive-data compromise</t>
        </is>
      </c>
      <c r="C288" s="276" t="inlineStr">
        <is>
          <t>Public-facing application exploitation</t>
        </is>
      </c>
      <c r="D288" s="276" t="inlineStr">
        <is>
          <t>T1003</t>
        </is>
      </c>
      <c r="E288" s="276" t="inlineStr">
        <is>
          <t>OS Credential Dumping</t>
        </is>
      </c>
      <c r="F288" s="276" t="inlineStr">
        <is>
          <t>S3</t>
        </is>
      </c>
      <c r="G288" s="276" t="b">
        <v>1</v>
      </c>
      <c r="H288" s="276" t="b">
        <v>1</v>
      </c>
      <c r="I288" s="276" t="b">
        <v>1</v>
      </c>
      <c r="J288" s="276" t="n">
        <v>0.6</v>
      </c>
      <c r="K288" s="276" t="n">
        <v>0.232294921875</v>
      </c>
      <c r="L288" s="276" t="n">
        <v>0.232294921875</v>
      </c>
      <c r="M288" s="276" t="inlineStr">
        <is>
          <t>Windows; Linux; macOS</t>
        </is>
      </c>
      <c r="N288" s="276" t="inlineStr">
        <is>
          <t>https://attack.mitre.org/techniques/T1003/</t>
        </is>
      </c>
      <c r="O288" s="276" t="n"/>
      <c r="P288" s="277" t="n"/>
    </row>
    <row r="289">
      <c r="A289" s="275" t="inlineStr">
        <is>
          <t>Cybercriminal</t>
        </is>
      </c>
      <c r="B289" s="276" t="inlineStr">
        <is>
          <t>Sensitive-data compromise</t>
        </is>
      </c>
      <c r="C289" s="276" t="inlineStr">
        <is>
          <t>Public-facing application exploitation</t>
        </is>
      </c>
      <c r="D289" s="276" t="inlineStr">
        <is>
          <t>T1046</t>
        </is>
      </c>
      <c r="E289" s="276" t="inlineStr">
        <is>
          <t>Network Service Discovery</t>
        </is>
      </c>
      <c r="F289" s="276" t="inlineStr">
        <is>
          <t>S4</t>
        </is>
      </c>
      <c r="G289" s="276" t="b">
        <v>1</v>
      </c>
      <c r="H289" s="276" t="b">
        <v>1</v>
      </c>
      <c r="I289" s="276" t="b">
        <v>1</v>
      </c>
      <c r="J289" s="276" t="n">
        <v>0.7</v>
      </c>
      <c r="K289" s="276" t="n">
        <v>0.16875</v>
      </c>
      <c r="L289" s="276" t="n">
        <v>0.16875</v>
      </c>
      <c r="M289" s="276" t="inlineStr">
        <is>
          <t>Network Devices; Windows; Linux</t>
        </is>
      </c>
      <c r="N289" s="276" t="inlineStr">
        <is>
          <t>https://attack.mitre.org/techniques/T1046/</t>
        </is>
      </c>
      <c r="O289" s="276" t="n"/>
      <c r="P289" s="277" t="n"/>
    </row>
    <row r="290">
      <c r="A290" s="275" t="inlineStr">
        <is>
          <t>Cybercriminal</t>
        </is>
      </c>
      <c r="B290" s="276" t="inlineStr">
        <is>
          <t>Sensitive-data compromise</t>
        </is>
      </c>
      <c r="C290" s="276" t="inlineStr">
        <is>
          <t>Public-facing application exploitation</t>
        </is>
      </c>
      <c r="D290" s="276" t="inlineStr">
        <is>
          <t>T1210</t>
        </is>
      </c>
      <c r="E290" s="276" t="inlineStr">
        <is>
          <t>Exploitation of Remote Services</t>
        </is>
      </c>
      <c r="F290" s="276" t="inlineStr">
        <is>
          <t>S4</t>
        </is>
      </c>
      <c r="G290" s="276" t="b">
        <v>1</v>
      </c>
      <c r="H290" s="276" t="b">
        <v>1</v>
      </c>
      <c r="I290" s="276" t="b">
        <v>1</v>
      </c>
      <c r="J290" s="276" t="n">
        <v>0.9</v>
      </c>
      <c r="K290" s="276" t="n">
        <v>0.2103495368957519</v>
      </c>
      <c r="L290" s="276" t="n">
        <v>0.2103495368957519</v>
      </c>
      <c r="M290" s="276" t="inlineStr">
        <is>
          <t>Windows; Linux; Network Devices</t>
        </is>
      </c>
      <c r="N290" s="276" t="inlineStr">
        <is>
          <t>https://attack.mitre.org/techniques/T1210/</t>
        </is>
      </c>
      <c r="O290" s="276" t="n"/>
      <c r="P290" s="277" t="n"/>
    </row>
    <row r="291">
      <c r="A291" s="275" t="inlineStr">
        <is>
          <t>Cybercriminal</t>
        </is>
      </c>
      <c r="B291" s="276" t="inlineStr">
        <is>
          <t>Sensitive-data compromise</t>
        </is>
      </c>
      <c r="C291" s="276" t="inlineStr">
        <is>
          <t>Public-facing application exploitation</t>
        </is>
      </c>
      <c r="D291" s="276" t="inlineStr">
        <is>
          <t>T1021</t>
        </is>
      </c>
      <c r="E291" s="276" t="inlineStr">
        <is>
          <t>Remote Services</t>
        </is>
      </c>
      <c r="F291" s="276" t="inlineStr">
        <is>
          <t>S4</t>
        </is>
      </c>
      <c r="G291" s="276" t="b">
        <v>1</v>
      </c>
      <c r="H291" s="276" t="b">
        <v>1</v>
      </c>
      <c r="I291" s="276" t="b">
        <v>1</v>
      </c>
      <c r="J291" s="276" t="n">
        <v>0.7</v>
      </c>
      <c r="K291" s="276" t="n">
        <v>0.1875</v>
      </c>
      <c r="L291" s="276" t="n">
        <v>0.1875</v>
      </c>
      <c r="M291" s="276" t="inlineStr">
        <is>
          <t>Windows; Linux; Network Devices</t>
        </is>
      </c>
      <c r="N291" s="276" t="inlineStr">
        <is>
          <t>https://attack.mitre.org/techniques/T1021/</t>
        </is>
      </c>
      <c r="O291" s="276" t="n"/>
      <c r="P291" s="277" t="n"/>
    </row>
    <row r="292">
      <c r="A292" s="275" t="inlineStr">
        <is>
          <t>Cybercriminal</t>
        </is>
      </c>
      <c r="B292" s="276" t="inlineStr">
        <is>
          <t>Sensitive-data compromise</t>
        </is>
      </c>
      <c r="C292" s="276" t="inlineStr">
        <is>
          <t>Public-facing application exploitation</t>
        </is>
      </c>
      <c r="D292" s="276" t="inlineStr">
        <is>
          <t>T1486</t>
        </is>
      </c>
      <c r="E292" s="276" t="inlineStr">
        <is>
          <t>Data Encrypted for Impact</t>
        </is>
      </c>
      <c r="F292" s="276" t="inlineStr">
        <is>
          <t>S5</t>
        </is>
      </c>
      <c r="G292" s="276" t="b">
        <v>1</v>
      </c>
      <c r="H292" s="276" t="b">
        <v>0</v>
      </c>
      <c r="I292" s="276" t="b">
        <v>0</v>
      </c>
      <c r="J292" s="276" t="n">
        <v>0.6</v>
      </c>
      <c r="K292" s="276" t="n">
        <v>0.16875</v>
      </c>
      <c r="L292" s="276" t="n">
        <v>0.16875</v>
      </c>
      <c r="M292" s="276" t="inlineStr">
        <is>
          <t>Windows; Linux; IaaS</t>
        </is>
      </c>
      <c r="N292" s="276" t="inlineStr">
        <is>
          <t>https://attack.mitre.org/techniques/T1486/</t>
        </is>
      </c>
      <c r="O292" s="276" t="n"/>
      <c r="P292" s="277" t="n"/>
    </row>
    <row r="293">
      <c r="A293" s="275" t="inlineStr">
        <is>
          <t>Cybercriminal</t>
        </is>
      </c>
      <c r="B293" s="276" t="inlineStr">
        <is>
          <t>Sensitive-data compromise</t>
        </is>
      </c>
      <c r="C293" s="276" t="inlineStr">
        <is>
          <t>Public-facing application exploitation</t>
        </is>
      </c>
      <c r="D293" s="276" t="inlineStr">
        <is>
          <t>T1490</t>
        </is>
      </c>
      <c r="E293" s="276" t="inlineStr">
        <is>
          <t>Inhibit System Recovery</t>
        </is>
      </c>
      <c r="F293" s="276" t="inlineStr">
        <is>
          <t>S5</t>
        </is>
      </c>
      <c r="G293" s="276" t="b">
        <v>1</v>
      </c>
      <c r="H293" s="276" t="b">
        <v>0</v>
      </c>
      <c r="I293" s="276" t="b">
        <v>0</v>
      </c>
      <c r="J293" s="276" t="n">
        <v>0.5</v>
      </c>
      <c r="K293" s="276" t="n">
        <v>0</v>
      </c>
      <c r="L293" s="276" t="n">
        <v>0</v>
      </c>
      <c r="M293" s="276" t="inlineStr">
        <is>
          <t>Windows; Linux; IaaS</t>
        </is>
      </c>
      <c r="N293" s="276" t="inlineStr">
        <is>
          <t>https://attack.mitre.org/techniques/T1490/</t>
        </is>
      </c>
      <c r="O293" s="276" t="n"/>
      <c r="P293" s="277" t="n"/>
    </row>
    <row r="294">
      <c r="A294" s="275" t="inlineStr">
        <is>
          <t>Cybercriminal</t>
        </is>
      </c>
      <c r="B294" s="276" t="inlineStr">
        <is>
          <t>Sensitive-data compromise</t>
        </is>
      </c>
      <c r="C294" s="276" t="inlineStr">
        <is>
          <t>Public-facing application exploitation</t>
        </is>
      </c>
      <c r="D294" s="276" t="inlineStr">
        <is>
          <t>T1567</t>
        </is>
      </c>
      <c r="E294" s="276" t="inlineStr">
        <is>
          <t>Exfiltration Over Web Service</t>
        </is>
      </c>
      <c r="F294" s="276" t="inlineStr">
        <is>
          <t>S5</t>
        </is>
      </c>
      <c r="G294" s="276" t="b">
        <v>1</v>
      </c>
      <c r="H294" s="276" t="b">
        <v>1</v>
      </c>
      <c r="I294" s="276" t="b">
        <v>1</v>
      </c>
      <c r="J294" s="276" t="n">
        <v>0.6</v>
      </c>
      <c r="K294" s="276" t="n">
        <v>0.20625</v>
      </c>
      <c r="L294" s="276" t="n">
        <v>0.20625</v>
      </c>
      <c r="M294" s="276" t="inlineStr">
        <is>
          <t>SaaS; Office Suite</t>
        </is>
      </c>
      <c r="N294" s="276" t="inlineStr">
        <is>
          <t>https://attack.mitre.org/techniques/T1567/</t>
        </is>
      </c>
      <c r="O294" s="276" t="n"/>
      <c r="P294" s="277" t="n"/>
    </row>
    <row r="295">
      <c r="A295" s="275" t="inlineStr">
        <is>
          <t>Cybercriminal</t>
        </is>
      </c>
      <c r="B295" s="276" t="inlineStr">
        <is>
          <t>Sensitive-data compromise</t>
        </is>
      </c>
      <c r="C295" s="276" t="inlineStr">
        <is>
          <t>Public-facing application exploitation</t>
        </is>
      </c>
      <c r="D295" s="276" t="inlineStr">
        <is>
          <t>T1565</t>
        </is>
      </c>
      <c r="E295" s="276" t="inlineStr">
        <is>
          <t>Data Manipulation</t>
        </is>
      </c>
      <c r="F295" s="276" t="inlineStr">
        <is>
          <t>S5</t>
        </is>
      </c>
      <c r="G295" s="276" t="b">
        <v>1</v>
      </c>
      <c r="H295" s="276" t="b">
        <v>0</v>
      </c>
      <c r="I295" s="276" t="b">
        <v>0</v>
      </c>
      <c r="J295" s="276" t="n">
        <v>0.6</v>
      </c>
      <c r="K295" s="276" t="n">
        <v>0.2206064987182617</v>
      </c>
      <c r="L295" s="276" t="n">
        <v>0.2206064987182617</v>
      </c>
      <c r="M295" s="276" t="inlineStr">
        <is>
          <t>SaaS; Databases; Windows</t>
        </is>
      </c>
      <c r="N295" s="276" t="inlineStr">
        <is>
          <t>https://attack.mitre.org/techniques/T1565/</t>
        </is>
      </c>
      <c r="O295" s="276" t="n"/>
      <c r="P295" s="277" t="n"/>
    </row>
    <row r="296">
      <c r="A296" s="275" t="inlineStr">
        <is>
          <t>Cybercriminal</t>
        </is>
      </c>
      <c r="B296" s="276" t="inlineStr">
        <is>
          <t>Sensitive-data compromise</t>
        </is>
      </c>
      <c r="C296" s="276" t="inlineStr">
        <is>
          <t>Public-facing application exploitation</t>
        </is>
      </c>
      <c r="D296" s="276" t="inlineStr">
        <is>
          <t>T1657</t>
        </is>
      </c>
      <c r="E296" s="276" t="inlineStr">
        <is>
          <t>Financial Theft</t>
        </is>
      </c>
      <c r="F296" s="276" t="inlineStr">
        <is>
          <t>S5</t>
        </is>
      </c>
      <c r="G296" s="276" t="b">
        <v>1</v>
      </c>
      <c r="H296" s="276" t="b">
        <v>0</v>
      </c>
      <c r="I296" s="276" t="b">
        <v>0</v>
      </c>
      <c r="J296" s="276" t="n">
        <v>0.4</v>
      </c>
      <c r="K296" s="276" t="n">
        <v>0.275654296875</v>
      </c>
      <c r="L296" s="276" t="n">
        <v>0.275654296875</v>
      </c>
      <c r="M296" s="276" t="inlineStr">
        <is>
          <t>SaaS; Office Suite; Identity Provider</t>
        </is>
      </c>
      <c r="N296" s="276" t="inlineStr">
        <is>
          <t>https://attack.mitre.org/techniques/T1657/</t>
        </is>
      </c>
      <c r="O296" s="276" t="n"/>
      <c r="P296" s="277" t="n"/>
    </row>
    <row r="297">
      <c r="A297" s="275" t="inlineStr">
        <is>
          <t>Cybercriminal</t>
        </is>
      </c>
      <c r="B297" s="276" t="inlineStr">
        <is>
          <t>Sensitive-data compromise</t>
        </is>
      </c>
      <c r="C297" s="276" t="inlineStr">
        <is>
          <t>Third-party or software supply chain</t>
        </is>
      </c>
      <c r="D297" s="276" t="inlineStr">
        <is>
          <t>T1199</t>
        </is>
      </c>
      <c r="E297" s="276" t="inlineStr">
        <is>
          <t>Trusted Relationship</t>
        </is>
      </c>
      <c r="F297" s="276" t="inlineStr">
        <is>
          <t>S3</t>
        </is>
      </c>
      <c r="G297" s="276" t="b">
        <v>1</v>
      </c>
      <c r="H297" s="276" t="b">
        <v>1</v>
      </c>
      <c r="I297" s="276" t="b">
        <v>1</v>
      </c>
      <c r="J297" s="276" t="n">
        <v>1</v>
      </c>
      <c r="K297" s="276" t="n">
        <v>0.20625</v>
      </c>
      <c r="L297" s="276" t="n">
        <v>0.20625</v>
      </c>
      <c r="M297" s="276" t="inlineStr">
        <is>
          <t>SaaS; IaaS; Network Devices</t>
        </is>
      </c>
      <c r="N297" s="276" t="inlineStr">
        <is>
          <t>https://attack.mitre.org/techniques/T1199/</t>
        </is>
      </c>
      <c r="O297" s="276" t="n"/>
      <c r="P297" s="277" t="n"/>
    </row>
    <row r="298">
      <c r="A298" s="275" t="inlineStr">
        <is>
          <t>Cybercriminal</t>
        </is>
      </c>
      <c r="B298" s="276" t="inlineStr">
        <is>
          <t>Sensitive-data compromise</t>
        </is>
      </c>
      <c r="C298" s="276" t="inlineStr">
        <is>
          <t>Third-party or software supply chain</t>
        </is>
      </c>
      <c r="D298" s="276" t="inlineStr">
        <is>
          <t>T1098</t>
        </is>
      </c>
      <c r="E298" s="276" t="inlineStr">
        <is>
          <t>Account Manipulation</t>
        </is>
      </c>
      <c r="F298" s="276" t="inlineStr">
        <is>
          <t>S3</t>
        </is>
      </c>
      <c r="G298" s="276" t="b">
        <v>1</v>
      </c>
      <c r="H298" s="276" t="b">
        <v>1</v>
      </c>
      <c r="I298" s="276" t="b">
        <v>1</v>
      </c>
      <c r="J298" s="276" t="n">
        <v>0.6</v>
      </c>
      <c r="K298" s="276" t="n">
        <v>0.2477547340393066</v>
      </c>
      <c r="L298" s="276" t="n">
        <v>0.2477547340393066</v>
      </c>
      <c r="M298" s="276" t="inlineStr">
        <is>
          <t>Identity Provider; SaaS; Windows</t>
        </is>
      </c>
      <c r="N298" s="276" t="inlineStr">
        <is>
          <t>https://attack.mitre.org/techniques/T1098/</t>
        </is>
      </c>
      <c r="O298" s="276" t="n"/>
      <c r="P298" s="277" t="n"/>
    </row>
    <row r="299">
      <c r="A299" s="275" t="inlineStr">
        <is>
          <t>Cybercriminal</t>
        </is>
      </c>
      <c r="B299" s="276" t="inlineStr">
        <is>
          <t>Sensitive-data compromise</t>
        </is>
      </c>
      <c r="C299" s="276" t="inlineStr">
        <is>
          <t>Third-party or software supply chain</t>
        </is>
      </c>
      <c r="D299" s="276" t="inlineStr">
        <is>
          <t>T1087</t>
        </is>
      </c>
      <c r="E299" s="276" t="inlineStr">
        <is>
          <t>Account Discovery</t>
        </is>
      </c>
      <c r="F299" s="276" t="inlineStr">
        <is>
          <t>S4</t>
        </is>
      </c>
      <c r="G299" s="276" t="b">
        <v>1</v>
      </c>
      <c r="H299" s="276" t="b">
        <v>1</v>
      </c>
      <c r="I299" s="276" t="b">
        <v>1</v>
      </c>
      <c r="J299" s="276" t="n">
        <v>0.5</v>
      </c>
      <c r="K299" s="276" t="n">
        <v>0</v>
      </c>
      <c r="L299" s="276" t="n">
        <v>0</v>
      </c>
      <c r="M299" s="276" t="inlineStr">
        <is>
          <t>Identity Provider; SaaS; Windows</t>
        </is>
      </c>
      <c r="N299" s="276" t="inlineStr">
        <is>
          <t>https://attack.mitre.org/techniques/T1087/</t>
        </is>
      </c>
      <c r="O299" s="276" t="n"/>
      <c r="P299" s="277" t="n"/>
    </row>
    <row r="300">
      <c r="A300" s="275" t="inlineStr">
        <is>
          <t>Cybercriminal</t>
        </is>
      </c>
      <c r="B300" s="276" t="inlineStr">
        <is>
          <t>Sensitive-data compromise</t>
        </is>
      </c>
      <c r="C300" s="276" t="inlineStr">
        <is>
          <t>Third-party or software supply chain</t>
        </is>
      </c>
      <c r="D300" s="276" t="inlineStr">
        <is>
          <t>T1213</t>
        </is>
      </c>
      <c r="E300" s="276" t="inlineStr">
        <is>
          <t>Data from Information Repositories</t>
        </is>
      </c>
      <c r="F300" s="276" t="inlineStr">
        <is>
          <t>S4</t>
        </is>
      </c>
      <c r="G300" s="276" t="b">
        <v>1</v>
      </c>
      <c r="H300" s="276" t="b">
        <v>1</v>
      </c>
      <c r="I300" s="276" t="b">
        <v>1</v>
      </c>
      <c r="J300" s="276" t="n">
        <v>0.7</v>
      </c>
      <c r="K300" s="276" t="n">
        <v>0.177890625</v>
      </c>
      <c r="L300" s="276" t="n">
        <v>0.177890625</v>
      </c>
      <c r="M300" s="276" t="inlineStr">
        <is>
          <t>SaaS; Office Suite; Windows</t>
        </is>
      </c>
      <c r="N300" s="276" t="inlineStr">
        <is>
          <t>https://attack.mitre.org/techniques/T1213/</t>
        </is>
      </c>
      <c r="O300" s="276" t="n"/>
      <c r="P300" s="277" t="n"/>
    </row>
    <row r="301">
      <c r="A301" s="275" t="inlineStr">
        <is>
          <t>Cybercriminal</t>
        </is>
      </c>
      <c r="B301" s="276" t="inlineStr">
        <is>
          <t>Sensitive-data compromise</t>
        </is>
      </c>
      <c r="C301" s="276" t="inlineStr">
        <is>
          <t>Third-party or software supply chain</t>
        </is>
      </c>
      <c r="D301" s="276" t="inlineStr">
        <is>
          <t>T1567</t>
        </is>
      </c>
      <c r="E301" s="276" t="inlineStr">
        <is>
          <t>Exfiltration Over Web Service</t>
        </is>
      </c>
      <c r="F301" s="276" t="inlineStr">
        <is>
          <t>S5</t>
        </is>
      </c>
      <c r="G301" s="276" t="b">
        <v>1</v>
      </c>
      <c r="H301" s="276" t="b">
        <v>1</v>
      </c>
      <c r="I301" s="276" t="b">
        <v>1</v>
      </c>
      <c r="J301" s="276" t="n">
        <v>0.6</v>
      </c>
      <c r="K301" s="276" t="n">
        <v>0.20625</v>
      </c>
      <c r="L301" s="276" t="n">
        <v>0.20625</v>
      </c>
      <c r="M301" s="276" t="inlineStr">
        <is>
          <t>SaaS; Office Suite</t>
        </is>
      </c>
      <c r="N301" s="276" t="inlineStr">
        <is>
          <t>https://attack.mitre.org/techniques/T1567/</t>
        </is>
      </c>
      <c r="O301" s="276" t="n"/>
      <c r="P301" s="277" t="n"/>
    </row>
    <row r="302">
      <c r="A302" s="275" t="inlineStr">
        <is>
          <t>Cybercriminal</t>
        </is>
      </c>
      <c r="B302" s="276" t="inlineStr">
        <is>
          <t>Sensitive-data compromise</t>
        </is>
      </c>
      <c r="C302" s="276" t="inlineStr">
        <is>
          <t>Third-party or software supply chain</t>
        </is>
      </c>
      <c r="D302" s="276" t="inlineStr">
        <is>
          <t>T1486</t>
        </is>
      </c>
      <c r="E302" s="276" t="inlineStr">
        <is>
          <t>Data Encrypted for Impact</t>
        </is>
      </c>
      <c r="F302" s="276" t="inlineStr">
        <is>
          <t>S5</t>
        </is>
      </c>
      <c r="G302" s="276" t="b">
        <v>1</v>
      </c>
      <c r="H302" s="276" t="b">
        <v>0</v>
      </c>
      <c r="I302" s="276" t="b">
        <v>0</v>
      </c>
      <c r="J302" s="276" t="n">
        <v>0.5</v>
      </c>
      <c r="K302" s="276" t="n">
        <v>0.16875</v>
      </c>
      <c r="L302" s="276" t="n">
        <v>0.16875</v>
      </c>
      <c r="M302" s="276" t="inlineStr">
        <is>
          <t>Windows; Linux; IaaS</t>
        </is>
      </c>
      <c r="N302" s="276" t="inlineStr">
        <is>
          <t>https://attack.mitre.org/techniques/T1486/</t>
        </is>
      </c>
      <c r="O302" s="276" t="n"/>
      <c r="P302" s="277" t="n"/>
    </row>
    <row r="303">
      <c r="A303" s="275" t="inlineStr">
        <is>
          <t>Cybercriminal</t>
        </is>
      </c>
      <c r="B303" s="276" t="inlineStr">
        <is>
          <t>Sensitive-data compromise</t>
        </is>
      </c>
      <c r="C303" s="276" t="inlineStr">
        <is>
          <t>Third-party or software supply chain</t>
        </is>
      </c>
      <c r="D303" s="276" t="inlineStr">
        <is>
          <t>T1565</t>
        </is>
      </c>
      <c r="E303" s="276" t="inlineStr">
        <is>
          <t>Data Manipulation</t>
        </is>
      </c>
      <c r="F303" s="276" t="inlineStr">
        <is>
          <t>S5</t>
        </is>
      </c>
      <c r="G303" s="276" t="b">
        <v>1</v>
      </c>
      <c r="H303" s="276" t="b">
        <v>0</v>
      </c>
      <c r="I303" s="276" t="b">
        <v>0</v>
      </c>
      <c r="J303" s="276" t="n">
        <v>0.6</v>
      </c>
      <c r="K303" s="276" t="n">
        <v>0.2206064987182617</v>
      </c>
      <c r="L303" s="276" t="n">
        <v>0.2206064987182617</v>
      </c>
      <c r="M303" s="276" t="inlineStr">
        <is>
          <t>SaaS; Databases; Windows</t>
        </is>
      </c>
      <c r="N303" s="276" t="inlineStr">
        <is>
          <t>https://attack.mitre.org/techniques/T1565/</t>
        </is>
      </c>
      <c r="O303" s="276" t="n"/>
      <c r="P303" s="277" t="n"/>
    </row>
    <row r="304">
      <c r="A304" s="275" t="inlineStr">
        <is>
          <t>Cybercriminal</t>
        </is>
      </c>
      <c r="B304" s="276" t="inlineStr">
        <is>
          <t>Sensitive-data compromise</t>
        </is>
      </c>
      <c r="C304" s="276" t="inlineStr">
        <is>
          <t>Third-party or software supply chain</t>
        </is>
      </c>
      <c r="D304" s="276" t="inlineStr">
        <is>
          <t>T1657</t>
        </is>
      </c>
      <c r="E304" s="276" t="inlineStr">
        <is>
          <t>Financial Theft</t>
        </is>
      </c>
      <c r="F304" s="276" t="inlineStr">
        <is>
          <t>S5</t>
        </is>
      </c>
      <c r="G304" s="276" t="b">
        <v>1</v>
      </c>
      <c r="H304" s="276" t="b">
        <v>0</v>
      </c>
      <c r="I304" s="276" t="b">
        <v>0</v>
      </c>
      <c r="J304" s="276" t="n">
        <v>0.5</v>
      </c>
      <c r="K304" s="276" t="n">
        <v>0.275654296875</v>
      </c>
      <c r="L304" s="276" t="n">
        <v>0.275654296875</v>
      </c>
      <c r="M304" s="276" t="inlineStr">
        <is>
          <t>SaaS; Office Suite; Identity Provider</t>
        </is>
      </c>
      <c r="N304" s="276" t="inlineStr">
        <is>
          <t>https://attack.mitre.org/techniques/T1657/</t>
        </is>
      </c>
      <c r="O304" s="276" t="n"/>
      <c r="P304" s="277" t="n"/>
    </row>
    <row r="305">
      <c r="A305" s="275" t="inlineStr">
        <is>
          <t>Cybercriminal</t>
        </is>
      </c>
      <c r="B305" s="276" t="inlineStr">
        <is>
          <t>Sensitive-data compromise</t>
        </is>
      </c>
      <c r="C305" s="276" t="inlineStr">
        <is>
          <t>Insider or trusted access</t>
        </is>
      </c>
      <c r="D305" s="276" t="inlineStr">
        <is>
          <t>T1098</t>
        </is>
      </c>
      <c r="E305" s="276" t="inlineStr">
        <is>
          <t>Account Manipulation</t>
        </is>
      </c>
      <c r="F305" s="276" t="inlineStr">
        <is>
          <t>S3</t>
        </is>
      </c>
      <c r="G305" s="276" t="b">
        <v>1</v>
      </c>
      <c r="H305" s="276" t="b">
        <v>1</v>
      </c>
      <c r="I305" s="276" t="b">
        <v>1</v>
      </c>
      <c r="J305" s="276" t="n">
        <v>0.8</v>
      </c>
      <c r="K305" s="276" t="n">
        <v>0.2477547340393066</v>
      </c>
      <c r="L305" s="276" t="n">
        <v>0.2477547340393066</v>
      </c>
      <c r="M305" s="276" t="inlineStr">
        <is>
          <t>Identity Provider; SaaS; Windows</t>
        </is>
      </c>
      <c r="N305" s="276" t="inlineStr">
        <is>
          <t>https://attack.mitre.org/techniques/T1098/</t>
        </is>
      </c>
      <c r="O305" s="276" t="n"/>
      <c r="P305" s="277" t="n"/>
    </row>
    <row r="306">
      <c r="A306" s="275" t="inlineStr">
        <is>
          <t>Cybercriminal</t>
        </is>
      </c>
      <c r="B306" s="276" t="inlineStr">
        <is>
          <t>Sensitive-data compromise</t>
        </is>
      </c>
      <c r="C306" s="276" t="inlineStr">
        <is>
          <t>Insider or trusted access</t>
        </is>
      </c>
      <c r="D306" s="276" t="inlineStr">
        <is>
          <t>T1087</t>
        </is>
      </c>
      <c r="E306" s="276" t="inlineStr">
        <is>
          <t>Account Discovery</t>
        </is>
      </c>
      <c r="F306" s="276" t="inlineStr">
        <is>
          <t>S4</t>
        </is>
      </c>
      <c r="G306" s="276" t="b">
        <v>1</v>
      </c>
      <c r="H306" s="276" t="b">
        <v>1</v>
      </c>
      <c r="I306" s="276" t="b">
        <v>1</v>
      </c>
      <c r="J306" s="276" t="n">
        <v>0.6</v>
      </c>
      <c r="K306" s="276" t="n">
        <v>0</v>
      </c>
      <c r="L306" s="276" t="n">
        <v>0</v>
      </c>
      <c r="M306" s="276" t="inlineStr">
        <is>
          <t>Identity Provider; SaaS; Windows</t>
        </is>
      </c>
      <c r="N306" s="276" t="inlineStr">
        <is>
          <t>https://attack.mitre.org/techniques/T1087/</t>
        </is>
      </c>
      <c r="O306" s="276" t="n"/>
      <c r="P306" s="277" t="n"/>
    </row>
    <row r="307">
      <c r="A307" s="275" t="inlineStr">
        <is>
          <t>Cybercriminal</t>
        </is>
      </c>
      <c r="B307" s="276" t="inlineStr">
        <is>
          <t>Sensitive-data compromise</t>
        </is>
      </c>
      <c r="C307" s="276" t="inlineStr">
        <is>
          <t>Insider or trusted access</t>
        </is>
      </c>
      <c r="D307" s="276" t="inlineStr">
        <is>
          <t>T1213</t>
        </is>
      </c>
      <c r="E307" s="276" t="inlineStr">
        <is>
          <t>Data from Information Repositories</t>
        </is>
      </c>
      <c r="F307" s="276" t="inlineStr">
        <is>
          <t>S4</t>
        </is>
      </c>
      <c r="G307" s="276" t="b">
        <v>1</v>
      </c>
      <c r="H307" s="276" t="b">
        <v>1</v>
      </c>
      <c r="I307" s="276" t="b">
        <v>1</v>
      </c>
      <c r="J307" s="276" t="n">
        <v>0.9</v>
      </c>
      <c r="K307" s="276" t="n">
        <v>0.177890625</v>
      </c>
      <c r="L307" s="276" t="n">
        <v>0.177890625</v>
      </c>
      <c r="M307" s="276" t="inlineStr">
        <is>
          <t>SaaS; Office Suite; Windows</t>
        </is>
      </c>
      <c r="N307" s="276" t="inlineStr">
        <is>
          <t>https://attack.mitre.org/techniques/T1213/</t>
        </is>
      </c>
      <c r="O307" s="276" t="n"/>
      <c r="P307" s="277" t="n"/>
    </row>
    <row r="308">
      <c r="A308" s="275" t="inlineStr">
        <is>
          <t>Cybercriminal</t>
        </is>
      </c>
      <c r="B308" s="276" t="inlineStr">
        <is>
          <t>Sensitive-data compromise</t>
        </is>
      </c>
      <c r="C308" s="276" t="inlineStr">
        <is>
          <t>Insider or trusted access</t>
        </is>
      </c>
      <c r="D308" s="276" t="inlineStr">
        <is>
          <t>T1567</t>
        </is>
      </c>
      <c r="E308" s="276" t="inlineStr">
        <is>
          <t>Exfiltration Over Web Service</t>
        </is>
      </c>
      <c r="F308" s="276" t="inlineStr">
        <is>
          <t>S5</t>
        </is>
      </c>
      <c r="G308" s="276" t="b">
        <v>1</v>
      </c>
      <c r="H308" s="276" t="b">
        <v>1</v>
      </c>
      <c r="I308" s="276" t="b">
        <v>1</v>
      </c>
      <c r="J308" s="276" t="n">
        <v>0.8</v>
      </c>
      <c r="K308" s="276" t="n">
        <v>0.20625</v>
      </c>
      <c r="L308" s="276" t="n">
        <v>0.20625</v>
      </c>
      <c r="M308" s="276" t="inlineStr">
        <is>
          <t>SaaS; Office Suite</t>
        </is>
      </c>
      <c r="N308" s="276" t="inlineStr">
        <is>
          <t>https://attack.mitre.org/techniques/T1567/</t>
        </is>
      </c>
      <c r="O308" s="276" t="n"/>
      <c r="P308" s="277" t="n"/>
    </row>
    <row r="309">
      <c r="A309" s="275" t="inlineStr">
        <is>
          <t>Cybercriminal</t>
        </is>
      </c>
      <c r="B309" s="276" t="inlineStr">
        <is>
          <t>Sensitive-data compromise</t>
        </is>
      </c>
      <c r="C309" s="276" t="inlineStr">
        <is>
          <t>Insider or trusted access</t>
        </is>
      </c>
      <c r="D309" s="276" t="inlineStr">
        <is>
          <t>T1565</t>
        </is>
      </c>
      <c r="E309" s="276" t="inlineStr">
        <is>
          <t>Data Manipulation</t>
        </is>
      </c>
      <c r="F309" s="276" t="inlineStr">
        <is>
          <t>S5</t>
        </is>
      </c>
      <c r="G309" s="276" t="b">
        <v>1</v>
      </c>
      <c r="H309" s="276" t="b">
        <v>0</v>
      </c>
      <c r="I309" s="276" t="b">
        <v>0</v>
      </c>
      <c r="J309" s="276" t="n">
        <v>0.9</v>
      </c>
      <c r="K309" s="276" t="n">
        <v>0.2206064987182617</v>
      </c>
      <c r="L309" s="276" t="n">
        <v>0.2206064987182617</v>
      </c>
      <c r="M309" s="276" t="inlineStr">
        <is>
          <t>SaaS; Databases; Windows</t>
        </is>
      </c>
      <c r="N309" s="276" t="inlineStr">
        <is>
          <t>https://attack.mitre.org/techniques/T1565/</t>
        </is>
      </c>
      <c r="O309" s="276" t="n"/>
      <c r="P309" s="277" t="n"/>
    </row>
    <row r="310">
      <c r="A310" s="275" t="inlineStr">
        <is>
          <t>Cybercriminal</t>
        </is>
      </c>
      <c r="B310" s="276" t="inlineStr">
        <is>
          <t>Sensitive-data compromise</t>
        </is>
      </c>
      <c r="C310" s="276" t="inlineStr">
        <is>
          <t>Insider or trusted access</t>
        </is>
      </c>
      <c r="D310" s="276" t="inlineStr">
        <is>
          <t>T1657</t>
        </is>
      </c>
      <c r="E310" s="276" t="inlineStr">
        <is>
          <t>Financial Theft</t>
        </is>
      </c>
      <c r="F310" s="276" t="inlineStr">
        <is>
          <t>S5</t>
        </is>
      </c>
      <c r="G310" s="276" t="b">
        <v>1</v>
      </c>
      <c r="H310" s="276" t="b">
        <v>0</v>
      </c>
      <c r="I310" s="276" t="b">
        <v>0</v>
      </c>
      <c r="J310" s="276" t="n">
        <v>0.9</v>
      </c>
      <c r="K310" s="276" t="n">
        <v>0.275654296875</v>
      </c>
      <c r="L310" s="276" t="n">
        <v>0.275654296875</v>
      </c>
      <c r="M310" s="276" t="inlineStr">
        <is>
          <t>SaaS; Office Suite; Identity Provider</t>
        </is>
      </c>
      <c r="N310" s="276" t="inlineStr">
        <is>
          <t>https://attack.mitre.org/techniques/T1657/</t>
        </is>
      </c>
      <c r="O310" s="276" t="n"/>
      <c r="P310" s="277" t="n"/>
    </row>
    <row r="311">
      <c r="A311" s="275" t="inlineStr">
        <is>
          <t>Cybercriminal</t>
        </is>
      </c>
      <c r="B311" s="276" t="inlineStr">
        <is>
          <t>Data or transaction-integrity compromise</t>
        </is>
      </c>
      <c r="C311" s="276" t="inlineStr">
        <is>
          <t>Identity and credential compromise</t>
        </is>
      </c>
      <c r="D311" s="276" t="inlineStr">
        <is>
          <t>T1566</t>
        </is>
      </c>
      <c r="E311" s="276" t="inlineStr">
        <is>
          <t>Phishing</t>
        </is>
      </c>
      <c r="F311" s="276" t="inlineStr">
        <is>
          <t>S1</t>
        </is>
      </c>
      <c r="G311" s="276" t="b">
        <v>1</v>
      </c>
      <c r="H311" s="276" t="b">
        <v>1</v>
      </c>
      <c r="I311" s="276" t="b">
        <v>1</v>
      </c>
      <c r="J311" s="276" t="n">
        <v>1</v>
      </c>
      <c r="K311" s="276" t="n">
        <v>0.20625</v>
      </c>
      <c r="L311" s="276" t="n">
        <v>0.20625</v>
      </c>
      <c r="M311" s="276" t="inlineStr">
        <is>
          <t>Windows; SaaS; Office Suite</t>
        </is>
      </c>
      <c r="N311" s="276" t="inlineStr">
        <is>
          <t>https://attack.mitre.org/techniques/T1566/</t>
        </is>
      </c>
      <c r="O311" s="276" t="n"/>
      <c r="P311" s="277" t="n"/>
    </row>
    <row r="312">
      <c r="A312" s="275" t="inlineStr">
        <is>
          <t>Cybercriminal</t>
        </is>
      </c>
      <c r="B312" s="276" t="inlineStr">
        <is>
          <t>Data or transaction-integrity compromise</t>
        </is>
      </c>
      <c r="C312" s="276" t="inlineStr">
        <is>
          <t>Identity and credential compromise</t>
        </is>
      </c>
      <c r="D312" s="276" t="inlineStr">
        <is>
          <t>T1078</t>
        </is>
      </c>
      <c r="E312" s="276" t="inlineStr">
        <is>
          <t>Valid Accounts</t>
        </is>
      </c>
      <c r="F312" s="276" t="inlineStr">
        <is>
          <t>S1</t>
        </is>
      </c>
      <c r="G312" s="276" t="b">
        <v>1</v>
      </c>
      <c r="H312" s="276" t="b">
        <v>1</v>
      </c>
      <c r="I312" s="276" t="b">
        <v>1</v>
      </c>
      <c r="J312" s="276" t="n">
        <v>1</v>
      </c>
      <c r="K312" s="276" t="n">
        <v>0.272109375</v>
      </c>
      <c r="L312" s="276" t="n">
        <v>0.272109375</v>
      </c>
      <c r="M312" s="276" t="inlineStr">
        <is>
          <t>Identity Provider; SaaS; IaaS; Windows</t>
        </is>
      </c>
      <c r="N312" s="276" t="inlineStr">
        <is>
          <t>https://attack.mitre.org/techniques/T1078/</t>
        </is>
      </c>
      <c r="O312" s="276" t="n"/>
      <c r="P312" s="277" t="n"/>
    </row>
    <row r="313">
      <c r="A313" s="275" t="inlineStr">
        <is>
          <t>Cybercriminal</t>
        </is>
      </c>
      <c r="B313" s="276" t="inlineStr">
        <is>
          <t>Data or transaction-integrity compromise</t>
        </is>
      </c>
      <c r="C313" s="276" t="inlineStr">
        <is>
          <t>Identity and credential compromise</t>
        </is>
      </c>
      <c r="D313" s="276" t="inlineStr">
        <is>
          <t>T1110</t>
        </is>
      </c>
      <c r="E313" s="276" t="inlineStr">
        <is>
          <t>Brute Force</t>
        </is>
      </c>
      <c r="F313" s="276" t="inlineStr">
        <is>
          <t>S1</t>
        </is>
      </c>
      <c r="G313" s="276" t="b">
        <v>1</v>
      </c>
      <c r="H313" s="276" t="b">
        <v>1</v>
      </c>
      <c r="I313" s="276" t="b">
        <v>1</v>
      </c>
      <c r="J313" s="276" t="n">
        <v>0.7</v>
      </c>
      <c r="K313" s="276" t="n">
        <v>0.24375</v>
      </c>
      <c r="L313" s="276" t="n">
        <v>0.24375</v>
      </c>
      <c r="M313" s="276" t="inlineStr">
        <is>
          <t>Identity Provider; SaaS; Windows</t>
        </is>
      </c>
      <c r="N313" s="276" t="inlineStr">
        <is>
          <t>https://attack.mitre.org/techniques/T1110/</t>
        </is>
      </c>
      <c r="O313" s="276" t="n"/>
      <c r="P313" s="277" t="n"/>
    </row>
    <row r="314">
      <c r="A314" s="275" t="inlineStr">
        <is>
          <t>Cybercriminal</t>
        </is>
      </c>
      <c r="B314" s="276" t="inlineStr">
        <is>
          <t>Data or transaction-integrity compromise</t>
        </is>
      </c>
      <c r="C314" s="276" t="inlineStr">
        <is>
          <t>Identity and credential compromise</t>
        </is>
      </c>
      <c r="D314" s="276" t="inlineStr">
        <is>
          <t>T1098</t>
        </is>
      </c>
      <c r="E314" s="276" t="inlineStr">
        <is>
          <t>Account Manipulation</t>
        </is>
      </c>
      <c r="F314" s="276" t="inlineStr">
        <is>
          <t>S3</t>
        </is>
      </c>
      <c r="G314" s="276" t="b">
        <v>1</v>
      </c>
      <c r="H314" s="276" t="b">
        <v>1</v>
      </c>
      <c r="I314" s="276" t="b">
        <v>1</v>
      </c>
      <c r="J314" s="276" t="n">
        <v>0.7</v>
      </c>
      <c r="K314" s="276" t="n">
        <v>0.2477547340393066</v>
      </c>
      <c r="L314" s="276" t="n">
        <v>0.2477547340393066</v>
      </c>
      <c r="M314" s="276" t="inlineStr">
        <is>
          <t>Identity Provider; SaaS; Windows</t>
        </is>
      </c>
      <c r="N314" s="276" t="inlineStr">
        <is>
          <t>https://attack.mitre.org/techniques/T1098/</t>
        </is>
      </c>
      <c r="O314" s="276" t="n"/>
      <c r="P314" s="277" t="n"/>
    </row>
    <row r="315">
      <c r="A315" s="275" t="inlineStr">
        <is>
          <t>Cybercriminal</t>
        </is>
      </c>
      <c r="B315" s="276" t="inlineStr">
        <is>
          <t>Data or transaction-integrity compromise</t>
        </is>
      </c>
      <c r="C315" s="276" t="inlineStr">
        <is>
          <t>Identity and credential compromise</t>
        </is>
      </c>
      <c r="D315" s="276" t="inlineStr">
        <is>
          <t>T1087</t>
        </is>
      </c>
      <c r="E315" s="276" t="inlineStr">
        <is>
          <t>Account Discovery</t>
        </is>
      </c>
      <c r="F315" s="276" t="inlineStr">
        <is>
          <t>S4</t>
        </is>
      </c>
      <c r="G315" s="276" t="b">
        <v>1</v>
      </c>
      <c r="H315" s="276" t="b">
        <v>1</v>
      </c>
      <c r="I315" s="276" t="b">
        <v>1</v>
      </c>
      <c r="J315" s="276" t="n">
        <v>0.6</v>
      </c>
      <c r="K315" s="276" t="n">
        <v>0</v>
      </c>
      <c r="L315" s="276" t="n">
        <v>0</v>
      </c>
      <c r="M315" s="276" t="inlineStr">
        <is>
          <t>Identity Provider; SaaS; Windows</t>
        </is>
      </c>
      <c r="N315" s="276" t="inlineStr">
        <is>
          <t>https://attack.mitre.org/techniques/T1087/</t>
        </is>
      </c>
      <c r="O315" s="276" t="n"/>
      <c r="P315" s="277" t="n"/>
    </row>
    <row r="316">
      <c r="A316" s="275" t="inlineStr">
        <is>
          <t>Cybercriminal</t>
        </is>
      </c>
      <c r="B316" s="276" t="inlineStr">
        <is>
          <t>Data or transaction-integrity compromise</t>
        </is>
      </c>
      <c r="C316" s="276" t="inlineStr">
        <is>
          <t>Identity and credential compromise</t>
        </is>
      </c>
      <c r="D316" s="276" t="inlineStr">
        <is>
          <t>T1213</t>
        </is>
      </c>
      <c r="E316" s="276" t="inlineStr">
        <is>
          <t>Data from Information Repositories</t>
        </is>
      </c>
      <c r="F316" s="276" t="inlineStr">
        <is>
          <t>S4</t>
        </is>
      </c>
      <c r="G316" s="276" t="b">
        <v>1</v>
      </c>
      <c r="H316" s="276" t="b">
        <v>1</v>
      </c>
      <c r="I316" s="276" t="b">
        <v>1</v>
      </c>
      <c r="J316" s="276" t="n">
        <v>0.8</v>
      </c>
      <c r="K316" s="276" t="n">
        <v>0.177890625</v>
      </c>
      <c r="L316" s="276" t="n">
        <v>0.177890625</v>
      </c>
      <c r="M316" s="276" t="inlineStr">
        <is>
          <t>SaaS; Office Suite; Windows</t>
        </is>
      </c>
      <c r="N316" s="276" t="inlineStr">
        <is>
          <t>https://attack.mitre.org/techniques/T1213/</t>
        </is>
      </c>
      <c r="O316" s="276" t="n"/>
      <c r="P316" s="277" t="n"/>
    </row>
    <row r="317">
      <c r="A317" s="275" t="inlineStr">
        <is>
          <t>Cybercriminal</t>
        </is>
      </c>
      <c r="B317" s="276" t="inlineStr">
        <is>
          <t>Data or transaction-integrity compromise</t>
        </is>
      </c>
      <c r="C317" s="276" t="inlineStr">
        <is>
          <t>Identity and credential compromise</t>
        </is>
      </c>
      <c r="D317" s="276" t="inlineStr">
        <is>
          <t>T1567</t>
        </is>
      </c>
      <c r="E317" s="276" t="inlineStr">
        <is>
          <t>Exfiltration Over Web Service</t>
        </is>
      </c>
      <c r="F317" s="276" t="inlineStr">
        <is>
          <t>S5</t>
        </is>
      </c>
      <c r="G317" s="276" t="b">
        <v>1</v>
      </c>
      <c r="H317" s="276" t="b">
        <v>0</v>
      </c>
      <c r="I317" s="276" t="b">
        <v>0</v>
      </c>
      <c r="J317" s="276" t="n">
        <v>0.7</v>
      </c>
      <c r="K317" s="276" t="n">
        <v>0.20625</v>
      </c>
      <c r="L317" s="276" t="n">
        <v>0.20625</v>
      </c>
      <c r="M317" s="276" t="inlineStr">
        <is>
          <t>SaaS; Office Suite</t>
        </is>
      </c>
      <c r="N317" s="276" t="inlineStr">
        <is>
          <t>https://attack.mitre.org/techniques/T1567/</t>
        </is>
      </c>
      <c r="O317" s="276" t="n"/>
      <c r="P317" s="277" t="n"/>
    </row>
    <row r="318">
      <c r="A318" s="275" t="inlineStr">
        <is>
          <t>Cybercriminal</t>
        </is>
      </c>
      <c r="B318" s="276" t="inlineStr">
        <is>
          <t>Data or transaction-integrity compromise</t>
        </is>
      </c>
      <c r="C318" s="276" t="inlineStr">
        <is>
          <t>Identity and credential compromise</t>
        </is>
      </c>
      <c r="D318" s="276" t="inlineStr">
        <is>
          <t>T1657</t>
        </is>
      </c>
      <c r="E318" s="276" t="inlineStr">
        <is>
          <t>Financial Theft</t>
        </is>
      </c>
      <c r="F318" s="276" t="inlineStr">
        <is>
          <t>S5</t>
        </is>
      </c>
      <c r="G318" s="276" t="b">
        <v>1</v>
      </c>
      <c r="H318" s="276" t="b">
        <v>0</v>
      </c>
      <c r="I318" s="276" t="b">
        <v>0</v>
      </c>
      <c r="J318" s="276" t="n">
        <v>0.8</v>
      </c>
      <c r="K318" s="276" t="n">
        <v>0.275654296875</v>
      </c>
      <c r="L318" s="276" t="n">
        <v>0.275654296875</v>
      </c>
      <c r="M318" s="276" t="inlineStr">
        <is>
          <t>SaaS; Office Suite; Identity Provider</t>
        </is>
      </c>
      <c r="N318" s="276" t="inlineStr">
        <is>
          <t>https://attack.mitre.org/techniques/T1657/</t>
        </is>
      </c>
      <c r="O318" s="276" t="n"/>
      <c r="P318" s="277" t="n"/>
    </row>
    <row r="319">
      <c r="A319" s="275" t="inlineStr">
        <is>
          <t>Cybercriminal</t>
        </is>
      </c>
      <c r="B319" s="276" t="inlineStr">
        <is>
          <t>Data or transaction-integrity compromise</t>
        </is>
      </c>
      <c r="C319" s="276" t="inlineStr">
        <is>
          <t>Identity and credential compromise</t>
        </is>
      </c>
      <c r="D319" s="276" t="inlineStr">
        <is>
          <t>T1565</t>
        </is>
      </c>
      <c r="E319" s="276" t="inlineStr">
        <is>
          <t>Data Manipulation</t>
        </is>
      </c>
      <c r="F319" s="276" t="inlineStr">
        <is>
          <t>S5</t>
        </is>
      </c>
      <c r="G319" s="276" t="b">
        <v>1</v>
      </c>
      <c r="H319" s="276" t="b">
        <v>1</v>
      </c>
      <c r="I319" s="276" t="b">
        <v>1</v>
      </c>
      <c r="J319" s="276" t="n">
        <v>0.5</v>
      </c>
      <c r="K319" s="276" t="n">
        <v>0.2206064987182617</v>
      </c>
      <c r="L319" s="276" t="n">
        <v>0.2206064987182617</v>
      </c>
      <c r="M319" s="276" t="inlineStr">
        <is>
          <t>SaaS; Databases; Windows</t>
        </is>
      </c>
      <c r="N319" s="276" t="inlineStr">
        <is>
          <t>https://attack.mitre.org/techniques/T1565/</t>
        </is>
      </c>
      <c r="O319" s="276" t="n"/>
      <c r="P319" s="277" t="n"/>
    </row>
    <row r="320">
      <c r="A320" s="275" t="inlineStr">
        <is>
          <t>Cybercriminal</t>
        </is>
      </c>
      <c r="B320" s="276" t="inlineStr">
        <is>
          <t>Data or transaction-integrity compromise</t>
        </is>
      </c>
      <c r="C320" s="276" t="inlineStr">
        <is>
          <t>Identity and credential compromise</t>
        </is>
      </c>
      <c r="D320" s="276" t="inlineStr">
        <is>
          <t>T1486</t>
        </is>
      </c>
      <c r="E320" s="276" t="inlineStr">
        <is>
          <t>Data Encrypted for Impact</t>
        </is>
      </c>
      <c r="F320" s="276" t="inlineStr">
        <is>
          <t>S5</t>
        </is>
      </c>
      <c r="G320" s="276" t="b">
        <v>1</v>
      </c>
      <c r="H320" s="276" t="b">
        <v>1</v>
      </c>
      <c r="I320" s="276" t="b">
        <v>1</v>
      </c>
      <c r="J320" s="276" t="n">
        <v>0.7</v>
      </c>
      <c r="K320" s="276" t="n">
        <v>0.16875</v>
      </c>
      <c r="L320" s="276" t="n">
        <v>0.16875</v>
      </c>
      <c r="M320" s="276" t="inlineStr">
        <is>
          <t>Windows; Linux; IaaS</t>
        </is>
      </c>
      <c r="N320" s="276" t="inlineStr">
        <is>
          <t>https://attack.mitre.org/techniques/T1486/</t>
        </is>
      </c>
      <c r="O320" s="276" t="n"/>
      <c r="P320" s="277" t="n"/>
    </row>
    <row r="321">
      <c r="A321" s="275" t="inlineStr">
        <is>
          <t>Cybercriminal</t>
        </is>
      </c>
      <c r="B321" s="276" t="inlineStr">
        <is>
          <t>Data or transaction-integrity compromise</t>
        </is>
      </c>
      <c r="C321" s="276" t="inlineStr">
        <is>
          <t>Identity and credential compromise</t>
        </is>
      </c>
      <c r="D321" s="276" t="inlineStr">
        <is>
          <t>T1490</t>
        </is>
      </c>
      <c r="E321" s="276" t="inlineStr">
        <is>
          <t>Inhibit System Recovery</t>
        </is>
      </c>
      <c r="F321" s="276" t="inlineStr">
        <is>
          <t>S5</t>
        </is>
      </c>
      <c r="G321" s="276" t="b">
        <v>1</v>
      </c>
      <c r="H321" s="276" t="b">
        <v>1</v>
      </c>
      <c r="I321" s="276" t="b">
        <v>1</v>
      </c>
      <c r="J321" s="276" t="n">
        <v>0.6</v>
      </c>
      <c r="K321" s="276" t="n">
        <v>0</v>
      </c>
      <c r="L321" s="276" t="n">
        <v>0</v>
      </c>
      <c r="M321" s="276" t="inlineStr">
        <is>
          <t>Windows; Linux; IaaS</t>
        </is>
      </c>
      <c r="N321" s="276" t="inlineStr">
        <is>
          <t>https://attack.mitre.org/techniques/T1490/</t>
        </is>
      </c>
      <c r="O321" s="276" t="n"/>
      <c r="P321" s="277" t="n"/>
    </row>
    <row r="322">
      <c r="A322" s="275" t="inlineStr">
        <is>
          <t>Cybercriminal</t>
        </is>
      </c>
      <c r="B322" s="276" t="inlineStr">
        <is>
          <t>Data or transaction-integrity compromise</t>
        </is>
      </c>
      <c r="C322" s="276" t="inlineStr">
        <is>
          <t>User endpoint and social engineering</t>
        </is>
      </c>
      <c r="D322" s="276" t="inlineStr">
        <is>
          <t>T1566</t>
        </is>
      </c>
      <c r="E322" s="276" t="inlineStr">
        <is>
          <t>Phishing</t>
        </is>
      </c>
      <c r="F322" s="276" t="inlineStr">
        <is>
          <t>S1</t>
        </is>
      </c>
      <c r="G322" s="276" t="b">
        <v>1</v>
      </c>
      <c r="H322" s="276" t="b">
        <v>1</v>
      </c>
      <c r="I322" s="276" t="b">
        <v>1</v>
      </c>
      <c r="J322" s="276" t="n">
        <v>1</v>
      </c>
      <c r="K322" s="276" t="n">
        <v>0.20625</v>
      </c>
      <c r="L322" s="276" t="n">
        <v>0.20625</v>
      </c>
      <c r="M322" s="276" t="inlineStr">
        <is>
          <t>Windows; SaaS; Office Suite</t>
        </is>
      </c>
      <c r="N322" s="276" t="inlineStr">
        <is>
          <t>https://attack.mitre.org/techniques/T1566/</t>
        </is>
      </c>
      <c r="O322" s="276" t="n"/>
      <c r="P322" s="277" t="n"/>
    </row>
    <row r="323">
      <c r="A323" s="275" t="inlineStr">
        <is>
          <t>Cybercriminal</t>
        </is>
      </c>
      <c r="B323" s="276" t="inlineStr">
        <is>
          <t>Data or transaction-integrity compromise</t>
        </is>
      </c>
      <c r="C323" s="276" t="inlineStr">
        <is>
          <t>User endpoint and social engineering</t>
        </is>
      </c>
      <c r="D323" s="276" t="inlineStr">
        <is>
          <t>T1203</t>
        </is>
      </c>
      <c r="E323" s="276" t="inlineStr">
        <is>
          <t>Exploitation for Client Execution</t>
        </is>
      </c>
      <c r="F323" s="276" t="inlineStr">
        <is>
          <t>S2</t>
        </is>
      </c>
      <c r="G323" s="276" t="b">
        <v>1</v>
      </c>
      <c r="H323" s="276" t="b">
        <v>1</v>
      </c>
      <c r="I323" s="276" t="b">
        <v>1</v>
      </c>
      <c r="J323" s="276" t="n">
        <v>0.8</v>
      </c>
      <c r="K323" s="276" t="n">
        <v>0.2404920959472656</v>
      </c>
      <c r="L323" s="276" t="n">
        <v>0.2404920959472656</v>
      </c>
      <c r="M323" s="276" t="inlineStr">
        <is>
          <t>Windows; macOS; Linux</t>
        </is>
      </c>
      <c r="N323" s="276" t="inlineStr">
        <is>
          <t>https://attack.mitre.org/techniques/T1203/</t>
        </is>
      </c>
      <c r="O323" s="276" t="n"/>
      <c r="P323" s="277" t="n"/>
    </row>
    <row r="324">
      <c r="A324" s="275" t="inlineStr">
        <is>
          <t>Cybercriminal</t>
        </is>
      </c>
      <c r="B324" s="276" t="inlineStr">
        <is>
          <t>Data or transaction-integrity compromise</t>
        </is>
      </c>
      <c r="C324" s="276" t="inlineStr">
        <is>
          <t>User endpoint and social engineering</t>
        </is>
      </c>
      <c r="D324" s="276" t="inlineStr">
        <is>
          <t>T1059</t>
        </is>
      </c>
      <c r="E324" s="276" t="inlineStr">
        <is>
          <t>Command and Scripting Interpreter</t>
        </is>
      </c>
      <c r="F324" s="276" t="inlineStr">
        <is>
          <t>S2</t>
        </is>
      </c>
      <c r="G324" s="276" t="b">
        <v>1</v>
      </c>
      <c r="H324" s="276" t="b">
        <v>1</v>
      </c>
      <c r="I324" s="276" t="b">
        <v>1</v>
      </c>
      <c r="J324" s="276" t="n">
        <v>0.9</v>
      </c>
      <c r="K324" s="276" t="n">
        <v>0.1875</v>
      </c>
      <c r="L324" s="276" t="n">
        <v>0.1875</v>
      </c>
      <c r="M324" s="276" t="inlineStr">
        <is>
          <t>Windows; macOS; Linux; IaaS</t>
        </is>
      </c>
      <c r="N324" s="276" t="inlineStr">
        <is>
          <t>https://attack.mitre.org/techniques/T1059/</t>
        </is>
      </c>
      <c r="O324" s="276" t="n"/>
      <c r="P324" s="277" t="n"/>
    </row>
    <row r="325">
      <c r="A325" s="275" t="inlineStr">
        <is>
          <t>Cybercriminal</t>
        </is>
      </c>
      <c r="B325" s="276" t="inlineStr">
        <is>
          <t>Data or transaction-integrity compromise</t>
        </is>
      </c>
      <c r="C325" s="276" t="inlineStr">
        <is>
          <t>User endpoint and social engineering</t>
        </is>
      </c>
      <c r="D325" s="276" t="inlineStr">
        <is>
          <t>T1068</t>
        </is>
      </c>
      <c r="E325" s="276" t="inlineStr">
        <is>
          <t>Exploitation for Privilege Escalation</t>
        </is>
      </c>
      <c r="F325" s="276" t="inlineStr">
        <is>
          <t>S3</t>
        </is>
      </c>
      <c r="G325" s="276" t="b">
        <v>1</v>
      </c>
      <c r="H325" s="276" t="b">
        <v>1</v>
      </c>
      <c r="I325" s="276" t="b">
        <v>1</v>
      </c>
      <c r="J325" s="276" t="n">
        <v>0.7</v>
      </c>
      <c r="K325" s="276" t="n">
        <v>0.2094165115356445</v>
      </c>
      <c r="L325" s="276" t="n">
        <v>0.2094165115356445</v>
      </c>
      <c r="M325" s="276" t="inlineStr">
        <is>
          <t>Windows; macOS; Linux</t>
        </is>
      </c>
      <c r="N325" s="276" t="inlineStr">
        <is>
          <t>https://attack.mitre.org/techniques/T1068/</t>
        </is>
      </c>
      <c r="O325" s="276" t="n"/>
      <c r="P325" s="277" t="n"/>
    </row>
    <row r="326">
      <c r="A326" s="275" t="inlineStr">
        <is>
          <t>Cybercriminal</t>
        </is>
      </c>
      <c r="B326" s="276" t="inlineStr">
        <is>
          <t>Data or transaction-integrity compromise</t>
        </is>
      </c>
      <c r="C326" s="276" t="inlineStr">
        <is>
          <t>User endpoint and social engineering</t>
        </is>
      </c>
      <c r="D326" s="276" t="inlineStr">
        <is>
          <t>T1003</t>
        </is>
      </c>
      <c r="E326" s="276" t="inlineStr">
        <is>
          <t>OS Credential Dumping</t>
        </is>
      </c>
      <c r="F326" s="276" t="inlineStr">
        <is>
          <t>S3</t>
        </is>
      </c>
      <c r="G326" s="276" t="b">
        <v>1</v>
      </c>
      <c r="H326" s="276" t="b">
        <v>1</v>
      </c>
      <c r="I326" s="276" t="b">
        <v>1</v>
      </c>
      <c r="J326" s="276" t="n">
        <v>0.8</v>
      </c>
      <c r="K326" s="276" t="n">
        <v>0.232294921875</v>
      </c>
      <c r="L326" s="276" t="n">
        <v>0.232294921875</v>
      </c>
      <c r="M326" s="276" t="inlineStr">
        <is>
          <t>Windows; Linux; macOS</t>
        </is>
      </c>
      <c r="N326" s="276" t="inlineStr">
        <is>
          <t>https://attack.mitre.org/techniques/T1003/</t>
        </is>
      </c>
      <c r="O326" s="276" t="n"/>
      <c r="P326" s="277" t="n"/>
    </row>
    <row r="327">
      <c r="A327" s="275" t="inlineStr">
        <is>
          <t>Cybercriminal</t>
        </is>
      </c>
      <c r="B327" s="276" t="inlineStr">
        <is>
          <t>Data or transaction-integrity compromise</t>
        </is>
      </c>
      <c r="C327" s="276" t="inlineStr">
        <is>
          <t>User endpoint and social engineering</t>
        </is>
      </c>
      <c r="D327" s="276" t="inlineStr">
        <is>
          <t>T1046</t>
        </is>
      </c>
      <c r="E327" s="276" t="inlineStr">
        <is>
          <t>Network Service Discovery</t>
        </is>
      </c>
      <c r="F327" s="276" t="inlineStr">
        <is>
          <t>S4</t>
        </is>
      </c>
      <c r="G327" s="276" t="b">
        <v>1</v>
      </c>
      <c r="H327" s="276" t="b">
        <v>1</v>
      </c>
      <c r="I327" s="276" t="b">
        <v>1</v>
      </c>
      <c r="J327" s="276" t="n">
        <v>0.6</v>
      </c>
      <c r="K327" s="276" t="n">
        <v>0.16875</v>
      </c>
      <c r="L327" s="276" t="n">
        <v>0.16875</v>
      </c>
      <c r="M327" s="276" t="inlineStr">
        <is>
          <t>Network Devices; Windows; Linux</t>
        </is>
      </c>
      <c r="N327" s="276" t="inlineStr">
        <is>
          <t>https://attack.mitre.org/techniques/T1046/</t>
        </is>
      </c>
      <c r="O327" s="276" t="n"/>
      <c r="P327" s="277" t="n"/>
    </row>
    <row r="328">
      <c r="A328" s="275" t="inlineStr">
        <is>
          <t>Cybercriminal</t>
        </is>
      </c>
      <c r="B328" s="276" t="inlineStr">
        <is>
          <t>Data or transaction-integrity compromise</t>
        </is>
      </c>
      <c r="C328" s="276" t="inlineStr">
        <is>
          <t>User endpoint and social engineering</t>
        </is>
      </c>
      <c r="D328" s="276" t="inlineStr">
        <is>
          <t>T1021</t>
        </is>
      </c>
      <c r="E328" s="276" t="inlineStr">
        <is>
          <t>Remote Services</t>
        </is>
      </c>
      <c r="F328" s="276" t="inlineStr">
        <is>
          <t>S4</t>
        </is>
      </c>
      <c r="G328" s="276" t="b">
        <v>1</v>
      </c>
      <c r="H328" s="276" t="b">
        <v>1</v>
      </c>
      <c r="I328" s="276" t="b">
        <v>1</v>
      </c>
      <c r="J328" s="276" t="n">
        <v>0.8</v>
      </c>
      <c r="K328" s="276" t="n">
        <v>0.1875</v>
      </c>
      <c r="L328" s="276" t="n">
        <v>0.1875</v>
      </c>
      <c r="M328" s="276" t="inlineStr">
        <is>
          <t>Windows; Linux; Network Devices</t>
        </is>
      </c>
      <c r="N328" s="276" t="inlineStr">
        <is>
          <t>https://attack.mitre.org/techniques/T1021/</t>
        </is>
      </c>
      <c r="O328" s="276" t="n"/>
      <c r="P328" s="277" t="n"/>
    </row>
    <row r="329">
      <c r="A329" s="275" t="inlineStr">
        <is>
          <t>Cybercriminal</t>
        </is>
      </c>
      <c r="B329" s="276" t="inlineStr">
        <is>
          <t>Data or transaction-integrity compromise</t>
        </is>
      </c>
      <c r="C329" s="276" t="inlineStr">
        <is>
          <t>User endpoint and social engineering</t>
        </is>
      </c>
      <c r="D329" s="276" t="inlineStr">
        <is>
          <t>T1213</t>
        </is>
      </c>
      <c r="E329" s="276" t="inlineStr">
        <is>
          <t>Data from Information Repositories</t>
        </is>
      </c>
      <c r="F329" s="276" t="inlineStr">
        <is>
          <t>S4</t>
        </is>
      </c>
      <c r="G329" s="276" t="b">
        <v>1</v>
      </c>
      <c r="H329" s="276" t="b">
        <v>1</v>
      </c>
      <c r="I329" s="276" t="b">
        <v>1</v>
      </c>
      <c r="J329" s="276" t="n">
        <v>0.7</v>
      </c>
      <c r="K329" s="276" t="n">
        <v>0.177890625</v>
      </c>
      <c r="L329" s="276" t="n">
        <v>0.177890625</v>
      </c>
      <c r="M329" s="276" t="inlineStr">
        <is>
          <t>SaaS; Office Suite; Windows</t>
        </is>
      </c>
      <c r="N329" s="276" t="inlineStr">
        <is>
          <t>https://attack.mitre.org/techniques/T1213/</t>
        </is>
      </c>
      <c r="O329" s="276" t="n"/>
      <c r="P329" s="277" t="n"/>
    </row>
    <row r="330">
      <c r="A330" s="275" t="inlineStr">
        <is>
          <t>Cybercriminal</t>
        </is>
      </c>
      <c r="B330" s="276" t="inlineStr">
        <is>
          <t>Data or transaction-integrity compromise</t>
        </is>
      </c>
      <c r="C330" s="276" t="inlineStr">
        <is>
          <t>User endpoint and social engineering</t>
        </is>
      </c>
      <c r="D330" s="276" t="inlineStr">
        <is>
          <t>T1486</t>
        </is>
      </c>
      <c r="E330" s="276" t="inlineStr">
        <is>
          <t>Data Encrypted for Impact</t>
        </is>
      </c>
      <c r="F330" s="276" t="inlineStr">
        <is>
          <t>S5</t>
        </is>
      </c>
      <c r="G330" s="276" t="b">
        <v>1</v>
      </c>
      <c r="H330" s="276" t="b">
        <v>1</v>
      </c>
      <c r="I330" s="276" t="b">
        <v>1</v>
      </c>
      <c r="J330" s="276" t="n">
        <v>0.8</v>
      </c>
      <c r="K330" s="276" t="n">
        <v>0.16875</v>
      </c>
      <c r="L330" s="276" t="n">
        <v>0.16875</v>
      </c>
      <c r="M330" s="276" t="inlineStr">
        <is>
          <t>Windows; Linux; IaaS</t>
        </is>
      </c>
      <c r="N330" s="276" t="inlineStr">
        <is>
          <t>https://attack.mitre.org/techniques/T1486/</t>
        </is>
      </c>
      <c r="O330" s="276" t="n"/>
      <c r="P330" s="277" t="n"/>
    </row>
    <row r="331">
      <c r="A331" s="275" t="inlineStr">
        <is>
          <t>Cybercriminal</t>
        </is>
      </c>
      <c r="B331" s="276" t="inlineStr">
        <is>
          <t>Data or transaction-integrity compromise</t>
        </is>
      </c>
      <c r="C331" s="276" t="inlineStr">
        <is>
          <t>User endpoint and social engineering</t>
        </is>
      </c>
      <c r="D331" s="276" t="inlineStr">
        <is>
          <t>T1490</t>
        </is>
      </c>
      <c r="E331" s="276" t="inlineStr">
        <is>
          <t>Inhibit System Recovery</t>
        </is>
      </c>
      <c r="F331" s="276" t="inlineStr">
        <is>
          <t>S5</t>
        </is>
      </c>
      <c r="G331" s="276" t="b">
        <v>1</v>
      </c>
      <c r="H331" s="276" t="b">
        <v>1</v>
      </c>
      <c r="I331" s="276" t="b">
        <v>1</v>
      </c>
      <c r="J331" s="276" t="n">
        <v>0.7</v>
      </c>
      <c r="K331" s="276" t="n">
        <v>0</v>
      </c>
      <c r="L331" s="276" t="n">
        <v>0</v>
      </c>
      <c r="M331" s="276" t="inlineStr">
        <is>
          <t>Windows; Linux; IaaS</t>
        </is>
      </c>
      <c r="N331" s="276" t="inlineStr">
        <is>
          <t>https://attack.mitre.org/techniques/T1490/</t>
        </is>
      </c>
      <c r="O331" s="276" t="n"/>
      <c r="P331" s="277" t="n"/>
    </row>
    <row r="332">
      <c r="A332" s="275" t="inlineStr">
        <is>
          <t>Cybercriminal</t>
        </is>
      </c>
      <c r="B332" s="276" t="inlineStr">
        <is>
          <t>Data or transaction-integrity compromise</t>
        </is>
      </c>
      <c r="C332" s="276" t="inlineStr">
        <is>
          <t>User endpoint and social engineering</t>
        </is>
      </c>
      <c r="D332" s="276" t="inlineStr">
        <is>
          <t>T1567</t>
        </is>
      </c>
      <c r="E332" s="276" t="inlineStr">
        <is>
          <t>Exfiltration Over Web Service</t>
        </is>
      </c>
      <c r="F332" s="276" t="inlineStr">
        <is>
          <t>S5</t>
        </is>
      </c>
      <c r="G332" s="276" t="b">
        <v>1</v>
      </c>
      <c r="H332" s="276" t="b">
        <v>0</v>
      </c>
      <c r="I332" s="276" t="b">
        <v>0</v>
      </c>
      <c r="J332" s="276" t="n">
        <v>0.7</v>
      </c>
      <c r="K332" s="276" t="n">
        <v>0.20625</v>
      </c>
      <c r="L332" s="276" t="n">
        <v>0.20625</v>
      </c>
      <c r="M332" s="276" t="inlineStr">
        <is>
          <t>SaaS; Office Suite</t>
        </is>
      </c>
      <c r="N332" s="276" t="inlineStr">
        <is>
          <t>https://attack.mitre.org/techniques/T1567/</t>
        </is>
      </c>
      <c r="O332" s="276" t="n"/>
      <c r="P332" s="277" t="n"/>
    </row>
    <row r="333">
      <c r="A333" s="275" t="inlineStr">
        <is>
          <t>Cybercriminal</t>
        </is>
      </c>
      <c r="B333" s="276" t="inlineStr">
        <is>
          <t>Data or transaction-integrity compromise</t>
        </is>
      </c>
      <c r="C333" s="276" t="inlineStr">
        <is>
          <t>User endpoint and social engineering</t>
        </is>
      </c>
      <c r="D333" s="276" t="inlineStr">
        <is>
          <t>T1657</t>
        </is>
      </c>
      <c r="E333" s="276" t="inlineStr">
        <is>
          <t>Financial Theft</t>
        </is>
      </c>
      <c r="F333" s="276" t="inlineStr">
        <is>
          <t>S5</t>
        </is>
      </c>
      <c r="G333" s="276" t="b">
        <v>1</v>
      </c>
      <c r="H333" s="276" t="b">
        <v>0</v>
      </c>
      <c r="I333" s="276" t="b">
        <v>0</v>
      </c>
      <c r="J333" s="276" t="n">
        <v>0.5</v>
      </c>
      <c r="K333" s="276" t="n">
        <v>0.275654296875</v>
      </c>
      <c r="L333" s="276" t="n">
        <v>0.275654296875</v>
      </c>
      <c r="M333" s="276" t="inlineStr">
        <is>
          <t>SaaS; Office Suite; Identity Provider</t>
        </is>
      </c>
      <c r="N333" s="276" t="inlineStr">
        <is>
          <t>https://attack.mitre.org/techniques/T1657/</t>
        </is>
      </c>
      <c r="O333" s="276" t="n"/>
      <c r="P333" s="277" t="n"/>
    </row>
    <row r="334">
      <c r="A334" s="275" t="inlineStr">
        <is>
          <t>Cybercriminal</t>
        </is>
      </c>
      <c r="B334" s="276" t="inlineStr">
        <is>
          <t>Data or transaction-integrity compromise</t>
        </is>
      </c>
      <c r="C334" s="276" t="inlineStr">
        <is>
          <t>User endpoint and social engineering</t>
        </is>
      </c>
      <c r="D334" s="276" t="inlineStr">
        <is>
          <t>T1565</t>
        </is>
      </c>
      <c r="E334" s="276" t="inlineStr">
        <is>
          <t>Data Manipulation</t>
        </is>
      </c>
      <c r="F334" s="276" t="inlineStr">
        <is>
          <t>S5</t>
        </is>
      </c>
      <c r="G334" s="276" t="b">
        <v>1</v>
      </c>
      <c r="H334" s="276" t="b">
        <v>1</v>
      </c>
      <c r="I334" s="276" t="b">
        <v>1</v>
      </c>
      <c r="J334" s="276" t="n">
        <v>0.5</v>
      </c>
      <c r="K334" s="276" t="n">
        <v>0.2206064987182617</v>
      </c>
      <c r="L334" s="276" t="n">
        <v>0.2206064987182617</v>
      </c>
      <c r="M334" s="276" t="inlineStr">
        <is>
          <t>SaaS; Databases; Windows</t>
        </is>
      </c>
      <c r="N334" s="276" t="inlineStr">
        <is>
          <t>https://attack.mitre.org/techniques/T1565/</t>
        </is>
      </c>
      <c r="O334" s="276" t="n"/>
      <c r="P334" s="277" t="n"/>
    </row>
    <row r="335">
      <c r="A335" s="275" t="inlineStr">
        <is>
          <t>Cybercriminal</t>
        </is>
      </c>
      <c r="B335" s="276" t="inlineStr">
        <is>
          <t>Data or transaction-integrity compromise</t>
        </is>
      </c>
      <c r="C335" s="276" t="inlineStr">
        <is>
          <t>Public-facing application exploitation</t>
        </is>
      </c>
      <c r="D335" s="276" t="inlineStr">
        <is>
          <t>T1190</t>
        </is>
      </c>
      <c r="E335" s="276" t="inlineStr">
        <is>
          <t>Exploit Public-Facing Application</t>
        </is>
      </c>
      <c r="F335" s="276" t="inlineStr">
        <is>
          <t>S1</t>
        </is>
      </c>
      <c r="G335" s="276" t="b">
        <v>1</v>
      </c>
      <c r="H335" s="276" t="b">
        <v>1</v>
      </c>
      <c r="I335" s="276" t="b">
        <v>1</v>
      </c>
      <c r="J335" s="276" t="n">
        <v>1</v>
      </c>
      <c r="K335" s="276" t="n">
        <v>0.2496630477905274</v>
      </c>
      <c r="L335" s="276" t="n">
        <v>0.2496630477905274</v>
      </c>
      <c r="M335" s="276" t="inlineStr">
        <is>
          <t>Network Devices; SaaS; IaaS</t>
        </is>
      </c>
      <c r="N335" s="276" t="inlineStr">
        <is>
          <t>https://attack.mitre.org/techniques/T1190/</t>
        </is>
      </c>
      <c r="O335" s="276" t="n"/>
      <c r="P335" s="277" t="n"/>
    </row>
    <row r="336">
      <c r="A336" s="275" t="inlineStr">
        <is>
          <t>Cybercriminal</t>
        </is>
      </c>
      <c r="B336" s="276" t="inlineStr">
        <is>
          <t>Data or transaction-integrity compromise</t>
        </is>
      </c>
      <c r="C336" s="276" t="inlineStr">
        <is>
          <t>Public-facing application exploitation</t>
        </is>
      </c>
      <c r="D336" s="276" t="inlineStr">
        <is>
          <t>T1059</t>
        </is>
      </c>
      <c r="E336" s="276" t="inlineStr">
        <is>
          <t>Command and Scripting Interpreter</t>
        </is>
      </c>
      <c r="F336" s="276" t="inlineStr">
        <is>
          <t>S2</t>
        </is>
      </c>
      <c r="G336" s="276" t="b">
        <v>1</v>
      </c>
      <c r="H336" s="276" t="b">
        <v>1</v>
      </c>
      <c r="I336" s="276" t="b">
        <v>1</v>
      </c>
      <c r="J336" s="276" t="n">
        <v>0.8</v>
      </c>
      <c r="K336" s="276" t="n">
        <v>0.1875</v>
      </c>
      <c r="L336" s="276" t="n">
        <v>0.1875</v>
      </c>
      <c r="M336" s="276" t="inlineStr">
        <is>
          <t>Windows; macOS; Linux; IaaS</t>
        </is>
      </c>
      <c r="N336" s="276" t="inlineStr">
        <is>
          <t>https://attack.mitre.org/techniques/T1059/</t>
        </is>
      </c>
      <c r="O336" s="276" t="n"/>
      <c r="P336" s="277" t="n"/>
    </row>
    <row r="337">
      <c r="A337" s="275" t="inlineStr">
        <is>
          <t>Cybercriminal</t>
        </is>
      </c>
      <c r="B337" s="276" t="inlineStr">
        <is>
          <t>Data or transaction-integrity compromise</t>
        </is>
      </c>
      <c r="C337" s="276" t="inlineStr">
        <is>
          <t>Public-facing application exploitation</t>
        </is>
      </c>
      <c r="D337" s="276" t="inlineStr">
        <is>
          <t>T1068</t>
        </is>
      </c>
      <c r="E337" s="276" t="inlineStr">
        <is>
          <t>Exploitation for Privilege Escalation</t>
        </is>
      </c>
      <c r="F337" s="276" t="inlineStr">
        <is>
          <t>S3</t>
        </is>
      </c>
      <c r="G337" s="276" t="b">
        <v>1</v>
      </c>
      <c r="H337" s="276" t="b">
        <v>1</v>
      </c>
      <c r="I337" s="276" t="b">
        <v>1</v>
      </c>
      <c r="J337" s="276" t="n">
        <v>0.7</v>
      </c>
      <c r="K337" s="276" t="n">
        <v>0.2094165115356445</v>
      </c>
      <c r="L337" s="276" t="n">
        <v>0.2094165115356445</v>
      </c>
      <c r="M337" s="276" t="inlineStr">
        <is>
          <t>Windows; macOS; Linux</t>
        </is>
      </c>
      <c r="N337" s="276" t="inlineStr">
        <is>
          <t>https://attack.mitre.org/techniques/T1068/</t>
        </is>
      </c>
      <c r="O337" s="276" t="n"/>
      <c r="P337" s="277" t="n"/>
    </row>
    <row r="338">
      <c r="A338" s="275" t="inlineStr">
        <is>
          <t>Cybercriminal</t>
        </is>
      </c>
      <c r="B338" s="276" t="inlineStr">
        <is>
          <t>Data or transaction-integrity compromise</t>
        </is>
      </c>
      <c r="C338" s="276" t="inlineStr">
        <is>
          <t>Public-facing application exploitation</t>
        </is>
      </c>
      <c r="D338" s="276" t="inlineStr">
        <is>
          <t>T1003</t>
        </is>
      </c>
      <c r="E338" s="276" t="inlineStr">
        <is>
          <t>OS Credential Dumping</t>
        </is>
      </c>
      <c r="F338" s="276" t="inlineStr">
        <is>
          <t>S3</t>
        </is>
      </c>
      <c r="G338" s="276" t="b">
        <v>1</v>
      </c>
      <c r="H338" s="276" t="b">
        <v>1</v>
      </c>
      <c r="I338" s="276" t="b">
        <v>1</v>
      </c>
      <c r="J338" s="276" t="n">
        <v>0.6</v>
      </c>
      <c r="K338" s="276" t="n">
        <v>0.232294921875</v>
      </c>
      <c r="L338" s="276" t="n">
        <v>0.232294921875</v>
      </c>
      <c r="M338" s="276" t="inlineStr">
        <is>
          <t>Windows; Linux; macOS</t>
        </is>
      </c>
      <c r="N338" s="276" t="inlineStr">
        <is>
          <t>https://attack.mitre.org/techniques/T1003/</t>
        </is>
      </c>
      <c r="O338" s="276" t="n"/>
      <c r="P338" s="277" t="n"/>
    </row>
    <row r="339">
      <c r="A339" s="275" t="inlineStr">
        <is>
          <t>Cybercriminal</t>
        </is>
      </c>
      <c r="B339" s="276" t="inlineStr">
        <is>
          <t>Data or transaction-integrity compromise</t>
        </is>
      </c>
      <c r="C339" s="276" t="inlineStr">
        <is>
          <t>Public-facing application exploitation</t>
        </is>
      </c>
      <c r="D339" s="276" t="inlineStr">
        <is>
          <t>T1046</t>
        </is>
      </c>
      <c r="E339" s="276" t="inlineStr">
        <is>
          <t>Network Service Discovery</t>
        </is>
      </c>
      <c r="F339" s="276" t="inlineStr">
        <is>
          <t>S4</t>
        </is>
      </c>
      <c r="G339" s="276" t="b">
        <v>1</v>
      </c>
      <c r="H339" s="276" t="b">
        <v>1</v>
      </c>
      <c r="I339" s="276" t="b">
        <v>1</v>
      </c>
      <c r="J339" s="276" t="n">
        <v>0.7</v>
      </c>
      <c r="K339" s="276" t="n">
        <v>0.16875</v>
      </c>
      <c r="L339" s="276" t="n">
        <v>0.16875</v>
      </c>
      <c r="M339" s="276" t="inlineStr">
        <is>
          <t>Network Devices; Windows; Linux</t>
        </is>
      </c>
      <c r="N339" s="276" t="inlineStr">
        <is>
          <t>https://attack.mitre.org/techniques/T1046/</t>
        </is>
      </c>
      <c r="O339" s="276" t="n"/>
      <c r="P339" s="277" t="n"/>
    </row>
    <row r="340">
      <c r="A340" s="275" t="inlineStr">
        <is>
          <t>Cybercriminal</t>
        </is>
      </c>
      <c r="B340" s="276" t="inlineStr">
        <is>
          <t>Data or transaction-integrity compromise</t>
        </is>
      </c>
      <c r="C340" s="276" t="inlineStr">
        <is>
          <t>Public-facing application exploitation</t>
        </is>
      </c>
      <c r="D340" s="276" t="inlineStr">
        <is>
          <t>T1210</t>
        </is>
      </c>
      <c r="E340" s="276" t="inlineStr">
        <is>
          <t>Exploitation of Remote Services</t>
        </is>
      </c>
      <c r="F340" s="276" t="inlineStr">
        <is>
          <t>S4</t>
        </is>
      </c>
      <c r="G340" s="276" t="b">
        <v>1</v>
      </c>
      <c r="H340" s="276" t="b">
        <v>1</v>
      </c>
      <c r="I340" s="276" t="b">
        <v>1</v>
      </c>
      <c r="J340" s="276" t="n">
        <v>0.9</v>
      </c>
      <c r="K340" s="276" t="n">
        <v>0.2103495368957519</v>
      </c>
      <c r="L340" s="276" t="n">
        <v>0.2103495368957519</v>
      </c>
      <c r="M340" s="276" t="inlineStr">
        <is>
          <t>Windows; Linux; Network Devices</t>
        </is>
      </c>
      <c r="N340" s="276" t="inlineStr">
        <is>
          <t>https://attack.mitre.org/techniques/T1210/</t>
        </is>
      </c>
      <c r="O340" s="276" t="n"/>
      <c r="P340" s="277" t="n"/>
    </row>
    <row r="341">
      <c r="A341" s="275" t="inlineStr">
        <is>
          <t>Cybercriminal</t>
        </is>
      </c>
      <c r="B341" s="276" t="inlineStr">
        <is>
          <t>Data or transaction-integrity compromise</t>
        </is>
      </c>
      <c r="C341" s="276" t="inlineStr">
        <is>
          <t>Public-facing application exploitation</t>
        </is>
      </c>
      <c r="D341" s="276" t="inlineStr">
        <is>
          <t>T1021</t>
        </is>
      </c>
      <c r="E341" s="276" t="inlineStr">
        <is>
          <t>Remote Services</t>
        </is>
      </c>
      <c r="F341" s="276" t="inlineStr">
        <is>
          <t>S4</t>
        </is>
      </c>
      <c r="G341" s="276" t="b">
        <v>1</v>
      </c>
      <c r="H341" s="276" t="b">
        <v>1</v>
      </c>
      <c r="I341" s="276" t="b">
        <v>1</v>
      </c>
      <c r="J341" s="276" t="n">
        <v>0.7</v>
      </c>
      <c r="K341" s="276" t="n">
        <v>0.1875</v>
      </c>
      <c r="L341" s="276" t="n">
        <v>0.1875</v>
      </c>
      <c r="M341" s="276" t="inlineStr">
        <is>
          <t>Windows; Linux; Network Devices</t>
        </is>
      </c>
      <c r="N341" s="276" t="inlineStr">
        <is>
          <t>https://attack.mitre.org/techniques/T1021/</t>
        </is>
      </c>
      <c r="O341" s="276" t="n"/>
      <c r="P341" s="277" t="n"/>
    </row>
    <row r="342">
      <c r="A342" s="275" t="inlineStr">
        <is>
          <t>Cybercriminal</t>
        </is>
      </c>
      <c r="B342" s="276" t="inlineStr">
        <is>
          <t>Data or transaction-integrity compromise</t>
        </is>
      </c>
      <c r="C342" s="276" t="inlineStr">
        <is>
          <t>Public-facing application exploitation</t>
        </is>
      </c>
      <c r="D342" s="276" t="inlineStr">
        <is>
          <t>T1486</t>
        </is>
      </c>
      <c r="E342" s="276" t="inlineStr">
        <is>
          <t>Data Encrypted for Impact</t>
        </is>
      </c>
      <c r="F342" s="276" t="inlineStr">
        <is>
          <t>S5</t>
        </is>
      </c>
      <c r="G342" s="276" t="b">
        <v>1</v>
      </c>
      <c r="H342" s="276" t="b">
        <v>1</v>
      </c>
      <c r="I342" s="276" t="b">
        <v>1</v>
      </c>
      <c r="J342" s="276" t="n">
        <v>0.6</v>
      </c>
      <c r="K342" s="276" t="n">
        <v>0.16875</v>
      </c>
      <c r="L342" s="276" t="n">
        <v>0.16875</v>
      </c>
      <c r="M342" s="276" t="inlineStr">
        <is>
          <t>Windows; Linux; IaaS</t>
        </is>
      </c>
      <c r="N342" s="276" t="inlineStr">
        <is>
          <t>https://attack.mitre.org/techniques/T1486/</t>
        </is>
      </c>
      <c r="O342" s="276" t="n"/>
      <c r="P342" s="277" t="n"/>
    </row>
    <row r="343">
      <c r="A343" s="275" t="inlineStr">
        <is>
          <t>Cybercriminal</t>
        </is>
      </c>
      <c r="B343" s="276" t="inlineStr">
        <is>
          <t>Data or transaction-integrity compromise</t>
        </is>
      </c>
      <c r="C343" s="276" t="inlineStr">
        <is>
          <t>Public-facing application exploitation</t>
        </is>
      </c>
      <c r="D343" s="276" t="inlineStr">
        <is>
          <t>T1490</t>
        </is>
      </c>
      <c r="E343" s="276" t="inlineStr">
        <is>
          <t>Inhibit System Recovery</t>
        </is>
      </c>
      <c r="F343" s="276" t="inlineStr">
        <is>
          <t>S5</t>
        </is>
      </c>
      <c r="G343" s="276" t="b">
        <v>1</v>
      </c>
      <c r="H343" s="276" t="b">
        <v>1</v>
      </c>
      <c r="I343" s="276" t="b">
        <v>1</v>
      </c>
      <c r="J343" s="276" t="n">
        <v>0.5</v>
      </c>
      <c r="K343" s="276" t="n">
        <v>0</v>
      </c>
      <c r="L343" s="276" t="n">
        <v>0</v>
      </c>
      <c r="M343" s="276" t="inlineStr">
        <is>
          <t>Windows; Linux; IaaS</t>
        </is>
      </c>
      <c r="N343" s="276" t="inlineStr">
        <is>
          <t>https://attack.mitre.org/techniques/T1490/</t>
        </is>
      </c>
      <c r="O343" s="276" t="n"/>
      <c r="P343" s="277" t="n"/>
    </row>
    <row r="344">
      <c r="A344" s="275" t="inlineStr">
        <is>
          <t>Cybercriminal</t>
        </is>
      </c>
      <c r="B344" s="276" t="inlineStr">
        <is>
          <t>Data or transaction-integrity compromise</t>
        </is>
      </c>
      <c r="C344" s="276" t="inlineStr">
        <is>
          <t>Public-facing application exploitation</t>
        </is>
      </c>
      <c r="D344" s="276" t="inlineStr">
        <is>
          <t>T1567</t>
        </is>
      </c>
      <c r="E344" s="276" t="inlineStr">
        <is>
          <t>Exfiltration Over Web Service</t>
        </is>
      </c>
      <c r="F344" s="276" t="inlineStr">
        <is>
          <t>S5</t>
        </is>
      </c>
      <c r="G344" s="276" t="b">
        <v>1</v>
      </c>
      <c r="H344" s="276" t="b">
        <v>0</v>
      </c>
      <c r="I344" s="276" t="b">
        <v>0</v>
      </c>
      <c r="J344" s="276" t="n">
        <v>0.6</v>
      </c>
      <c r="K344" s="276" t="n">
        <v>0.20625</v>
      </c>
      <c r="L344" s="276" t="n">
        <v>0.20625</v>
      </c>
      <c r="M344" s="276" t="inlineStr">
        <is>
          <t>SaaS; Office Suite</t>
        </is>
      </c>
      <c r="N344" s="276" t="inlineStr">
        <is>
          <t>https://attack.mitre.org/techniques/T1567/</t>
        </is>
      </c>
      <c r="O344" s="276" t="n"/>
      <c r="P344" s="277" t="n"/>
    </row>
    <row r="345">
      <c r="A345" s="275" t="inlineStr">
        <is>
          <t>Cybercriminal</t>
        </is>
      </c>
      <c r="B345" s="276" t="inlineStr">
        <is>
          <t>Data or transaction-integrity compromise</t>
        </is>
      </c>
      <c r="C345" s="276" t="inlineStr">
        <is>
          <t>Public-facing application exploitation</t>
        </is>
      </c>
      <c r="D345" s="276" t="inlineStr">
        <is>
          <t>T1565</t>
        </is>
      </c>
      <c r="E345" s="276" t="inlineStr">
        <is>
          <t>Data Manipulation</t>
        </is>
      </c>
      <c r="F345" s="276" t="inlineStr">
        <is>
          <t>S5</t>
        </is>
      </c>
      <c r="G345" s="276" t="b">
        <v>1</v>
      </c>
      <c r="H345" s="276" t="b">
        <v>1</v>
      </c>
      <c r="I345" s="276" t="b">
        <v>1</v>
      </c>
      <c r="J345" s="276" t="n">
        <v>0.6</v>
      </c>
      <c r="K345" s="276" t="n">
        <v>0.2206064987182617</v>
      </c>
      <c r="L345" s="276" t="n">
        <v>0.2206064987182617</v>
      </c>
      <c r="M345" s="276" t="inlineStr">
        <is>
          <t>SaaS; Databases; Windows</t>
        </is>
      </c>
      <c r="N345" s="276" t="inlineStr">
        <is>
          <t>https://attack.mitre.org/techniques/T1565/</t>
        </is>
      </c>
      <c r="O345" s="276" t="n"/>
      <c r="P345" s="277" t="n"/>
    </row>
    <row r="346">
      <c r="A346" s="275" t="inlineStr">
        <is>
          <t>Cybercriminal</t>
        </is>
      </c>
      <c r="B346" s="276" t="inlineStr">
        <is>
          <t>Data or transaction-integrity compromise</t>
        </is>
      </c>
      <c r="C346" s="276" t="inlineStr">
        <is>
          <t>Public-facing application exploitation</t>
        </is>
      </c>
      <c r="D346" s="276" t="inlineStr">
        <is>
          <t>T1657</t>
        </is>
      </c>
      <c r="E346" s="276" t="inlineStr">
        <is>
          <t>Financial Theft</t>
        </is>
      </c>
      <c r="F346" s="276" t="inlineStr">
        <is>
          <t>S5</t>
        </is>
      </c>
      <c r="G346" s="276" t="b">
        <v>1</v>
      </c>
      <c r="H346" s="276" t="b">
        <v>0</v>
      </c>
      <c r="I346" s="276" t="b">
        <v>0</v>
      </c>
      <c r="J346" s="276" t="n">
        <v>0.4</v>
      </c>
      <c r="K346" s="276" t="n">
        <v>0.275654296875</v>
      </c>
      <c r="L346" s="276" t="n">
        <v>0.275654296875</v>
      </c>
      <c r="M346" s="276" t="inlineStr">
        <is>
          <t>SaaS; Office Suite; Identity Provider</t>
        </is>
      </c>
      <c r="N346" s="276" t="inlineStr">
        <is>
          <t>https://attack.mitre.org/techniques/T1657/</t>
        </is>
      </c>
      <c r="O346" s="276" t="n"/>
      <c r="P346" s="277" t="n"/>
    </row>
    <row r="347">
      <c r="A347" s="275" t="inlineStr">
        <is>
          <t>Cybercriminal</t>
        </is>
      </c>
      <c r="B347" s="276" t="inlineStr">
        <is>
          <t>Data or transaction-integrity compromise</t>
        </is>
      </c>
      <c r="C347" s="276" t="inlineStr">
        <is>
          <t>Third-party or software supply chain</t>
        </is>
      </c>
      <c r="D347" s="276" t="inlineStr">
        <is>
          <t>T1199</t>
        </is>
      </c>
      <c r="E347" s="276" t="inlineStr">
        <is>
          <t>Trusted Relationship</t>
        </is>
      </c>
      <c r="F347" s="276" t="inlineStr">
        <is>
          <t>S3</t>
        </is>
      </c>
      <c r="G347" s="276" t="b">
        <v>1</v>
      </c>
      <c r="H347" s="276" t="b">
        <v>1</v>
      </c>
      <c r="I347" s="276" t="b">
        <v>1</v>
      </c>
      <c r="J347" s="276" t="n">
        <v>1</v>
      </c>
      <c r="K347" s="276" t="n">
        <v>0.20625</v>
      </c>
      <c r="L347" s="276" t="n">
        <v>0.20625</v>
      </c>
      <c r="M347" s="276" t="inlineStr">
        <is>
          <t>SaaS; IaaS; Network Devices</t>
        </is>
      </c>
      <c r="N347" s="276" t="inlineStr">
        <is>
          <t>https://attack.mitre.org/techniques/T1199/</t>
        </is>
      </c>
      <c r="O347" s="276" t="n"/>
      <c r="P347" s="277" t="n"/>
    </row>
    <row r="348">
      <c r="A348" s="275" t="inlineStr">
        <is>
          <t>Cybercriminal</t>
        </is>
      </c>
      <c r="B348" s="276" t="inlineStr">
        <is>
          <t>Data or transaction-integrity compromise</t>
        </is>
      </c>
      <c r="C348" s="276" t="inlineStr">
        <is>
          <t>Third-party or software supply chain</t>
        </is>
      </c>
      <c r="D348" s="276" t="inlineStr">
        <is>
          <t>T1098</t>
        </is>
      </c>
      <c r="E348" s="276" t="inlineStr">
        <is>
          <t>Account Manipulation</t>
        </is>
      </c>
      <c r="F348" s="276" t="inlineStr">
        <is>
          <t>S3</t>
        </is>
      </c>
      <c r="G348" s="276" t="b">
        <v>1</v>
      </c>
      <c r="H348" s="276" t="b">
        <v>1</v>
      </c>
      <c r="I348" s="276" t="b">
        <v>1</v>
      </c>
      <c r="J348" s="276" t="n">
        <v>0.6</v>
      </c>
      <c r="K348" s="276" t="n">
        <v>0.2477547340393066</v>
      </c>
      <c r="L348" s="276" t="n">
        <v>0.2477547340393066</v>
      </c>
      <c r="M348" s="276" t="inlineStr">
        <is>
          <t>Identity Provider; SaaS; Windows</t>
        </is>
      </c>
      <c r="N348" s="276" t="inlineStr">
        <is>
          <t>https://attack.mitre.org/techniques/T1098/</t>
        </is>
      </c>
      <c r="O348" s="276" t="n"/>
      <c r="P348" s="277" t="n"/>
    </row>
    <row r="349">
      <c r="A349" s="275" t="inlineStr">
        <is>
          <t>Cybercriminal</t>
        </is>
      </c>
      <c r="B349" s="276" t="inlineStr">
        <is>
          <t>Data or transaction-integrity compromise</t>
        </is>
      </c>
      <c r="C349" s="276" t="inlineStr">
        <is>
          <t>Third-party or software supply chain</t>
        </is>
      </c>
      <c r="D349" s="276" t="inlineStr">
        <is>
          <t>T1087</t>
        </is>
      </c>
      <c r="E349" s="276" t="inlineStr">
        <is>
          <t>Account Discovery</t>
        </is>
      </c>
      <c r="F349" s="276" t="inlineStr">
        <is>
          <t>S4</t>
        </is>
      </c>
      <c r="G349" s="276" t="b">
        <v>1</v>
      </c>
      <c r="H349" s="276" t="b">
        <v>1</v>
      </c>
      <c r="I349" s="276" t="b">
        <v>1</v>
      </c>
      <c r="J349" s="276" t="n">
        <v>0.5</v>
      </c>
      <c r="K349" s="276" t="n">
        <v>0</v>
      </c>
      <c r="L349" s="276" t="n">
        <v>0</v>
      </c>
      <c r="M349" s="276" t="inlineStr">
        <is>
          <t>Identity Provider; SaaS; Windows</t>
        </is>
      </c>
      <c r="N349" s="276" t="inlineStr">
        <is>
          <t>https://attack.mitre.org/techniques/T1087/</t>
        </is>
      </c>
      <c r="O349" s="276" t="n"/>
      <c r="P349" s="277" t="n"/>
    </row>
    <row r="350">
      <c r="A350" s="275" t="inlineStr">
        <is>
          <t>Cybercriminal</t>
        </is>
      </c>
      <c r="B350" s="276" t="inlineStr">
        <is>
          <t>Data or transaction-integrity compromise</t>
        </is>
      </c>
      <c r="C350" s="276" t="inlineStr">
        <is>
          <t>Third-party or software supply chain</t>
        </is>
      </c>
      <c r="D350" s="276" t="inlineStr">
        <is>
          <t>T1213</t>
        </is>
      </c>
      <c r="E350" s="276" t="inlineStr">
        <is>
          <t>Data from Information Repositories</t>
        </is>
      </c>
      <c r="F350" s="276" t="inlineStr">
        <is>
          <t>S4</t>
        </is>
      </c>
      <c r="G350" s="276" t="b">
        <v>1</v>
      </c>
      <c r="H350" s="276" t="b">
        <v>1</v>
      </c>
      <c r="I350" s="276" t="b">
        <v>1</v>
      </c>
      <c r="J350" s="276" t="n">
        <v>0.7</v>
      </c>
      <c r="K350" s="276" t="n">
        <v>0.177890625</v>
      </c>
      <c r="L350" s="276" t="n">
        <v>0.177890625</v>
      </c>
      <c r="M350" s="276" t="inlineStr">
        <is>
          <t>SaaS; Office Suite; Windows</t>
        </is>
      </c>
      <c r="N350" s="276" t="inlineStr">
        <is>
          <t>https://attack.mitre.org/techniques/T1213/</t>
        </is>
      </c>
      <c r="O350" s="276" t="n"/>
      <c r="P350" s="277" t="n"/>
    </row>
    <row r="351">
      <c r="A351" s="275" t="inlineStr">
        <is>
          <t>Cybercriminal</t>
        </is>
      </c>
      <c r="B351" s="276" t="inlineStr">
        <is>
          <t>Data or transaction-integrity compromise</t>
        </is>
      </c>
      <c r="C351" s="276" t="inlineStr">
        <is>
          <t>Third-party or software supply chain</t>
        </is>
      </c>
      <c r="D351" s="276" t="inlineStr">
        <is>
          <t>T1567</t>
        </is>
      </c>
      <c r="E351" s="276" t="inlineStr">
        <is>
          <t>Exfiltration Over Web Service</t>
        </is>
      </c>
      <c r="F351" s="276" t="inlineStr">
        <is>
          <t>S5</t>
        </is>
      </c>
      <c r="G351" s="276" t="b">
        <v>1</v>
      </c>
      <c r="H351" s="276" t="b">
        <v>0</v>
      </c>
      <c r="I351" s="276" t="b">
        <v>0</v>
      </c>
      <c r="J351" s="276" t="n">
        <v>0.6</v>
      </c>
      <c r="K351" s="276" t="n">
        <v>0.20625</v>
      </c>
      <c r="L351" s="276" t="n">
        <v>0.20625</v>
      </c>
      <c r="M351" s="276" t="inlineStr">
        <is>
          <t>SaaS; Office Suite</t>
        </is>
      </c>
      <c r="N351" s="276" t="inlineStr">
        <is>
          <t>https://attack.mitre.org/techniques/T1567/</t>
        </is>
      </c>
      <c r="O351" s="276" t="n"/>
      <c r="P351" s="277" t="n"/>
    </row>
    <row r="352">
      <c r="A352" s="275" t="inlineStr">
        <is>
          <t>Cybercriminal</t>
        </is>
      </c>
      <c r="B352" s="276" t="inlineStr">
        <is>
          <t>Data or transaction-integrity compromise</t>
        </is>
      </c>
      <c r="C352" s="276" t="inlineStr">
        <is>
          <t>Third-party or software supply chain</t>
        </is>
      </c>
      <c r="D352" s="276" t="inlineStr">
        <is>
          <t>T1486</t>
        </is>
      </c>
      <c r="E352" s="276" t="inlineStr">
        <is>
          <t>Data Encrypted for Impact</t>
        </is>
      </c>
      <c r="F352" s="276" t="inlineStr">
        <is>
          <t>S5</t>
        </is>
      </c>
      <c r="G352" s="276" t="b">
        <v>1</v>
      </c>
      <c r="H352" s="276" t="b">
        <v>1</v>
      </c>
      <c r="I352" s="276" t="b">
        <v>1</v>
      </c>
      <c r="J352" s="276" t="n">
        <v>0.5</v>
      </c>
      <c r="K352" s="276" t="n">
        <v>0.16875</v>
      </c>
      <c r="L352" s="276" t="n">
        <v>0.16875</v>
      </c>
      <c r="M352" s="276" t="inlineStr">
        <is>
          <t>Windows; Linux; IaaS</t>
        </is>
      </c>
      <c r="N352" s="276" t="inlineStr">
        <is>
          <t>https://attack.mitre.org/techniques/T1486/</t>
        </is>
      </c>
      <c r="O352" s="276" t="n"/>
      <c r="P352" s="277" t="n"/>
    </row>
    <row r="353">
      <c r="A353" s="275" t="inlineStr">
        <is>
          <t>Cybercriminal</t>
        </is>
      </c>
      <c r="B353" s="276" t="inlineStr">
        <is>
          <t>Data or transaction-integrity compromise</t>
        </is>
      </c>
      <c r="C353" s="276" t="inlineStr">
        <is>
          <t>Third-party or software supply chain</t>
        </is>
      </c>
      <c r="D353" s="276" t="inlineStr">
        <is>
          <t>T1565</t>
        </is>
      </c>
      <c r="E353" s="276" t="inlineStr">
        <is>
          <t>Data Manipulation</t>
        </is>
      </c>
      <c r="F353" s="276" t="inlineStr">
        <is>
          <t>S5</t>
        </is>
      </c>
      <c r="G353" s="276" t="b">
        <v>1</v>
      </c>
      <c r="H353" s="276" t="b">
        <v>1</v>
      </c>
      <c r="I353" s="276" t="b">
        <v>1</v>
      </c>
      <c r="J353" s="276" t="n">
        <v>0.6</v>
      </c>
      <c r="K353" s="276" t="n">
        <v>0.2206064987182617</v>
      </c>
      <c r="L353" s="276" t="n">
        <v>0.2206064987182617</v>
      </c>
      <c r="M353" s="276" t="inlineStr">
        <is>
          <t>SaaS; Databases; Windows</t>
        </is>
      </c>
      <c r="N353" s="276" t="inlineStr">
        <is>
          <t>https://attack.mitre.org/techniques/T1565/</t>
        </is>
      </c>
      <c r="O353" s="276" t="n"/>
      <c r="P353" s="277" t="n"/>
    </row>
    <row r="354">
      <c r="A354" s="275" t="inlineStr">
        <is>
          <t>Cybercriminal</t>
        </is>
      </c>
      <c r="B354" s="276" t="inlineStr">
        <is>
          <t>Data or transaction-integrity compromise</t>
        </is>
      </c>
      <c r="C354" s="276" t="inlineStr">
        <is>
          <t>Third-party or software supply chain</t>
        </is>
      </c>
      <c r="D354" s="276" t="inlineStr">
        <is>
          <t>T1657</t>
        </is>
      </c>
      <c r="E354" s="276" t="inlineStr">
        <is>
          <t>Financial Theft</t>
        </is>
      </c>
      <c r="F354" s="276" t="inlineStr">
        <is>
          <t>S5</t>
        </is>
      </c>
      <c r="G354" s="276" t="b">
        <v>1</v>
      </c>
      <c r="H354" s="276" t="b">
        <v>0</v>
      </c>
      <c r="I354" s="276" t="b">
        <v>0</v>
      </c>
      <c r="J354" s="276" t="n">
        <v>0.5</v>
      </c>
      <c r="K354" s="276" t="n">
        <v>0.275654296875</v>
      </c>
      <c r="L354" s="276" t="n">
        <v>0.275654296875</v>
      </c>
      <c r="M354" s="276" t="inlineStr">
        <is>
          <t>SaaS; Office Suite; Identity Provider</t>
        </is>
      </c>
      <c r="N354" s="276" t="inlineStr">
        <is>
          <t>https://attack.mitre.org/techniques/T1657/</t>
        </is>
      </c>
      <c r="O354" s="276" t="n"/>
      <c r="P354" s="277" t="n"/>
    </row>
    <row r="355">
      <c r="A355" s="275" t="inlineStr">
        <is>
          <t>Cybercriminal</t>
        </is>
      </c>
      <c r="B355" s="276" t="inlineStr">
        <is>
          <t>Data or transaction-integrity compromise</t>
        </is>
      </c>
      <c r="C355" s="276" t="inlineStr">
        <is>
          <t>Insider or trusted access</t>
        </is>
      </c>
      <c r="D355" s="276" t="inlineStr">
        <is>
          <t>T1098</t>
        </is>
      </c>
      <c r="E355" s="276" t="inlineStr">
        <is>
          <t>Account Manipulation</t>
        </is>
      </c>
      <c r="F355" s="276" t="inlineStr">
        <is>
          <t>S3</t>
        </is>
      </c>
      <c r="G355" s="276" t="b">
        <v>1</v>
      </c>
      <c r="H355" s="276" t="b">
        <v>1</v>
      </c>
      <c r="I355" s="276" t="b">
        <v>1</v>
      </c>
      <c r="J355" s="276" t="n">
        <v>0.8</v>
      </c>
      <c r="K355" s="276" t="n">
        <v>0.2477547340393066</v>
      </c>
      <c r="L355" s="276" t="n">
        <v>0.2477547340393066</v>
      </c>
      <c r="M355" s="276" t="inlineStr">
        <is>
          <t>Identity Provider; SaaS; Windows</t>
        </is>
      </c>
      <c r="N355" s="276" t="inlineStr">
        <is>
          <t>https://attack.mitre.org/techniques/T1098/</t>
        </is>
      </c>
      <c r="O355" s="276" t="n"/>
      <c r="P355" s="277" t="n"/>
    </row>
    <row r="356">
      <c r="A356" s="275" t="inlineStr">
        <is>
          <t>Cybercriminal</t>
        </is>
      </c>
      <c r="B356" s="276" t="inlineStr">
        <is>
          <t>Data or transaction-integrity compromise</t>
        </is>
      </c>
      <c r="C356" s="276" t="inlineStr">
        <is>
          <t>Insider or trusted access</t>
        </is>
      </c>
      <c r="D356" s="276" t="inlineStr">
        <is>
          <t>T1087</t>
        </is>
      </c>
      <c r="E356" s="276" t="inlineStr">
        <is>
          <t>Account Discovery</t>
        </is>
      </c>
      <c r="F356" s="276" t="inlineStr">
        <is>
          <t>S4</t>
        </is>
      </c>
      <c r="G356" s="276" t="b">
        <v>1</v>
      </c>
      <c r="H356" s="276" t="b">
        <v>1</v>
      </c>
      <c r="I356" s="276" t="b">
        <v>1</v>
      </c>
      <c r="J356" s="276" t="n">
        <v>0.6</v>
      </c>
      <c r="K356" s="276" t="n">
        <v>0</v>
      </c>
      <c r="L356" s="276" t="n">
        <v>0</v>
      </c>
      <c r="M356" s="276" t="inlineStr">
        <is>
          <t>Identity Provider; SaaS; Windows</t>
        </is>
      </c>
      <c r="N356" s="276" t="inlineStr">
        <is>
          <t>https://attack.mitre.org/techniques/T1087/</t>
        </is>
      </c>
      <c r="O356" s="276" t="n"/>
      <c r="P356" s="277" t="n"/>
    </row>
    <row r="357">
      <c r="A357" s="275" t="inlineStr">
        <is>
          <t>Cybercriminal</t>
        </is>
      </c>
      <c r="B357" s="276" t="inlineStr">
        <is>
          <t>Data or transaction-integrity compromise</t>
        </is>
      </c>
      <c r="C357" s="276" t="inlineStr">
        <is>
          <t>Insider or trusted access</t>
        </is>
      </c>
      <c r="D357" s="276" t="inlineStr">
        <is>
          <t>T1213</t>
        </is>
      </c>
      <c r="E357" s="276" t="inlineStr">
        <is>
          <t>Data from Information Repositories</t>
        </is>
      </c>
      <c r="F357" s="276" t="inlineStr">
        <is>
          <t>S4</t>
        </is>
      </c>
      <c r="G357" s="276" t="b">
        <v>1</v>
      </c>
      <c r="H357" s="276" t="b">
        <v>1</v>
      </c>
      <c r="I357" s="276" t="b">
        <v>1</v>
      </c>
      <c r="J357" s="276" t="n">
        <v>0.9</v>
      </c>
      <c r="K357" s="276" t="n">
        <v>0.177890625</v>
      </c>
      <c r="L357" s="276" t="n">
        <v>0.177890625</v>
      </c>
      <c r="M357" s="276" t="inlineStr">
        <is>
          <t>SaaS; Office Suite; Windows</t>
        </is>
      </c>
      <c r="N357" s="276" t="inlineStr">
        <is>
          <t>https://attack.mitre.org/techniques/T1213/</t>
        </is>
      </c>
      <c r="O357" s="276" t="n"/>
      <c r="P357" s="277" t="n"/>
    </row>
    <row r="358">
      <c r="A358" s="275" t="inlineStr">
        <is>
          <t>Cybercriminal</t>
        </is>
      </c>
      <c r="B358" s="276" t="inlineStr">
        <is>
          <t>Data or transaction-integrity compromise</t>
        </is>
      </c>
      <c r="C358" s="276" t="inlineStr">
        <is>
          <t>Insider or trusted access</t>
        </is>
      </c>
      <c r="D358" s="276" t="inlineStr">
        <is>
          <t>T1567</t>
        </is>
      </c>
      <c r="E358" s="276" t="inlineStr">
        <is>
          <t>Exfiltration Over Web Service</t>
        </is>
      </c>
      <c r="F358" s="276" t="inlineStr">
        <is>
          <t>S5</t>
        </is>
      </c>
      <c r="G358" s="276" t="b">
        <v>1</v>
      </c>
      <c r="H358" s="276" t="b">
        <v>0</v>
      </c>
      <c r="I358" s="276" t="b">
        <v>0</v>
      </c>
      <c r="J358" s="276" t="n">
        <v>0.8</v>
      </c>
      <c r="K358" s="276" t="n">
        <v>0.20625</v>
      </c>
      <c r="L358" s="276" t="n">
        <v>0.20625</v>
      </c>
      <c r="M358" s="276" t="inlineStr">
        <is>
          <t>SaaS; Office Suite</t>
        </is>
      </c>
      <c r="N358" s="276" t="inlineStr">
        <is>
          <t>https://attack.mitre.org/techniques/T1567/</t>
        </is>
      </c>
      <c r="O358" s="276" t="n"/>
      <c r="P358" s="277" t="n"/>
    </row>
    <row r="359">
      <c r="A359" s="275" t="inlineStr">
        <is>
          <t>Cybercriminal</t>
        </is>
      </c>
      <c r="B359" s="276" t="inlineStr">
        <is>
          <t>Data or transaction-integrity compromise</t>
        </is>
      </c>
      <c r="C359" s="276" t="inlineStr">
        <is>
          <t>Insider or trusted access</t>
        </is>
      </c>
      <c r="D359" s="276" t="inlineStr">
        <is>
          <t>T1565</t>
        </is>
      </c>
      <c r="E359" s="276" t="inlineStr">
        <is>
          <t>Data Manipulation</t>
        </is>
      </c>
      <c r="F359" s="276" t="inlineStr">
        <is>
          <t>S5</t>
        </is>
      </c>
      <c r="G359" s="276" t="b">
        <v>1</v>
      </c>
      <c r="H359" s="276" t="b">
        <v>1</v>
      </c>
      <c r="I359" s="276" t="b">
        <v>1</v>
      </c>
      <c r="J359" s="276" t="n">
        <v>0.9</v>
      </c>
      <c r="K359" s="276" t="n">
        <v>0.2206064987182617</v>
      </c>
      <c r="L359" s="276" t="n">
        <v>0.2206064987182617</v>
      </c>
      <c r="M359" s="276" t="inlineStr">
        <is>
          <t>SaaS; Databases; Windows</t>
        </is>
      </c>
      <c r="N359" s="276" t="inlineStr">
        <is>
          <t>https://attack.mitre.org/techniques/T1565/</t>
        </is>
      </c>
      <c r="O359" s="276" t="n"/>
      <c r="P359" s="277" t="n"/>
    </row>
    <row r="360">
      <c r="A360" s="275" t="inlineStr">
        <is>
          <t>Cybercriminal</t>
        </is>
      </c>
      <c r="B360" s="276" t="inlineStr">
        <is>
          <t>Data or transaction-integrity compromise</t>
        </is>
      </c>
      <c r="C360" s="276" t="inlineStr">
        <is>
          <t>Insider or trusted access</t>
        </is>
      </c>
      <c r="D360" s="276" t="inlineStr">
        <is>
          <t>T1657</t>
        </is>
      </c>
      <c r="E360" s="276" t="inlineStr">
        <is>
          <t>Financial Theft</t>
        </is>
      </c>
      <c r="F360" s="276" t="inlineStr">
        <is>
          <t>S5</t>
        </is>
      </c>
      <c r="G360" s="276" t="b">
        <v>1</v>
      </c>
      <c r="H360" s="276" t="b">
        <v>0</v>
      </c>
      <c r="I360" s="276" t="b">
        <v>0</v>
      </c>
      <c r="J360" s="276" t="n">
        <v>0.9</v>
      </c>
      <c r="K360" s="276" t="n">
        <v>0.275654296875</v>
      </c>
      <c r="L360" s="276" t="n">
        <v>0.275654296875</v>
      </c>
      <c r="M360" s="276" t="inlineStr">
        <is>
          <t>SaaS; Office Suite; Identity Provider</t>
        </is>
      </c>
      <c r="N360" s="276" t="inlineStr">
        <is>
          <t>https://attack.mitre.org/techniques/T1657/</t>
        </is>
      </c>
      <c r="O360" s="276" t="n"/>
      <c r="P360" s="277" t="n"/>
    </row>
    <row r="361">
      <c r="A361" s="275" t="inlineStr">
        <is>
          <t>Cybercriminal</t>
        </is>
      </c>
      <c r="B361" s="276" t="inlineStr">
        <is>
          <t>Cyber-enabled theft or fraud</t>
        </is>
      </c>
      <c r="C361" s="276" t="inlineStr">
        <is>
          <t>Identity and credential compromise</t>
        </is>
      </c>
      <c r="D361" s="276" t="inlineStr">
        <is>
          <t>T1566</t>
        </is>
      </c>
      <c r="E361" s="276" t="inlineStr">
        <is>
          <t>Phishing</t>
        </is>
      </c>
      <c r="F361" s="276" t="inlineStr">
        <is>
          <t>S1</t>
        </is>
      </c>
      <c r="G361" s="276" t="b">
        <v>1</v>
      </c>
      <c r="H361" s="276" t="b">
        <v>1</v>
      </c>
      <c r="I361" s="276" t="b">
        <v>1</v>
      </c>
      <c r="J361" s="276" t="n">
        <v>1</v>
      </c>
      <c r="K361" s="276" t="n">
        <v>0.20625</v>
      </c>
      <c r="L361" s="276" t="n">
        <v>0.20625</v>
      </c>
      <c r="M361" s="276" t="inlineStr">
        <is>
          <t>Windows; SaaS; Office Suite</t>
        </is>
      </c>
      <c r="N361" s="276" t="inlineStr">
        <is>
          <t>https://attack.mitre.org/techniques/T1566/</t>
        </is>
      </c>
      <c r="O361" s="276" t="n"/>
      <c r="P361" s="277" t="n"/>
    </row>
    <row r="362">
      <c r="A362" s="275" t="inlineStr">
        <is>
          <t>Cybercriminal</t>
        </is>
      </c>
      <c r="B362" s="276" t="inlineStr">
        <is>
          <t>Cyber-enabled theft or fraud</t>
        </is>
      </c>
      <c r="C362" s="276" t="inlineStr">
        <is>
          <t>Identity and credential compromise</t>
        </is>
      </c>
      <c r="D362" s="276" t="inlineStr">
        <is>
          <t>T1078</t>
        </is>
      </c>
      <c r="E362" s="276" t="inlineStr">
        <is>
          <t>Valid Accounts</t>
        </is>
      </c>
      <c r="F362" s="276" t="inlineStr">
        <is>
          <t>S1</t>
        </is>
      </c>
      <c r="G362" s="276" t="b">
        <v>1</v>
      </c>
      <c r="H362" s="276" t="b">
        <v>1</v>
      </c>
      <c r="I362" s="276" t="b">
        <v>1</v>
      </c>
      <c r="J362" s="276" t="n">
        <v>1</v>
      </c>
      <c r="K362" s="276" t="n">
        <v>0.272109375</v>
      </c>
      <c r="L362" s="276" t="n">
        <v>0.272109375</v>
      </c>
      <c r="M362" s="276" t="inlineStr">
        <is>
          <t>Identity Provider; SaaS; IaaS; Windows</t>
        </is>
      </c>
      <c r="N362" s="276" t="inlineStr">
        <is>
          <t>https://attack.mitre.org/techniques/T1078/</t>
        </is>
      </c>
      <c r="O362" s="276" t="n"/>
      <c r="P362" s="277" t="n"/>
    </row>
    <row r="363">
      <c r="A363" s="275" t="inlineStr">
        <is>
          <t>Cybercriminal</t>
        </is>
      </c>
      <c r="B363" s="276" t="inlineStr">
        <is>
          <t>Cyber-enabled theft or fraud</t>
        </is>
      </c>
      <c r="C363" s="276" t="inlineStr">
        <is>
          <t>Identity and credential compromise</t>
        </is>
      </c>
      <c r="D363" s="276" t="inlineStr">
        <is>
          <t>T1110</t>
        </is>
      </c>
      <c r="E363" s="276" t="inlineStr">
        <is>
          <t>Brute Force</t>
        </is>
      </c>
      <c r="F363" s="276" t="inlineStr">
        <is>
          <t>S1</t>
        </is>
      </c>
      <c r="G363" s="276" t="b">
        <v>1</v>
      </c>
      <c r="H363" s="276" t="b">
        <v>1</v>
      </c>
      <c r="I363" s="276" t="b">
        <v>1</v>
      </c>
      <c r="J363" s="276" t="n">
        <v>0.7</v>
      </c>
      <c r="K363" s="276" t="n">
        <v>0.24375</v>
      </c>
      <c r="L363" s="276" t="n">
        <v>0.24375</v>
      </c>
      <c r="M363" s="276" t="inlineStr">
        <is>
          <t>Identity Provider; SaaS; Windows</t>
        </is>
      </c>
      <c r="N363" s="276" t="inlineStr">
        <is>
          <t>https://attack.mitre.org/techniques/T1110/</t>
        </is>
      </c>
      <c r="O363" s="276" t="n"/>
      <c r="P363" s="277" t="n"/>
    </row>
    <row r="364">
      <c r="A364" s="275" t="inlineStr">
        <is>
          <t>Cybercriminal</t>
        </is>
      </c>
      <c r="B364" s="276" t="inlineStr">
        <is>
          <t>Cyber-enabled theft or fraud</t>
        </is>
      </c>
      <c r="C364" s="276" t="inlineStr">
        <is>
          <t>Identity and credential compromise</t>
        </is>
      </c>
      <c r="D364" s="276" t="inlineStr">
        <is>
          <t>T1098</t>
        </is>
      </c>
      <c r="E364" s="276" t="inlineStr">
        <is>
          <t>Account Manipulation</t>
        </is>
      </c>
      <c r="F364" s="276" t="inlineStr">
        <is>
          <t>S3</t>
        </is>
      </c>
      <c r="G364" s="276" t="b">
        <v>1</v>
      </c>
      <c r="H364" s="276" t="b">
        <v>1</v>
      </c>
      <c r="I364" s="276" t="b">
        <v>1</v>
      </c>
      <c r="J364" s="276" t="n">
        <v>0.7</v>
      </c>
      <c r="K364" s="276" t="n">
        <v>0.2477547340393066</v>
      </c>
      <c r="L364" s="276" t="n">
        <v>0.2477547340393066</v>
      </c>
      <c r="M364" s="276" t="inlineStr">
        <is>
          <t>Identity Provider; SaaS; Windows</t>
        </is>
      </c>
      <c r="N364" s="276" t="inlineStr">
        <is>
          <t>https://attack.mitre.org/techniques/T1098/</t>
        </is>
      </c>
      <c r="O364" s="276" t="n"/>
      <c r="P364" s="277" t="n"/>
    </row>
    <row r="365">
      <c r="A365" s="275" t="inlineStr">
        <is>
          <t>Cybercriminal</t>
        </is>
      </c>
      <c r="B365" s="276" t="inlineStr">
        <is>
          <t>Cyber-enabled theft or fraud</t>
        </is>
      </c>
      <c r="C365" s="276" t="inlineStr">
        <is>
          <t>Identity and credential compromise</t>
        </is>
      </c>
      <c r="D365" s="276" t="inlineStr">
        <is>
          <t>T1567</t>
        </is>
      </c>
      <c r="E365" s="276" t="inlineStr">
        <is>
          <t>Exfiltration Over Web Service</t>
        </is>
      </c>
      <c r="F365" s="276" t="inlineStr">
        <is>
          <t>S5</t>
        </is>
      </c>
      <c r="G365" s="276" t="b">
        <v>1</v>
      </c>
      <c r="H365" s="276" t="b">
        <v>0</v>
      </c>
      <c r="I365" s="276" t="b">
        <v>0</v>
      </c>
      <c r="J365" s="276" t="n">
        <v>0.7</v>
      </c>
      <c r="K365" s="276" t="n">
        <v>0.20625</v>
      </c>
      <c r="L365" s="276" t="n">
        <v>0.20625</v>
      </c>
      <c r="M365" s="276" t="inlineStr">
        <is>
          <t>SaaS; Office Suite</t>
        </is>
      </c>
      <c r="N365" s="276" t="inlineStr">
        <is>
          <t>https://attack.mitre.org/techniques/T1567/</t>
        </is>
      </c>
      <c r="O365" s="276" t="n"/>
      <c r="P365" s="277" t="n"/>
    </row>
    <row r="366">
      <c r="A366" s="275" t="inlineStr">
        <is>
          <t>Cybercriminal</t>
        </is>
      </c>
      <c r="B366" s="276" t="inlineStr">
        <is>
          <t>Cyber-enabled theft or fraud</t>
        </is>
      </c>
      <c r="C366" s="276" t="inlineStr">
        <is>
          <t>Identity and credential compromise</t>
        </is>
      </c>
      <c r="D366" s="276" t="inlineStr">
        <is>
          <t>T1657</t>
        </is>
      </c>
      <c r="E366" s="276" t="inlineStr">
        <is>
          <t>Financial Theft</t>
        </is>
      </c>
      <c r="F366" s="276" t="inlineStr">
        <is>
          <t>S5</t>
        </is>
      </c>
      <c r="G366" s="276" t="b">
        <v>1</v>
      </c>
      <c r="H366" s="276" t="b">
        <v>1</v>
      </c>
      <c r="I366" s="276" t="b">
        <v>1</v>
      </c>
      <c r="J366" s="276" t="n">
        <v>0.8</v>
      </c>
      <c r="K366" s="276" t="n">
        <v>0.275654296875</v>
      </c>
      <c r="L366" s="276" t="n">
        <v>0.275654296875</v>
      </c>
      <c r="M366" s="276" t="inlineStr">
        <is>
          <t>SaaS; Office Suite; Identity Provider</t>
        </is>
      </c>
      <c r="N366" s="276" t="inlineStr">
        <is>
          <t>https://attack.mitre.org/techniques/T1657/</t>
        </is>
      </c>
      <c r="O366" s="276" t="n"/>
      <c r="P366" s="277" t="n"/>
    </row>
    <row r="367">
      <c r="A367" s="275" t="inlineStr">
        <is>
          <t>Cybercriminal</t>
        </is>
      </c>
      <c r="B367" s="276" t="inlineStr">
        <is>
          <t>Cyber-enabled theft or fraud</t>
        </is>
      </c>
      <c r="C367" s="276" t="inlineStr">
        <is>
          <t>Identity and credential compromise</t>
        </is>
      </c>
      <c r="D367" s="276" t="inlineStr">
        <is>
          <t>T1565</t>
        </is>
      </c>
      <c r="E367" s="276" t="inlineStr">
        <is>
          <t>Data Manipulation</t>
        </is>
      </c>
      <c r="F367" s="276" t="inlineStr">
        <is>
          <t>S5</t>
        </is>
      </c>
      <c r="G367" s="276" t="b">
        <v>1</v>
      </c>
      <c r="H367" s="276" t="b">
        <v>1</v>
      </c>
      <c r="I367" s="276" t="b">
        <v>1</v>
      </c>
      <c r="J367" s="276" t="n">
        <v>0.5</v>
      </c>
      <c r="K367" s="276" t="n">
        <v>0.2206064987182617</v>
      </c>
      <c r="L367" s="276" t="n">
        <v>0.2206064987182617</v>
      </c>
      <c r="M367" s="276" t="inlineStr">
        <is>
          <t>SaaS; Databases; Windows</t>
        </is>
      </c>
      <c r="N367" s="276" t="inlineStr">
        <is>
          <t>https://attack.mitre.org/techniques/T1565/</t>
        </is>
      </c>
      <c r="O367" s="276" t="n"/>
      <c r="P367" s="277" t="n"/>
    </row>
    <row r="368">
      <c r="A368" s="275" t="inlineStr">
        <is>
          <t>Cybercriminal</t>
        </is>
      </c>
      <c r="B368" s="276" t="inlineStr">
        <is>
          <t>Cyber-enabled theft or fraud</t>
        </is>
      </c>
      <c r="C368" s="276" t="inlineStr">
        <is>
          <t>Identity and credential compromise</t>
        </is>
      </c>
      <c r="D368" s="276" t="inlineStr">
        <is>
          <t>T1486</t>
        </is>
      </c>
      <c r="E368" s="276" t="inlineStr">
        <is>
          <t>Data Encrypted for Impact</t>
        </is>
      </c>
      <c r="F368" s="276" t="inlineStr">
        <is>
          <t>S5</t>
        </is>
      </c>
      <c r="G368" s="276" t="b">
        <v>1</v>
      </c>
      <c r="H368" s="276" t="b">
        <v>0</v>
      </c>
      <c r="I368" s="276" t="b">
        <v>0</v>
      </c>
      <c r="J368" s="276" t="n">
        <v>0.7</v>
      </c>
      <c r="K368" s="276" t="n">
        <v>0.16875</v>
      </c>
      <c r="L368" s="276" t="n">
        <v>0.16875</v>
      </c>
      <c r="M368" s="276" t="inlineStr">
        <is>
          <t>Windows; Linux; IaaS</t>
        </is>
      </c>
      <c r="N368" s="276" t="inlineStr">
        <is>
          <t>https://attack.mitre.org/techniques/T1486/</t>
        </is>
      </c>
      <c r="O368" s="276" t="n"/>
      <c r="P368" s="277" t="n"/>
    </row>
    <row r="369">
      <c r="A369" s="275" t="inlineStr">
        <is>
          <t>Cybercriminal</t>
        </is>
      </c>
      <c r="B369" s="276" t="inlineStr">
        <is>
          <t>Cyber-enabled theft or fraud</t>
        </is>
      </c>
      <c r="C369" s="276" t="inlineStr">
        <is>
          <t>Identity and credential compromise</t>
        </is>
      </c>
      <c r="D369" s="276" t="inlineStr">
        <is>
          <t>T1490</t>
        </is>
      </c>
      <c r="E369" s="276" t="inlineStr">
        <is>
          <t>Inhibit System Recovery</t>
        </is>
      </c>
      <c r="F369" s="276" t="inlineStr">
        <is>
          <t>S5</t>
        </is>
      </c>
      <c r="G369" s="276" t="b">
        <v>1</v>
      </c>
      <c r="H369" s="276" t="b">
        <v>0</v>
      </c>
      <c r="I369" s="276" t="b">
        <v>0</v>
      </c>
      <c r="J369" s="276" t="n">
        <v>0.6</v>
      </c>
      <c r="K369" s="276" t="n">
        <v>0</v>
      </c>
      <c r="L369" s="276" t="n">
        <v>0</v>
      </c>
      <c r="M369" s="276" t="inlineStr">
        <is>
          <t>Windows; Linux; IaaS</t>
        </is>
      </c>
      <c r="N369" s="276" t="inlineStr">
        <is>
          <t>https://attack.mitre.org/techniques/T1490/</t>
        </is>
      </c>
      <c r="O369" s="276" t="n"/>
      <c r="P369" s="277" t="n"/>
    </row>
    <row r="370">
      <c r="A370" s="275" t="inlineStr">
        <is>
          <t>Cybercriminal</t>
        </is>
      </c>
      <c r="B370" s="276" t="inlineStr">
        <is>
          <t>Cyber-enabled theft or fraud</t>
        </is>
      </c>
      <c r="C370" s="276" t="inlineStr">
        <is>
          <t>User endpoint and social engineering</t>
        </is>
      </c>
      <c r="D370" s="276" t="inlineStr">
        <is>
          <t>T1566</t>
        </is>
      </c>
      <c r="E370" s="276" t="inlineStr">
        <is>
          <t>Phishing</t>
        </is>
      </c>
      <c r="F370" s="276" t="inlineStr">
        <is>
          <t>S1</t>
        </is>
      </c>
      <c r="G370" s="276" t="b">
        <v>1</v>
      </c>
      <c r="H370" s="276" t="b">
        <v>1</v>
      </c>
      <c r="I370" s="276" t="b">
        <v>1</v>
      </c>
      <c r="J370" s="276" t="n">
        <v>1</v>
      </c>
      <c r="K370" s="276" t="n">
        <v>0.20625</v>
      </c>
      <c r="L370" s="276" t="n">
        <v>0.20625</v>
      </c>
      <c r="M370" s="276" t="inlineStr">
        <is>
          <t>Windows; SaaS; Office Suite</t>
        </is>
      </c>
      <c r="N370" s="276" t="inlineStr">
        <is>
          <t>https://attack.mitre.org/techniques/T1566/</t>
        </is>
      </c>
      <c r="O370" s="276" t="n"/>
      <c r="P370" s="277" t="n"/>
    </row>
    <row r="371">
      <c r="A371" s="275" t="inlineStr">
        <is>
          <t>Cybercriminal</t>
        </is>
      </c>
      <c r="B371" s="276" t="inlineStr">
        <is>
          <t>Cyber-enabled theft or fraud</t>
        </is>
      </c>
      <c r="C371" s="276" t="inlineStr">
        <is>
          <t>User endpoint and social engineering</t>
        </is>
      </c>
      <c r="D371" s="276" t="inlineStr">
        <is>
          <t>T1203</t>
        </is>
      </c>
      <c r="E371" s="276" t="inlineStr">
        <is>
          <t>Exploitation for Client Execution</t>
        </is>
      </c>
      <c r="F371" s="276" t="inlineStr">
        <is>
          <t>S2</t>
        </is>
      </c>
      <c r="G371" s="276" t="b">
        <v>1</v>
      </c>
      <c r="H371" s="276" t="b">
        <v>1</v>
      </c>
      <c r="I371" s="276" t="b">
        <v>1</v>
      </c>
      <c r="J371" s="276" t="n">
        <v>0.8</v>
      </c>
      <c r="K371" s="276" t="n">
        <v>0.2404920959472656</v>
      </c>
      <c r="L371" s="276" t="n">
        <v>0.2404920959472656</v>
      </c>
      <c r="M371" s="276" t="inlineStr">
        <is>
          <t>Windows; macOS; Linux</t>
        </is>
      </c>
      <c r="N371" s="276" t="inlineStr">
        <is>
          <t>https://attack.mitre.org/techniques/T1203/</t>
        </is>
      </c>
      <c r="O371" s="276" t="n"/>
      <c r="P371" s="277" t="n"/>
    </row>
    <row r="372">
      <c r="A372" s="275" t="inlineStr">
        <is>
          <t>Cybercriminal</t>
        </is>
      </c>
      <c r="B372" s="276" t="inlineStr">
        <is>
          <t>Cyber-enabled theft or fraud</t>
        </is>
      </c>
      <c r="C372" s="276" t="inlineStr">
        <is>
          <t>User endpoint and social engineering</t>
        </is>
      </c>
      <c r="D372" s="276" t="inlineStr">
        <is>
          <t>T1059</t>
        </is>
      </c>
      <c r="E372" s="276" t="inlineStr">
        <is>
          <t>Command and Scripting Interpreter</t>
        </is>
      </c>
      <c r="F372" s="276" t="inlineStr">
        <is>
          <t>S2</t>
        </is>
      </c>
      <c r="G372" s="276" t="b">
        <v>1</v>
      </c>
      <c r="H372" s="276" t="b">
        <v>1</v>
      </c>
      <c r="I372" s="276" t="b">
        <v>1</v>
      </c>
      <c r="J372" s="276" t="n">
        <v>0.9</v>
      </c>
      <c r="K372" s="276" t="n">
        <v>0.1875</v>
      </c>
      <c r="L372" s="276" t="n">
        <v>0.1875</v>
      </c>
      <c r="M372" s="276" t="inlineStr">
        <is>
          <t>Windows; macOS; Linux; IaaS</t>
        </is>
      </c>
      <c r="N372" s="276" t="inlineStr">
        <is>
          <t>https://attack.mitre.org/techniques/T1059/</t>
        </is>
      </c>
      <c r="O372" s="276" t="n"/>
      <c r="P372" s="277" t="n"/>
    </row>
    <row r="373">
      <c r="A373" s="275" t="inlineStr">
        <is>
          <t>Cybercriminal</t>
        </is>
      </c>
      <c r="B373" s="276" t="inlineStr">
        <is>
          <t>Cyber-enabled theft or fraud</t>
        </is>
      </c>
      <c r="C373" s="276" t="inlineStr">
        <is>
          <t>User endpoint and social engineering</t>
        </is>
      </c>
      <c r="D373" s="276" t="inlineStr">
        <is>
          <t>T1486</t>
        </is>
      </c>
      <c r="E373" s="276" t="inlineStr">
        <is>
          <t>Data Encrypted for Impact</t>
        </is>
      </c>
      <c r="F373" s="276" t="inlineStr">
        <is>
          <t>S5</t>
        </is>
      </c>
      <c r="G373" s="276" t="b">
        <v>1</v>
      </c>
      <c r="H373" s="276" t="b">
        <v>0</v>
      </c>
      <c r="I373" s="276" t="b">
        <v>0</v>
      </c>
      <c r="J373" s="276" t="n">
        <v>0.8</v>
      </c>
      <c r="K373" s="276" t="n">
        <v>0.16875</v>
      </c>
      <c r="L373" s="276" t="n">
        <v>0.16875</v>
      </c>
      <c r="M373" s="276" t="inlineStr">
        <is>
          <t>Windows; Linux; IaaS</t>
        </is>
      </c>
      <c r="N373" s="276" t="inlineStr">
        <is>
          <t>https://attack.mitre.org/techniques/T1486/</t>
        </is>
      </c>
      <c r="O373" s="276" t="n"/>
      <c r="P373" s="277" t="n"/>
    </row>
    <row r="374">
      <c r="A374" s="275" t="inlineStr">
        <is>
          <t>Cybercriminal</t>
        </is>
      </c>
      <c r="B374" s="276" t="inlineStr">
        <is>
          <t>Cyber-enabled theft or fraud</t>
        </is>
      </c>
      <c r="C374" s="276" t="inlineStr">
        <is>
          <t>User endpoint and social engineering</t>
        </is>
      </c>
      <c r="D374" s="276" t="inlineStr">
        <is>
          <t>T1490</t>
        </is>
      </c>
      <c r="E374" s="276" t="inlineStr">
        <is>
          <t>Inhibit System Recovery</t>
        </is>
      </c>
      <c r="F374" s="276" t="inlineStr">
        <is>
          <t>S5</t>
        </is>
      </c>
      <c r="G374" s="276" t="b">
        <v>1</v>
      </c>
      <c r="H374" s="276" t="b">
        <v>0</v>
      </c>
      <c r="I374" s="276" t="b">
        <v>0</v>
      </c>
      <c r="J374" s="276" t="n">
        <v>0.7</v>
      </c>
      <c r="K374" s="276" t="n">
        <v>0</v>
      </c>
      <c r="L374" s="276" t="n">
        <v>0</v>
      </c>
      <c r="M374" s="276" t="inlineStr">
        <is>
          <t>Windows; Linux; IaaS</t>
        </is>
      </c>
      <c r="N374" s="276" t="inlineStr">
        <is>
          <t>https://attack.mitre.org/techniques/T1490/</t>
        </is>
      </c>
      <c r="O374" s="276" t="n"/>
      <c r="P374" s="277" t="n"/>
    </row>
    <row r="375">
      <c r="A375" s="275" t="inlineStr">
        <is>
          <t>Cybercriminal</t>
        </is>
      </c>
      <c r="B375" s="276" t="inlineStr">
        <is>
          <t>Cyber-enabled theft or fraud</t>
        </is>
      </c>
      <c r="C375" s="276" t="inlineStr">
        <is>
          <t>User endpoint and social engineering</t>
        </is>
      </c>
      <c r="D375" s="276" t="inlineStr">
        <is>
          <t>T1567</t>
        </is>
      </c>
      <c r="E375" s="276" t="inlineStr">
        <is>
          <t>Exfiltration Over Web Service</t>
        </is>
      </c>
      <c r="F375" s="276" t="inlineStr">
        <is>
          <t>S5</t>
        </is>
      </c>
      <c r="G375" s="276" t="b">
        <v>1</v>
      </c>
      <c r="H375" s="276" t="b">
        <v>0</v>
      </c>
      <c r="I375" s="276" t="b">
        <v>0</v>
      </c>
      <c r="J375" s="276" t="n">
        <v>0.7</v>
      </c>
      <c r="K375" s="276" t="n">
        <v>0.20625</v>
      </c>
      <c r="L375" s="276" t="n">
        <v>0.20625</v>
      </c>
      <c r="M375" s="276" t="inlineStr">
        <is>
          <t>SaaS; Office Suite</t>
        </is>
      </c>
      <c r="N375" s="276" t="inlineStr">
        <is>
          <t>https://attack.mitre.org/techniques/T1567/</t>
        </is>
      </c>
      <c r="O375" s="276" t="n"/>
      <c r="P375" s="277" t="n"/>
    </row>
    <row r="376">
      <c r="A376" s="275" t="inlineStr">
        <is>
          <t>Cybercriminal</t>
        </is>
      </c>
      <c r="B376" s="276" t="inlineStr">
        <is>
          <t>Cyber-enabled theft or fraud</t>
        </is>
      </c>
      <c r="C376" s="276" t="inlineStr">
        <is>
          <t>User endpoint and social engineering</t>
        </is>
      </c>
      <c r="D376" s="276" t="inlineStr">
        <is>
          <t>T1657</t>
        </is>
      </c>
      <c r="E376" s="276" t="inlineStr">
        <is>
          <t>Financial Theft</t>
        </is>
      </c>
      <c r="F376" s="276" t="inlineStr">
        <is>
          <t>S5</t>
        </is>
      </c>
      <c r="G376" s="276" t="b">
        <v>1</v>
      </c>
      <c r="H376" s="276" t="b">
        <v>1</v>
      </c>
      <c r="I376" s="276" t="b">
        <v>1</v>
      </c>
      <c r="J376" s="276" t="n">
        <v>0.5</v>
      </c>
      <c r="K376" s="276" t="n">
        <v>0.275654296875</v>
      </c>
      <c r="L376" s="276" t="n">
        <v>0.275654296875</v>
      </c>
      <c r="M376" s="276" t="inlineStr">
        <is>
          <t>SaaS; Office Suite; Identity Provider</t>
        </is>
      </c>
      <c r="N376" s="276" t="inlineStr">
        <is>
          <t>https://attack.mitre.org/techniques/T1657/</t>
        </is>
      </c>
      <c r="O376" s="276" t="n"/>
      <c r="P376" s="277" t="n"/>
    </row>
    <row r="377">
      <c r="A377" s="275" t="inlineStr">
        <is>
          <t>Cybercriminal</t>
        </is>
      </c>
      <c r="B377" s="276" t="inlineStr">
        <is>
          <t>Cyber-enabled theft or fraud</t>
        </is>
      </c>
      <c r="C377" s="276" t="inlineStr">
        <is>
          <t>User endpoint and social engineering</t>
        </is>
      </c>
      <c r="D377" s="276" t="inlineStr">
        <is>
          <t>T1565</t>
        </is>
      </c>
      <c r="E377" s="276" t="inlineStr">
        <is>
          <t>Data Manipulation</t>
        </is>
      </c>
      <c r="F377" s="276" t="inlineStr">
        <is>
          <t>S5</t>
        </is>
      </c>
      <c r="G377" s="276" t="b">
        <v>1</v>
      </c>
      <c r="H377" s="276" t="b">
        <v>1</v>
      </c>
      <c r="I377" s="276" t="b">
        <v>1</v>
      </c>
      <c r="J377" s="276" t="n">
        <v>0.5</v>
      </c>
      <c r="K377" s="276" t="n">
        <v>0.2206064987182617</v>
      </c>
      <c r="L377" s="276" t="n">
        <v>0.2206064987182617</v>
      </c>
      <c r="M377" s="276" t="inlineStr">
        <is>
          <t>SaaS; Databases; Windows</t>
        </is>
      </c>
      <c r="N377" s="276" t="inlineStr">
        <is>
          <t>https://attack.mitre.org/techniques/T1565/</t>
        </is>
      </c>
      <c r="O377" s="276" t="n"/>
      <c r="P377" s="277" t="n"/>
    </row>
    <row r="378">
      <c r="A378" s="275" t="inlineStr">
        <is>
          <t>Cybercriminal</t>
        </is>
      </c>
      <c r="B378" s="276" t="inlineStr">
        <is>
          <t>Cyber-enabled theft or fraud</t>
        </is>
      </c>
      <c r="C378" s="276" t="inlineStr">
        <is>
          <t>Public-facing application exploitation</t>
        </is>
      </c>
      <c r="D378" s="276" t="inlineStr">
        <is>
          <t>T1190</t>
        </is>
      </c>
      <c r="E378" s="276" t="inlineStr">
        <is>
          <t>Exploit Public-Facing Application</t>
        </is>
      </c>
      <c r="F378" s="276" t="inlineStr">
        <is>
          <t>S1</t>
        </is>
      </c>
      <c r="G378" s="276" t="b">
        <v>1</v>
      </c>
      <c r="H378" s="276" t="b">
        <v>1</v>
      </c>
      <c r="I378" s="276" t="b">
        <v>1</v>
      </c>
      <c r="J378" s="276" t="n">
        <v>1</v>
      </c>
      <c r="K378" s="276" t="n">
        <v>0.2496630477905274</v>
      </c>
      <c r="L378" s="276" t="n">
        <v>0.2496630477905274</v>
      </c>
      <c r="M378" s="276" t="inlineStr">
        <is>
          <t>Network Devices; SaaS; IaaS</t>
        </is>
      </c>
      <c r="N378" s="276" t="inlineStr">
        <is>
          <t>https://attack.mitre.org/techniques/T1190/</t>
        </is>
      </c>
      <c r="O378" s="276" t="n"/>
      <c r="P378" s="277" t="n"/>
    </row>
    <row r="379">
      <c r="A379" s="275" t="inlineStr">
        <is>
          <t>Cybercriminal</t>
        </is>
      </c>
      <c r="B379" s="276" t="inlineStr">
        <is>
          <t>Cyber-enabled theft or fraud</t>
        </is>
      </c>
      <c r="C379" s="276" t="inlineStr">
        <is>
          <t>Public-facing application exploitation</t>
        </is>
      </c>
      <c r="D379" s="276" t="inlineStr">
        <is>
          <t>T1059</t>
        </is>
      </c>
      <c r="E379" s="276" t="inlineStr">
        <is>
          <t>Command and Scripting Interpreter</t>
        </is>
      </c>
      <c r="F379" s="276" t="inlineStr">
        <is>
          <t>S2</t>
        </is>
      </c>
      <c r="G379" s="276" t="b">
        <v>1</v>
      </c>
      <c r="H379" s="276" t="b">
        <v>1</v>
      </c>
      <c r="I379" s="276" t="b">
        <v>1</v>
      </c>
      <c r="J379" s="276" t="n">
        <v>0.8</v>
      </c>
      <c r="K379" s="276" t="n">
        <v>0.1875</v>
      </c>
      <c r="L379" s="276" t="n">
        <v>0.1875</v>
      </c>
      <c r="M379" s="276" t="inlineStr">
        <is>
          <t>Windows; macOS; Linux; IaaS</t>
        </is>
      </c>
      <c r="N379" s="276" t="inlineStr">
        <is>
          <t>https://attack.mitre.org/techniques/T1059/</t>
        </is>
      </c>
      <c r="O379" s="276" t="n"/>
      <c r="P379" s="277" t="n"/>
    </row>
    <row r="380">
      <c r="A380" s="275" t="inlineStr">
        <is>
          <t>Cybercriminal</t>
        </is>
      </c>
      <c r="B380" s="276" t="inlineStr">
        <is>
          <t>Cyber-enabled theft or fraud</t>
        </is>
      </c>
      <c r="C380" s="276" t="inlineStr">
        <is>
          <t>Public-facing application exploitation</t>
        </is>
      </c>
      <c r="D380" s="276" t="inlineStr">
        <is>
          <t>T1068</t>
        </is>
      </c>
      <c r="E380" s="276" t="inlineStr">
        <is>
          <t>Exploitation for Privilege Escalation</t>
        </is>
      </c>
      <c r="F380" s="276" t="inlineStr">
        <is>
          <t>S3</t>
        </is>
      </c>
      <c r="G380" s="276" t="b">
        <v>1</v>
      </c>
      <c r="H380" s="276" t="b">
        <v>1</v>
      </c>
      <c r="I380" s="276" t="b">
        <v>1</v>
      </c>
      <c r="J380" s="276" t="n">
        <v>0.7</v>
      </c>
      <c r="K380" s="276" t="n">
        <v>0.2094165115356445</v>
      </c>
      <c r="L380" s="276" t="n">
        <v>0.2094165115356445</v>
      </c>
      <c r="M380" s="276" t="inlineStr">
        <is>
          <t>Windows; macOS; Linux</t>
        </is>
      </c>
      <c r="N380" s="276" t="inlineStr">
        <is>
          <t>https://attack.mitre.org/techniques/T1068/</t>
        </is>
      </c>
      <c r="O380" s="276" t="n"/>
      <c r="P380" s="277" t="n"/>
    </row>
    <row r="381">
      <c r="A381" s="275" t="inlineStr">
        <is>
          <t>Cybercriminal</t>
        </is>
      </c>
      <c r="B381" s="276" t="inlineStr">
        <is>
          <t>Cyber-enabled theft or fraud</t>
        </is>
      </c>
      <c r="C381" s="276" t="inlineStr">
        <is>
          <t>Public-facing application exploitation</t>
        </is>
      </c>
      <c r="D381" s="276" t="inlineStr">
        <is>
          <t>T1003</t>
        </is>
      </c>
      <c r="E381" s="276" t="inlineStr">
        <is>
          <t>OS Credential Dumping</t>
        </is>
      </c>
      <c r="F381" s="276" t="inlineStr">
        <is>
          <t>S3</t>
        </is>
      </c>
      <c r="G381" s="276" t="b">
        <v>1</v>
      </c>
      <c r="H381" s="276" t="b">
        <v>1</v>
      </c>
      <c r="I381" s="276" t="b">
        <v>1</v>
      </c>
      <c r="J381" s="276" t="n">
        <v>0.6</v>
      </c>
      <c r="K381" s="276" t="n">
        <v>0.232294921875</v>
      </c>
      <c r="L381" s="276" t="n">
        <v>0.232294921875</v>
      </c>
      <c r="M381" s="276" t="inlineStr">
        <is>
          <t>Windows; Linux; macOS</t>
        </is>
      </c>
      <c r="N381" s="276" t="inlineStr">
        <is>
          <t>https://attack.mitre.org/techniques/T1003/</t>
        </is>
      </c>
      <c r="O381" s="276" t="n"/>
      <c r="P381" s="277" t="n"/>
    </row>
    <row r="382">
      <c r="A382" s="275" t="inlineStr">
        <is>
          <t>Cybercriminal</t>
        </is>
      </c>
      <c r="B382" s="276" t="inlineStr">
        <is>
          <t>Cyber-enabled theft or fraud</t>
        </is>
      </c>
      <c r="C382" s="276" t="inlineStr">
        <is>
          <t>Public-facing application exploitation</t>
        </is>
      </c>
      <c r="D382" s="276" t="inlineStr">
        <is>
          <t>T1046</t>
        </is>
      </c>
      <c r="E382" s="276" t="inlineStr">
        <is>
          <t>Network Service Discovery</t>
        </is>
      </c>
      <c r="F382" s="276" t="inlineStr">
        <is>
          <t>S4</t>
        </is>
      </c>
      <c r="G382" s="276" t="b">
        <v>1</v>
      </c>
      <c r="H382" s="276" t="b">
        <v>1</v>
      </c>
      <c r="I382" s="276" t="b">
        <v>1</v>
      </c>
      <c r="J382" s="276" t="n">
        <v>0.7</v>
      </c>
      <c r="K382" s="276" t="n">
        <v>0.16875</v>
      </c>
      <c r="L382" s="276" t="n">
        <v>0.16875</v>
      </c>
      <c r="M382" s="276" t="inlineStr">
        <is>
          <t>Network Devices; Windows; Linux</t>
        </is>
      </c>
      <c r="N382" s="276" t="inlineStr">
        <is>
          <t>https://attack.mitre.org/techniques/T1046/</t>
        </is>
      </c>
      <c r="O382" s="276" t="n"/>
      <c r="P382" s="277" t="n"/>
    </row>
    <row r="383">
      <c r="A383" s="275" t="inlineStr">
        <is>
          <t>Cybercriminal</t>
        </is>
      </c>
      <c r="B383" s="276" t="inlineStr">
        <is>
          <t>Cyber-enabled theft or fraud</t>
        </is>
      </c>
      <c r="C383" s="276" t="inlineStr">
        <is>
          <t>Public-facing application exploitation</t>
        </is>
      </c>
      <c r="D383" s="276" t="inlineStr">
        <is>
          <t>T1210</t>
        </is>
      </c>
      <c r="E383" s="276" t="inlineStr">
        <is>
          <t>Exploitation of Remote Services</t>
        </is>
      </c>
      <c r="F383" s="276" t="inlineStr">
        <is>
          <t>S4</t>
        </is>
      </c>
      <c r="G383" s="276" t="b">
        <v>1</v>
      </c>
      <c r="H383" s="276" t="b">
        <v>1</v>
      </c>
      <c r="I383" s="276" t="b">
        <v>1</v>
      </c>
      <c r="J383" s="276" t="n">
        <v>0.9</v>
      </c>
      <c r="K383" s="276" t="n">
        <v>0.2103495368957519</v>
      </c>
      <c r="L383" s="276" t="n">
        <v>0.2103495368957519</v>
      </c>
      <c r="M383" s="276" t="inlineStr">
        <is>
          <t>Windows; Linux; Network Devices</t>
        </is>
      </c>
      <c r="N383" s="276" t="inlineStr">
        <is>
          <t>https://attack.mitre.org/techniques/T1210/</t>
        </is>
      </c>
      <c r="O383" s="276" t="n"/>
      <c r="P383" s="277" t="n"/>
    </row>
    <row r="384">
      <c r="A384" s="275" t="inlineStr">
        <is>
          <t>Cybercriminal</t>
        </is>
      </c>
      <c r="B384" s="276" t="inlineStr">
        <is>
          <t>Cyber-enabled theft or fraud</t>
        </is>
      </c>
      <c r="C384" s="276" t="inlineStr">
        <is>
          <t>Public-facing application exploitation</t>
        </is>
      </c>
      <c r="D384" s="276" t="inlineStr">
        <is>
          <t>T1021</t>
        </is>
      </c>
      <c r="E384" s="276" t="inlineStr">
        <is>
          <t>Remote Services</t>
        </is>
      </c>
      <c r="F384" s="276" t="inlineStr">
        <is>
          <t>S4</t>
        </is>
      </c>
      <c r="G384" s="276" t="b">
        <v>1</v>
      </c>
      <c r="H384" s="276" t="b">
        <v>1</v>
      </c>
      <c r="I384" s="276" t="b">
        <v>1</v>
      </c>
      <c r="J384" s="276" t="n">
        <v>0.7</v>
      </c>
      <c r="K384" s="276" t="n">
        <v>0.1875</v>
      </c>
      <c r="L384" s="276" t="n">
        <v>0.1875</v>
      </c>
      <c r="M384" s="276" t="inlineStr">
        <is>
          <t>Windows; Linux; Network Devices</t>
        </is>
      </c>
      <c r="N384" s="276" t="inlineStr">
        <is>
          <t>https://attack.mitre.org/techniques/T1021/</t>
        </is>
      </c>
      <c r="O384" s="276" t="n"/>
      <c r="P384" s="277" t="n"/>
    </row>
    <row r="385">
      <c r="A385" s="275" t="inlineStr">
        <is>
          <t>Cybercriminal</t>
        </is>
      </c>
      <c r="B385" s="276" t="inlineStr">
        <is>
          <t>Cyber-enabled theft or fraud</t>
        </is>
      </c>
      <c r="C385" s="276" t="inlineStr">
        <is>
          <t>Public-facing application exploitation</t>
        </is>
      </c>
      <c r="D385" s="276" t="inlineStr">
        <is>
          <t>T1486</t>
        </is>
      </c>
      <c r="E385" s="276" t="inlineStr">
        <is>
          <t>Data Encrypted for Impact</t>
        </is>
      </c>
      <c r="F385" s="276" t="inlineStr">
        <is>
          <t>S5</t>
        </is>
      </c>
      <c r="G385" s="276" t="b">
        <v>1</v>
      </c>
      <c r="H385" s="276" t="b">
        <v>0</v>
      </c>
      <c r="I385" s="276" t="b">
        <v>0</v>
      </c>
      <c r="J385" s="276" t="n">
        <v>0.6</v>
      </c>
      <c r="K385" s="276" t="n">
        <v>0.16875</v>
      </c>
      <c r="L385" s="276" t="n">
        <v>0.16875</v>
      </c>
      <c r="M385" s="276" t="inlineStr">
        <is>
          <t>Windows; Linux; IaaS</t>
        </is>
      </c>
      <c r="N385" s="276" t="inlineStr">
        <is>
          <t>https://attack.mitre.org/techniques/T1486/</t>
        </is>
      </c>
      <c r="O385" s="276" t="n"/>
      <c r="P385" s="277" t="n"/>
    </row>
    <row r="386">
      <c r="A386" s="275" t="inlineStr">
        <is>
          <t>Cybercriminal</t>
        </is>
      </c>
      <c r="B386" s="276" t="inlineStr">
        <is>
          <t>Cyber-enabled theft or fraud</t>
        </is>
      </c>
      <c r="C386" s="276" t="inlineStr">
        <is>
          <t>Public-facing application exploitation</t>
        </is>
      </c>
      <c r="D386" s="276" t="inlineStr">
        <is>
          <t>T1490</t>
        </is>
      </c>
      <c r="E386" s="276" t="inlineStr">
        <is>
          <t>Inhibit System Recovery</t>
        </is>
      </c>
      <c r="F386" s="276" t="inlineStr">
        <is>
          <t>S5</t>
        </is>
      </c>
      <c r="G386" s="276" t="b">
        <v>1</v>
      </c>
      <c r="H386" s="276" t="b">
        <v>0</v>
      </c>
      <c r="I386" s="276" t="b">
        <v>0</v>
      </c>
      <c r="J386" s="276" t="n">
        <v>0.5</v>
      </c>
      <c r="K386" s="276" t="n">
        <v>0</v>
      </c>
      <c r="L386" s="276" t="n">
        <v>0</v>
      </c>
      <c r="M386" s="276" t="inlineStr">
        <is>
          <t>Windows; Linux; IaaS</t>
        </is>
      </c>
      <c r="N386" s="276" t="inlineStr">
        <is>
          <t>https://attack.mitre.org/techniques/T1490/</t>
        </is>
      </c>
      <c r="O386" s="276" t="n"/>
      <c r="P386" s="277" t="n"/>
    </row>
    <row r="387">
      <c r="A387" s="275" t="inlineStr">
        <is>
          <t>Cybercriminal</t>
        </is>
      </c>
      <c r="B387" s="276" t="inlineStr">
        <is>
          <t>Cyber-enabled theft or fraud</t>
        </is>
      </c>
      <c r="C387" s="276" t="inlineStr">
        <is>
          <t>Public-facing application exploitation</t>
        </is>
      </c>
      <c r="D387" s="276" t="inlineStr">
        <is>
          <t>T1567</t>
        </is>
      </c>
      <c r="E387" s="276" t="inlineStr">
        <is>
          <t>Exfiltration Over Web Service</t>
        </is>
      </c>
      <c r="F387" s="276" t="inlineStr">
        <is>
          <t>S5</t>
        </is>
      </c>
      <c r="G387" s="276" t="b">
        <v>1</v>
      </c>
      <c r="H387" s="276" t="b">
        <v>0</v>
      </c>
      <c r="I387" s="276" t="b">
        <v>0</v>
      </c>
      <c r="J387" s="276" t="n">
        <v>0.6</v>
      </c>
      <c r="K387" s="276" t="n">
        <v>0.20625</v>
      </c>
      <c r="L387" s="276" t="n">
        <v>0.20625</v>
      </c>
      <c r="M387" s="276" t="inlineStr">
        <is>
          <t>SaaS; Office Suite</t>
        </is>
      </c>
      <c r="N387" s="276" t="inlineStr">
        <is>
          <t>https://attack.mitre.org/techniques/T1567/</t>
        </is>
      </c>
      <c r="O387" s="276" t="n"/>
      <c r="P387" s="277" t="n"/>
    </row>
    <row r="388">
      <c r="A388" s="275" t="inlineStr">
        <is>
          <t>Cybercriminal</t>
        </is>
      </c>
      <c r="B388" s="276" t="inlineStr">
        <is>
          <t>Cyber-enabled theft or fraud</t>
        </is>
      </c>
      <c r="C388" s="276" t="inlineStr">
        <is>
          <t>Public-facing application exploitation</t>
        </is>
      </c>
      <c r="D388" s="276" t="inlineStr">
        <is>
          <t>T1565</t>
        </is>
      </c>
      <c r="E388" s="276" t="inlineStr">
        <is>
          <t>Data Manipulation</t>
        </is>
      </c>
      <c r="F388" s="276" t="inlineStr">
        <is>
          <t>S5</t>
        </is>
      </c>
      <c r="G388" s="276" t="b">
        <v>1</v>
      </c>
      <c r="H388" s="276" t="b">
        <v>1</v>
      </c>
      <c r="I388" s="276" t="b">
        <v>1</v>
      </c>
      <c r="J388" s="276" t="n">
        <v>0.6</v>
      </c>
      <c r="K388" s="276" t="n">
        <v>0.2206064987182617</v>
      </c>
      <c r="L388" s="276" t="n">
        <v>0.2206064987182617</v>
      </c>
      <c r="M388" s="276" t="inlineStr">
        <is>
          <t>SaaS; Databases; Windows</t>
        </is>
      </c>
      <c r="N388" s="276" t="inlineStr">
        <is>
          <t>https://attack.mitre.org/techniques/T1565/</t>
        </is>
      </c>
      <c r="O388" s="276" t="n"/>
      <c r="P388" s="277" t="n"/>
    </row>
    <row r="389">
      <c r="A389" s="275" t="inlineStr">
        <is>
          <t>Cybercriminal</t>
        </is>
      </c>
      <c r="B389" s="276" t="inlineStr">
        <is>
          <t>Cyber-enabled theft or fraud</t>
        </is>
      </c>
      <c r="C389" s="276" t="inlineStr">
        <is>
          <t>Public-facing application exploitation</t>
        </is>
      </c>
      <c r="D389" s="276" t="inlineStr">
        <is>
          <t>T1657</t>
        </is>
      </c>
      <c r="E389" s="276" t="inlineStr">
        <is>
          <t>Financial Theft</t>
        </is>
      </c>
      <c r="F389" s="276" t="inlineStr">
        <is>
          <t>S5</t>
        </is>
      </c>
      <c r="G389" s="276" t="b">
        <v>1</v>
      </c>
      <c r="H389" s="276" t="b">
        <v>1</v>
      </c>
      <c r="I389" s="276" t="b">
        <v>1</v>
      </c>
      <c r="J389" s="276" t="n">
        <v>0.4</v>
      </c>
      <c r="K389" s="276" t="n">
        <v>0.275654296875</v>
      </c>
      <c r="L389" s="276" t="n">
        <v>0.275654296875</v>
      </c>
      <c r="M389" s="276" t="inlineStr">
        <is>
          <t>SaaS; Office Suite; Identity Provider</t>
        </is>
      </c>
      <c r="N389" s="276" t="inlineStr">
        <is>
          <t>https://attack.mitre.org/techniques/T1657/</t>
        </is>
      </c>
      <c r="O389" s="276" t="n"/>
      <c r="P389" s="277" t="n"/>
    </row>
    <row r="390">
      <c r="A390" s="275" t="inlineStr">
        <is>
          <t>Cybercriminal</t>
        </is>
      </c>
      <c r="B390" s="276" t="inlineStr">
        <is>
          <t>Cyber-enabled theft or fraud</t>
        </is>
      </c>
      <c r="C390" s="276" t="inlineStr">
        <is>
          <t>Third-party or software supply chain</t>
        </is>
      </c>
      <c r="D390" s="276" t="inlineStr">
        <is>
          <t>T1199</t>
        </is>
      </c>
      <c r="E390" s="276" t="inlineStr">
        <is>
          <t>Trusted Relationship</t>
        </is>
      </c>
      <c r="F390" s="276" t="inlineStr">
        <is>
          <t>S3</t>
        </is>
      </c>
      <c r="G390" s="276" t="b">
        <v>1</v>
      </c>
      <c r="H390" s="276" t="b">
        <v>1</v>
      </c>
      <c r="I390" s="276" t="b">
        <v>1</v>
      </c>
      <c r="J390" s="276" t="n">
        <v>1</v>
      </c>
      <c r="K390" s="276" t="n">
        <v>0.20625</v>
      </c>
      <c r="L390" s="276" t="n">
        <v>0.20625</v>
      </c>
      <c r="M390" s="276" t="inlineStr">
        <is>
          <t>SaaS; IaaS; Network Devices</t>
        </is>
      </c>
      <c r="N390" s="276" t="inlineStr">
        <is>
          <t>https://attack.mitre.org/techniques/T1199/</t>
        </is>
      </c>
      <c r="O390" s="276" t="n"/>
      <c r="P390" s="277" t="n"/>
    </row>
    <row r="391">
      <c r="A391" s="275" t="inlineStr">
        <is>
          <t>Cybercriminal</t>
        </is>
      </c>
      <c r="B391" s="276" t="inlineStr">
        <is>
          <t>Cyber-enabled theft or fraud</t>
        </is>
      </c>
      <c r="C391" s="276" t="inlineStr">
        <is>
          <t>Third-party or software supply chain</t>
        </is>
      </c>
      <c r="D391" s="276" t="inlineStr">
        <is>
          <t>T1098</t>
        </is>
      </c>
      <c r="E391" s="276" t="inlineStr">
        <is>
          <t>Account Manipulation</t>
        </is>
      </c>
      <c r="F391" s="276" t="inlineStr">
        <is>
          <t>S3</t>
        </is>
      </c>
      <c r="G391" s="276" t="b">
        <v>1</v>
      </c>
      <c r="H391" s="276" t="b">
        <v>1</v>
      </c>
      <c r="I391" s="276" t="b">
        <v>1</v>
      </c>
      <c r="J391" s="276" t="n">
        <v>0.6</v>
      </c>
      <c r="K391" s="276" t="n">
        <v>0.2477547340393066</v>
      </c>
      <c r="L391" s="276" t="n">
        <v>0.2477547340393066</v>
      </c>
      <c r="M391" s="276" t="inlineStr">
        <is>
          <t>Identity Provider; SaaS; Windows</t>
        </is>
      </c>
      <c r="N391" s="276" t="inlineStr">
        <is>
          <t>https://attack.mitre.org/techniques/T1098/</t>
        </is>
      </c>
      <c r="O391" s="276" t="n"/>
      <c r="P391" s="277" t="n"/>
    </row>
    <row r="392">
      <c r="A392" s="275" t="inlineStr">
        <is>
          <t>Cybercriminal</t>
        </is>
      </c>
      <c r="B392" s="276" t="inlineStr">
        <is>
          <t>Cyber-enabled theft or fraud</t>
        </is>
      </c>
      <c r="C392" s="276" t="inlineStr">
        <is>
          <t>Third-party or software supply chain</t>
        </is>
      </c>
      <c r="D392" s="276" t="inlineStr">
        <is>
          <t>T1087</t>
        </is>
      </c>
      <c r="E392" s="276" t="inlineStr">
        <is>
          <t>Account Discovery</t>
        </is>
      </c>
      <c r="F392" s="276" t="inlineStr">
        <is>
          <t>S4</t>
        </is>
      </c>
      <c r="G392" s="276" t="b">
        <v>1</v>
      </c>
      <c r="H392" s="276" t="b">
        <v>1</v>
      </c>
      <c r="I392" s="276" t="b">
        <v>1</v>
      </c>
      <c r="J392" s="276" t="n">
        <v>0.5</v>
      </c>
      <c r="K392" s="276" t="n">
        <v>0</v>
      </c>
      <c r="L392" s="276" t="n">
        <v>0</v>
      </c>
      <c r="M392" s="276" t="inlineStr">
        <is>
          <t>Identity Provider; SaaS; Windows</t>
        </is>
      </c>
      <c r="N392" s="276" t="inlineStr">
        <is>
          <t>https://attack.mitre.org/techniques/T1087/</t>
        </is>
      </c>
      <c r="O392" s="276" t="n"/>
      <c r="P392" s="277" t="n"/>
    </row>
    <row r="393">
      <c r="A393" s="275" t="inlineStr">
        <is>
          <t>Cybercriminal</t>
        </is>
      </c>
      <c r="B393" s="276" t="inlineStr">
        <is>
          <t>Cyber-enabled theft or fraud</t>
        </is>
      </c>
      <c r="C393" s="276" t="inlineStr">
        <is>
          <t>Third-party or software supply chain</t>
        </is>
      </c>
      <c r="D393" s="276" t="inlineStr">
        <is>
          <t>T1213</t>
        </is>
      </c>
      <c r="E393" s="276" t="inlineStr">
        <is>
          <t>Data from Information Repositories</t>
        </is>
      </c>
      <c r="F393" s="276" t="inlineStr">
        <is>
          <t>S4</t>
        </is>
      </c>
      <c r="G393" s="276" t="b">
        <v>1</v>
      </c>
      <c r="H393" s="276" t="b">
        <v>1</v>
      </c>
      <c r="I393" s="276" t="b">
        <v>1</v>
      </c>
      <c r="J393" s="276" t="n">
        <v>0.7</v>
      </c>
      <c r="K393" s="276" t="n">
        <v>0.177890625</v>
      </c>
      <c r="L393" s="276" t="n">
        <v>0.177890625</v>
      </c>
      <c r="M393" s="276" t="inlineStr">
        <is>
          <t>SaaS; Office Suite; Windows</t>
        </is>
      </c>
      <c r="N393" s="276" t="inlineStr">
        <is>
          <t>https://attack.mitre.org/techniques/T1213/</t>
        </is>
      </c>
      <c r="O393" s="276" t="n"/>
      <c r="P393" s="277" t="n"/>
    </row>
    <row r="394">
      <c r="A394" s="275" t="inlineStr">
        <is>
          <t>Cybercriminal</t>
        </is>
      </c>
      <c r="B394" s="276" t="inlineStr">
        <is>
          <t>Cyber-enabled theft or fraud</t>
        </is>
      </c>
      <c r="C394" s="276" t="inlineStr">
        <is>
          <t>Third-party or software supply chain</t>
        </is>
      </c>
      <c r="D394" s="276" t="inlineStr">
        <is>
          <t>T1567</t>
        </is>
      </c>
      <c r="E394" s="276" t="inlineStr">
        <is>
          <t>Exfiltration Over Web Service</t>
        </is>
      </c>
      <c r="F394" s="276" t="inlineStr">
        <is>
          <t>S5</t>
        </is>
      </c>
      <c r="G394" s="276" t="b">
        <v>1</v>
      </c>
      <c r="H394" s="276" t="b">
        <v>0</v>
      </c>
      <c r="I394" s="276" t="b">
        <v>0</v>
      </c>
      <c r="J394" s="276" t="n">
        <v>0.6</v>
      </c>
      <c r="K394" s="276" t="n">
        <v>0.20625</v>
      </c>
      <c r="L394" s="276" t="n">
        <v>0.20625</v>
      </c>
      <c r="M394" s="276" t="inlineStr">
        <is>
          <t>SaaS; Office Suite</t>
        </is>
      </c>
      <c r="N394" s="276" t="inlineStr">
        <is>
          <t>https://attack.mitre.org/techniques/T1567/</t>
        </is>
      </c>
      <c r="O394" s="276" t="n"/>
      <c r="P394" s="277" t="n"/>
    </row>
    <row r="395">
      <c r="A395" s="275" t="inlineStr">
        <is>
          <t>Cybercriminal</t>
        </is>
      </c>
      <c r="B395" s="276" t="inlineStr">
        <is>
          <t>Cyber-enabled theft or fraud</t>
        </is>
      </c>
      <c r="C395" s="276" t="inlineStr">
        <is>
          <t>Third-party or software supply chain</t>
        </is>
      </c>
      <c r="D395" s="276" t="inlineStr">
        <is>
          <t>T1486</t>
        </is>
      </c>
      <c r="E395" s="276" t="inlineStr">
        <is>
          <t>Data Encrypted for Impact</t>
        </is>
      </c>
      <c r="F395" s="276" t="inlineStr">
        <is>
          <t>S5</t>
        </is>
      </c>
      <c r="G395" s="276" t="b">
        <v>1</v>
      </c>
      <c r="H395" s="276" t="b">
        <v>0</v>
      </c>
      <c r="I395" s="276" t="b">
        <v>0</v>
      </c>
      <c r="J395" s="276" t="n">
        <v>0.5</v>
      </c>
      <c r="K395" s="276" t="n">
        <v>0.16875</v>
      </c>
      <c r="L395" s="276" t="n">
        <v>0.16875</v>
      </c>
      <c r="M395" s="276" t="inlineStr">
        <is>
          <t>Windows; Linux; IaaS</t>
        </is>
      </c>
      <c r="N395" s="276" t="inlineStr">
        <is>
          <t>https://attack.mitre.org/techniques/T1486/</t>
        </is>
      </c>
      <c r="O395" s="276" t="n"/>
      <c r="P395" s="277" t="n"/>
    </row>
    <row r="396">
      <c r="A396" s="275" t="inlineStr">
        <is>
          <t>Cybercriminal</t>
        </is>
      </c>
      <c r="B396" s="276" t="inlineStr">
        <is>
          <t>Cyber-enabled theft or fraud</t>
        </is>
      </c>
      <c r="C396" s="276" t="inlineStr">
        <is>
          <t>Third-party or software supply chain</t>
        </is>
      </c>
      <c r="D396" s="276" t="inlineStr">
        <is>
          <t>T1565</t>
        </is>
      </c>
      <c r="E396" s="276" t="inlineStr">
        <is>
          <t>Data Manipulation</t>
        </is>
      </c>
      <c r="F396" s="276" t="inlineStr">
        <is>
          <t>S5</t>
        </is>
      </c>
      <c r="G396" s="276" t="b">
        <v>1</v>
      </c>
      <c r="H396" s="276" t="b">
        <v>1</v>
      </c>
      <c r="I396" s="276" t="b">
        <v>1</v>
      </c>
      <c r="J396" s="276" t="n">
        <v>0.6</v>
      </c>
      <c r="K396" s="276" t="n">
        <v>0.2206064987182617</v>
      </c>
      <c r="L396" s="276" t="n">
        <v>0.2206064987182617</v>
      </c>
      <c r="M396" s="276" t="inlineStr">
        <is>
          <t>SaaS; Databases; Windows</t>
        </is>
      </c>
      <c r="N396" s="276" t="inlineStr">
        <is>
          <t>https://attack.mitre.org/techniques/T1565/</t>
        </is>
      </c>
      <c r="O396" s="276" t="n"/>
      <c r="P396" s="277" t="n"/>
    </row>
    <row r="397">
      <c r="A397" s="275" t="inlineStr">
        <is>
          <t>Cybercriminal</t>
        </is>
      </c>
      <c r="B397" s="276" t="inlineStr">
        <is>
          <t>Cyber-enabled theft or fraud</t>
        </is>
      </c>
      <c r="C397" s="276" t="inlineStr">
        <is>
          <t>Third-party or software supply chain</t>
        </is>
      </c>
      <c r="D397" s="276" t="inlineStr">
        <is>
          <t>T1657</t>
        </is>
      </c>
      <c r="E397" s="276" t="inlineStr">
        <is>
          <t>Financial Theft</t>
        </is>
      </c>
      <c r="F397" s="276" t="inlineStr">
        <is>
          <t>S5</t>
        </is>
      </c>
      <c r="G397" s="276" t="b">
        <v>1</v>
      </c>
      <c r="H397" s="276" t="b">
        <v>1</v>
      </c>
      <c r="I397" s="276" t="b">
        <v>1</v>
      </c>
      <c r="J397" s="276" t="n">
        <v>0.5</v>
      </c>
      <c r="K397" s="276" t="n">
        <v>0.275654296875</v>
      </c>
      <c r="L397" s="276" t="n">
        <v>0.275654296875</v>
      </c>
      <c r="M397" s="276" t="inlineStr">
        <is>
          <t>SaaS; Office Suite; Identity Provider</t>
        </is>
      </c>
      <c r="N397" s="276" t="inlineStr">
        <is>
          <t>https://attack.mitre.org/techniques/T1657/</t>
        </is>
      </c>
      <c r="O397" s="276" t="n"/>
      <c r="P397" s="277" t="n"/>
    </row>
    <row r="398">
      <c r="A398" s="275" t="inlineStr">
        <is>
          <t>Cybercriminal</t>
        </is>
      </c>
      <c r="B398" s="276" t="inlineStr">
        <is>
          <t>Cyber-enabled theft or fraud</t>
        </is>
      </c>
      <c r="C398" s="276" t="inlineStr">
        <is>
          <t>Insider or trusted access</t>
        </is>
      </c>
      <c r="D398" s="276" t="inlineStr">
        <is>
          <t>T1098</t>
        </is>
      </c>
      <c r="E398" s="276" t="inlineStr">
        <is>
          <t>Account Manipulation</t>
        </is>
      </c>
      <c r="F398" s="276" t="inlineStr">
        <is>
          <t>S3</t>
        </is>
      </c>
      <c r="G398" s="276" t="b">
        <v>1</v>
      </c>
      <c r="H398" s="276" t="b">
        <v>1</v>
      </c>
      <c r="I398" s="276" t="b">
        <v>1</v>
      </c>
      <c r="J398" s="276" t="n">
        <v>0.8</v>
      </c>
      <c r="K398" s="276" t="n">
        <v>0.2477547340393066</v>
      </c>
      <c r="L398" s="276" t="n">
        <v>0.2477547340393066</v>
      </c>
      <c r="M398" s="276" t="inlineStr">
        <is>
          <t>Identity Provider; SaaS; Windows</t>
        </is>
      </c>
      <c r="N398" s="276" t="inlineStr">
        <is>
          <t>https://attack.mitre.org/techniques/T1098/</t>
        </is>
      </c>
      <c r="O398" s="276" t="n"/>
      <c r="P398" s="277" t="n"/>
    </row>
    <row r="399">
      <c r="A399" s="275" t="inlineStr">
        <is>
          <t>Cybercriminal</t>
        </is>
      </c>
      <c r="B399" s="276" t="inlineStr">
        <is>
          <t>Cyber-enabled theft or fraud</t>
        </is>
      </c>
      <c r="C399" s="276" t="inlineStr">
        <is>
          <t>Insider or trusted access</t>
        </is>
      </c>
      <c r="D399" s="276" t="inlineStr">
        <is>
          <t>T1567</t>
        </is>
      </c>
      <c r="E399" s="276" t="inlineStr">
        <is>
          <t>Exfiltration Over Web Service</t>
        </is>
      </c>
      <c r="F399" s="276" t="inlineStr">
        <is>
          <t>S5</t>
        </is>
      </c>
      <c r="G399" s="276" t="b">
        <v>1</v>
      </c>
      <c r="H399" s="276" t="b">
        <v>0</v>
      </c>
      <c r="I399" s="276" t="b">
        <v>0</v>
      </c>
      <c r="J399" s="276" t="n">
        <v>0.8</v>
      </c>
      <c r="K399" s="276" t="n">
        <v>0.20625</v>
      </c>
      <c r="L399" s="276" t="n">
        <v>0.20625</v>
      </c>
      <c r="M399" s="276" t="inlineStr">
        <is>
          <t>SaaS; Office Suite</t>
        </is>
      </c>
      <c r="N399" s="276" t="inlineStr">
        <is>
          <t>https://attack.mitre.org/techniques/T1567/</t>
        </is>
      </c>
      <c r="O399" s="276" t="n"/>
      <c r="P399" s="277" t="n"/>
    </row>
    <row r="400">
      <c r="A400" s="275" t="inlineStr">
        <is>
          <t>Cybercriminal</t>
        </is>
      </c>
      <c r="B400" s="276" t="inlineStr">
        <is>
          <t>Cyber-enabled theft or fraud</t>
        </is>
      </c>
      <c r="C400" s="276" t="inlineStr">
        <is>
          <t>Insider or trusted access</t>
        </is>
      </c>
      <c r="D400" s="276" t="inlineStr">
        <is>
          <t>T1565</t>
        </is>
      </c>
      <c r="E400" s="276" t="inlineStr">
        <is>
          <t>Data Manipulation</t>
        </is>
      </c>
      <c r="F400" s="276" t="inlineStr">
        <is>
          <t>S5</t>
        </is>
      </c>
      <c r="G400" s="276" t="b">
        <v>1</v>
      </c>
      <c r="H400" s="276" t="b">
        <v>1</v>
      </c>
      <c r="I400" s="276" t="b">
        <v>1</v>
      </c>
      <c r="J400" s="276" t="n">
        <v>0.9</v>
      </c>
      <c r="K400" s="276" t="n">
        <v>0.2206064987182617</v>
      </c>
      <c r="L400" s="276" t="n">
        <v>0.2206064987182617</v>
      </c>
      <c r="M400" s="276" t="inlineStr">
        <is>
          <t>SaaS; Databases; Windows</t>
        </is>
      </c>
      <c r="N400" s="276" t="inlineStr">
        <is>
          <t>https://attack.mitre.org/techniques/T1565/</t>
        </is>
      </c>
      <c r="O400" s="276" t="n"/>
      <c r="P400" s="277" t="n"/>
    </row>
    <row r="401">
      <c r="A401" s="275" t="inlineStr">
        <is>
          <t>Cybercriminal</t>
        </is>
      </c>
      <c r="B401" s="276" t="inlineStr">
        <is>
          <t>Cyber-enabled theft or fraud</t>
        </is>
      </c>
      <c r="C401" s="276" t="inlineStr">
        <is>
          <t>Insider or trusted access</t>
        </is>
      </c>
      <c r="D401" s="276" t="inlineStr">
        <is>
          <t>T1657</t>
        </is>
      </c>
      <c r="E401" s="276" t="inlineStr">
        <is>
          <t>Financial Theft</t>
        </is>
      </c>
      <c r="F401" s="276" t="inlineStr">
        <is>
          <t>S5</t>
        </is>
      </c>
      <c r="G401" s="276" t="b">
        <v>1</v>
      </c>
      <c r="H401" s="276" t="b">
        <v>1</v>
      </c>
      <c r="I401" s="276" t="b">
        <v>1</v>
      </c>
      <c r="J401" s="276" t="n">
        <v>0.9</v>
      </c>
      <c r="K401" s="276" t="n">
        <v>0.275654296875</v>
      </c>
      <c r="L401" s="276" t="n">
        <v>0.275654296875</v>
      </c>
      <c r="M401" s="276" t="inlineStr">
        <is>
          <t>SaaS; Office Suite; Identity Provider</t>
        </is>
      </c>
      <c r="N401" s="276" t="inlineStr">
        <is>
          <t>https://attack.mitre.org/techniques/T1657/</t>
        </is>
      </c>
      <c r="O401" s="276" t="n"/>
      <c r="P401" s="277" t="n"/>
    </row>
    <row r="402">
      <c r="A402" s="275" t="inlineStr">
        <is>
          <t>Malicious insider</t>
        </is>
      </c>
      <c r="B402" s="276" t="inlineStr">
        <is>
          <t>Critical business-service disruption</t>
        </is>
      </c>
      <c r="C402" s="276" t="inlineStr">
        <is>
          <t>Identity and credential compromise</t>
        </is>
      </c>
      <c r="D402" s="276" t="inlineStr">
        <is>
          <t>T1566</t>
        </is>
      </c>
      <c r="E402" s="276" t="inlineStr">
        <is>
          <t>Phishing</t>
        </is>
      </c>
      <c r="F402" s="276" t="inlineStr">
        <is>
          <t>S1</t>
        </is>
      </c>
      <c r="G402" s="276" t="b">
        <v>1</v>
      </c>
      <c r="H402" s="276" t="b">
        <v>1</v>
      </c>
      <c r="I402" s="276" t="b">
        <v>1</v>
      </c>
      <c r="J402" s="276" t="n">
        <v>1</v>
      </c>
      <c r="K402" s="276" t="n">
        <v>0.20625</v>
      </c>
      <c r="L402" s="276" t="n">
        <v>0.20625</v>
      </c>
      <c r="M402" s="276" t="inlineStr">
        <is>
          <t>Windows; SaaS; Office Suite</t>
        </is>
      </c>
      <c r="N402" s="276" t="inlineStr">
        <is>
          <t>https://attack.mitre.org/techniques/T1566/</t>
        </is>
      </c>
      <c r="O402" s="276" t="n"/>
      <c r="P402" s="277" t="n"/>
    </row>
    <row r="403">
      <c r="A403" s="275" t="inlineStr">
        <is>
          <t>Malicious insider</t>
        </is>
      </c>
      <c r="B403" s="276" t="inlineStr">
        <is>
          <t>Critical business-service disruption</t>
        </is>
      </c>
      <c r="C403" s="276" t="inlineStr">
        <is>
          <t>Identity and credential compromise</t>
        </is>
      </c>
      <c r="D403" s="276" t="inlineStr">
        <is>
          <t>T1078</t>
        </is>
      </c>
      <c r="E403" s="276" t="inlineStr">
        <is>
          <t>Valid Accounts</t>
        </is>
      </c>
      <c r="F403" s="276" t="inlineStr">
        <is>
          <t>S1</t>
        </is>
      </c>
      <c r="G403" s="276" t="b">
        <v>1</v>
      </c>
      <c r="H403" s="276" t="b">
        <v>1</v>
      </c>
      <c r="I403" s="276" t="b">
        <v>1</v>
      </c>
      <c r="J403" s="276" t="n">
        <v>1</v>
      </c>
      <c r="K403" s="276" t="n">
        <v>0.272109375</v>
      </c>
      <c r="L403" s="276" t="n">
        <v>0.272109375</v>
      </c>
      <c r="M403" s="276" t="inlineStr">
        <is>
          <t>Identity Provider; SaaS; IaaS; Windows</t>
        </is>
      </c>
      <c r="N403" s="276" t="inlineStr">
        <is>
          <t>https://attack.mitre.org/techniques/T1078/</t>
        </is>
      </c>
      <c r="O403" s="276" t="n"/>
      <c r="P403" s="277" t="n"/>
    </row>
    <row r="404">
      <c r="A404" s="275" t="inlineStr">
        <is>
          <t>Malicious insider</t>
        </is>
      </c>
      <c r="B404" s="276" t="inlineStr">
        <is>
          <t>Critical business-service disruption</t>
        </is>
      </c>
      <c r="C404" s="276" t="inlineStr">
        <is>
          <t>Identity and credential compromise</t>
        </is>
      </c>
      <c r="D404" s="276" t="inlineStr">
        <is>
          <t>T1110</t>
        </is>
      </c>
      <c r="E404" s="276" t="inlineStr">
        <is>
          <t>Brute Force</t>
        </is>
      </c>
      <c r="F404" s="276" t="inlineStr">
        <is>
          <t>S1</t>
        </is>
      </c>
      <c r="G404" s="276" t="b">
        <v>0</v>
      </c>
      <c r="H404" s="276" t="b">
        <v>1</v>
      </c>
      <c r="I404" s="276" t="b">
        <v>0</v>
      </c>
      <c r="J404" s="276" t="n">
        <v>0.7</v>
      </c>
      <c r="K404" s="276" t="n">
        <v>0.24375</v>
      </c>
      <c r="L404" s="276" t="n">
        <v>0.24375</v>
      </c>
      <c r="M404" s="276" t="inlineStr">
        <is>
          <t>Identity Provider; SaaS; Windows</t>
        </is>
      </c>
      <c r="N404" s="276" t="inlineStr">
        <is>
          <t>https://attack.mitre.org/techniques/T1110/</t>
        </is>
      </c>
      <c r="O404" s="276" t="n"/>
      <c r="P404" s="277" t="n"/>
    </row>
    <row r="405">
      <c r="A405" s="275" t="inlineStr">
        <is>
          <t>Malicious insider</t>
        </is>
      </c>
      <c r="B405" s="276" t="inlineStr">
        <is>
          <t>Critical business-service disruption</t>
        </is>
      </c>
      <c r="C405" s="276" t="inlineStr">
        <is>
          <t>Identity and credential compromise</t>
        </is>
      </c>
      <c r="D405" s="276" t="inlineStr">
        <is>
          <t>T1098</t>
        </is>
      </c>
      <c r="E405" s="276" t="inlineStr">
        <is>
          <t>Account Manipulation</t>
        </is>
      </c>
      <c r="F405" s="276" t="inlineStr">
        <is>
          <t>S3</t>
        </is>
      </c>
      <c r="G405" s="276" t="b">
        <v>1</v>
      </c>
      <c r="H405" s="276" t="b">
        <v>1</v>
      </c>
      <c r="I405" s="276" t="b">
        <v>1</v>
      </c>
      <c r="J405" s="276" t="n">
        <v>0.7</v>
      </c>
      <c r="K405" s="276" t="n">
        <v>0.2477547340393066</v>
      </c>
      <c r="L405" s="276" t="n">
        <v>0.2477547340393066</v>
      </c>
      <c r="M405" s="276" t="inlineStr">
        <is>
          <t>Identity Provider; SaaS; Windows</t>
        </is>
      </c>
      <c r="N405" s="276" t="inlineStr">
        <is>
          <t>https://attack.mitre.org/techniques/T1098/</t>
        </is>
      </c>
      <c r="O405" s="276" t="n"/>
      <c r="P405" s="277" t="n"/>
    </row>
    <row r="406">
      <c r="A406" s="275" t="inlineStr">
        <is>
          <t>Malicious insider</t>
        </is>
      </c>
      <c r="B406" s="276" t="inlineStr">
        <is>
          <t>Critical business-service disruption</t>
        </is>
      </c>
      <c r="C406" s="276" t="inlineStr">
        <is>
          <t>Identity and credential compromise</t>
        </is>
      </c>
      <c r="D406" s="276" t="inlineStr">
        <is>
          <t>T1087</t>
        </is>
      </c>
      <c r="E406" s="276" t="inlineStr">
        <is>
          <t>Account Discovery</t>
        </is>
      </c>
      <c r="F406" s="276" t="inlineStr">
        <is>
          <t>S4</t>
        </is>
      </c>
      <c r="G406" s="276" t="b">
        <v>1</v>
      </c>
      <c r="H406" s="276" t="b">
        <v>1</v>
      </c>
      <c r="I406" s="276" t="b">
        <v>1</v>
      </c>
      <c r="J406" s="276" t="n">
        <v>0.6</v>
      </c>
      <c r="K406" s="276" t="n">
        <v>0</v>
      </c>
      <c r="L406" s="276" t="n">
        <v>0</v>
      </c>
      <c r="M406" s="276" t="inlineStr">
        <is>
          <t>Identity Provider; SaaS; Windows</t>
        </is>
      </c>
      <c r="N406" s="276" t="inlineStr">
        <is>
          <t>https://attack.mitre.org/techniques/T1087/</t>
        </is>
      </c>
      <c r="O406" s="276" t="n"/>
      <c r="P406" s="277" t="n"/>
    </row>
    <row r="407">
      <c r="A407" s="275" t="inlineStr">
        <is>
          <t>Malicious insider</t>
        </is>
      </c>
      <c r="B407" s="276" t="inlineStr">
        <is>
          <t>Critical business-service disruption</t>
        </is>
      </c>
      <c r="C407" s="276" t="inlineStr">
        <is>
          <t>Identity and credential compromise</t>
        </is>
      </c>
      <c r="D407" s="276" t="inlineStr">
        <is>
          <t>T1213</t>
        </is>
      </c>
      <c r="E407" s="276" t="inlineStr">
        <is>
          <t>Data from Information Repositories</t>
        </is>
      </c>
      <c r="F407" s="276" t="inlineStr">
        <is>
          <t>S4</t>
        </is>
      </c>
      <c r="G407" s="276" t="b">
        <v>1</v>
      </c>
      <c r="H407" s="276" t="b">
        <v>0</v>
      </c>
      <c r="I407" s="276" t="b">
        <v>0</v>
      </c>
      <c r="J407" s="276" t="n">
        <v>0.8</v>
      </c>
      <c r="K407" s="276" t="n">
        <v>0.177890625</v>
      </c>
      <c r="L407" s="276" t="n">
        <v>0.177890625</v>
      </c>
      <c r="M407" s="276" t="inlineStr">
        <is>
          <t>SaaS; Office Suite; Windows</t>
        </is>
      </c>
      <c r="N407" s="276" t="inlineStr">
        <is>
          <t>https://attack.mitre.org/techniques/T1213/</t>
        </is>
      </c>
      <c r="O407" s="276" t="n"/>
      <c r="P407" s="277" t="n"/>
    </row>
    <row r="408">
      <c r="A408" s="275" t="inlineStr">
        <is>
          <t>Malicious insider</t>
        </is>
      </c>
      <c r="B408" s="276" t="inlineStr">
        <is>
          <t>Critical business-service disruption</t>
        </is>
      </c>
      <c r="C408" s="276" t="inlineStr">
        <is>
          <t>Identity and credential compromise</t>
        </is>
      </c>
      <c r="D408" s="276" t="inlineStr">
        <is>
          <t>T1567</t>
        </is>
      </c>
      <c r="E408" s="276" t="inlineStr">
        <is>
          <t>Exfiltration Over Web Service</t>
        </is>
      </c>
      <c r="F408" s="276" t="inlineStr">
        <is>
          <t>S5</t>
        </is>
      </c>
      <c r="G408" s="276" t="b">
        <v>1</v>
      </c>
      <c r="H408" s="276" t="b">
        <v>0</v>
      </c>
      <c r="I408" s="276" t="b">
        <v>0</v>
      </c>
      <c r="J408" s="276" t="n">
        <v>0.7</v>
      </c>
      <c r="K408" s="276" t="n">
        <v>0.20625</v>
      </c>
      <c r="L408" s="276" t="n">
        <v>0.20625</v>
      </c>
      <c r="M408" s="276" t="inlineStr">
        <is>
          <t>SaaS; Office Suite</t>
        </is>
      </c>
      <c r="N408" s="276" t="inlineStr">
        <is>
          <t>https://attack.mitre.org/techniques/T1567/</t>
        </is>
      </c>
      <c r="O408" s="276" t="n"/>
      <c r="P408" s="277" t="n"/>
    </row>
    <row r="409">
      <c r="A409" s="275" t="inlineStr">
        <is>
          <t>Malicious insider</t>
        </is>
      </c>
      <c r="B409" s="276" t="inlineStr">
        <is>
          <t>Critical business-service disruption</t>
        </is>
      </c>
      <c r="C409" s="276" t="inlineStr">
        <is>
          <t>Identity and credential compromise</t>
        </is>
      </c>
      <c r="D409" s="276" t="inlineStr">
        <is>
          <t>T1657</t>
        </is>
      </c>
      <c r="E409" s="276" t="inlineStr">
        <is>
          <t>Financial Theft</t>
        </is>
      </c>
      <c r="F409" s="276" t="inlineStr">
        <is>
          <t>S5</t>
        </is>
      </c>
      <c r="G409" s="276" t="b">
        <v>1</v>
      </c>
      <c r="H409" s="276" t="b">
        <v>0</v>
      </c>
      <c r="I409" s="276" t="b">
        <v>0</v>
      </c>
      <c r="J409" s="276" t="n">
        <v>0.8</v>
      </c>
      <c r="K409" s="276" t="n">
        <v>0.275654296875</v>
      </c>
      <c r="L409" s="276" t="n">
        <v>0.275654296875</v>
      </c>
      <c r="M409" s="276" t="inlineStr">
        <is>
          <t>SaaS; Office Suite; Identity Provider</t>
        </is>
      </c>
      <c r="N409" s="276" t="inlineStr">
        <is>
          <t>https://attack.mitre.org/techniques/T1657/</t>
        </is>
      </c>
      <c r="O409" s="276" t="n"/>
      <c r="P409" s="277" t="n"/>
    </row>
    <row r="410">
      <c r="A410" s="275" t="inlineStr">
        <is>
          <t>Malicious insider</t>
        </is>
      </c>
      <c r="B410" s="276" t="inlineStr">
        <is>
          <t>Critical business-service disruption</t>
        </is>
      </c>
      <c r="C410" s="276" t="inlineStr">
        <is>
          <t>Identity and credential compromise</t>
        </is>
      </c>
      <c r="D410" s="276" t="inlineStr">
        <is>
          <t>T1565</t>
        </is>
      </c>
      <c r="E410" s="276" t="inlineStr">
        <is>
          <t>Data Manipulation</t>
        </is>
      </c>
      <c r="F410" s="276" t="inlineStr">
        <is>
          <t>S5</t>
        </is>
      </c>
      <c r="G410" s="276" t="b">
        <v>1</v>
      </c>
      <c r="H410" s="276" t="b">
        <v>1</v>
      </c>
      <c r="I410" s="276" t="b">
        <v>1</v>
      </c>
      <c r="J410" s="276" t="n">
        <v>0.5</v>
      </c>
      <c r="K410" s="276" t="n">
        <v>0.2206064987182617</v>
      </c>
      <c r="L410" s="276" t="n">
        <v>0.2206064987182617</v>
      </c>
      <c r="M410" s="276" t="inlineStr">
        <is>
          <t>SaaS; Databases; Windows</t>
        </is>
      </c>
      <c r="N410" s="276" t="inlineStr">
        <is>
          <t>https://attack.mitre.org/techniques/T1565/</t>
        </is>
      </c>
      <c r="O410" s="276" t="n"/>
      <c r="P410" s="277" t="n"/>
    </row>
    <row r="411">
      <c r="A411" s="275" t="inlineStr">
        <is>
          <t>Malicious insider</t>
        </is>
      </c>
      <c r="B411" s="276" t="inlineStr">
        <is>
          <t>Critical business-service disruption</t>
        </is>
      </c>
      <c r="C411" s="276" t="inlineStr">
        <is>
          <t>Identity and credential compromise</t>
        </is>
      </c>
      <c r="D411" s="276" t="inlineStr">
        <is>
          <t>T1486</t>
        </is>
      </c>
      <c r="E411" s="276" t="inlineStr">
        <is>
          <t>Data Encrypted for Impact</t>
        </is>
      </c>
      <c r="F411" s="276" t="inlineStr">
        <is>
          <t>S5</t>
        </is>
      </c>
      <c r="G411" s="276" t="b">
        <v>1</v>
      </c>
      <c r="H411" s="276" t="b">
        <v>1</v>
      </c>
      <c r="I411" s="276" t="b">
        <v>1</v>
      </c>
      <c r="J411" s="276" t="n">
        <v>0.7</v>
      </c>
      <c r="K411" s="276" t="n">
        <v>0.16875</v>
      </c>
      <c r="L411" s="276" t="n">
        <v>0.16875</v>
      </c>
      <c r="M411" s="276" t="inlineStr">
        <is>
          <t>Windows; Linux; IaaS</t>
        </is>
      </c>
      <c r="N411" s="276" t="inlineStr">
        <is>
          <t>https://attack.mitre.org/techniques/T1486/</t>
        </is>
      </c>
      <c r="O411" s="276" t="n"/>
      <c r="P411" s="277" t="n"/>
    </row>
    <row r="412">
      <c r="A412" s="275" t="inlineStr">
        <is>
          <t>Malicious insider</t>
        </is>
      </c>
      <c r="B412" s="276" t="inlineStr">
        <is>
          <t>Critical business-service disruption</t>
        </is>
      </c>
      <c r="C412" s="276" t="inlineStr">
        <is>
          <t>Identity and credential compromise</t>
        </is>
      </c>
      <c r="D412" s="276" t="inlineStr">
        <is>
          <t>T1490</t>
        </is>
      </c>
      <c r="E412" s="276" t="inlineStr">
        <is>
          <t>Inhibit System Recovery</t>
        </is>
      </c>
      <c r="F412" s="276" t="inlineStr">
        <is>
          <t>S5</t>
        </is>
      </c>
      <c r="G412" s="276" t="b">
        <v>1</v>
      </c>
      <c r="H412" s="276" t="b">
        <v>1</v>
      </c>
      <c r="I412" s="276" t="b">
        <v>1</v>
      </c>
      <c r="J412" s="276" t="n">
        <v>0.6</v>
      </c>
      <c r="K412" s="276" t="n">
        <v>0</v>
      </c>
      <c r="L412" s="276" t="n">
        <v>0</v>
      </c>
      <c r="M412" s="276" t="inlineStr">
        <is>
          <t>Windows; Linux; IaaS</t>
        </is>
      </c>
      <c r="N412" s="276" t="inlineStr">
        <is>
          <t>https://attack.mitre.org/techniques/T1490/</t>
        </is>
      </c>
      <c r="O412" s="276" t="n"/>
      <c r="P412" s="277" t="n"/>
    </row>
    <row r="413">
      <c r="A413" s="275" t="inlineStr">
        <is>
          <t>Malicious insider</t>
        </is>
      </c>
      <c r="B413" s="276" t="inlineStr">
        <is>
          <t>Critical business-service disruption</t>
        </is>
      </c>
      <c r="C413" s="276" t="inlineStr">
        <is>
          <t>User endpoint and social engineering</t>
        </is>
      </c>
      <c r="D413" s="276" t="inlineStr">
        <is>
          <t>T1566</t>
        </is>
      </c>
      <c r="E413" s="276" t="inlineStr">
        <is>
          <t>Phishing</t>
        </is>
      </c>
      <c r="F413" s="276" t="inlineStr">
        <is>
          <t>S1</t>
        </is>
      </c>
      <c r="G413" s="276" t="b">
        <v>1</v>
      </c>
      <c r="H413" s="276" t="b">
        <v>1</v>
      </c>
      <c r="I413" s="276" t="b">
        <v>1</v>
      </c>
      <c r="J413" s="276" t="n">
        <v>1</v>
      </c>
      <c r="K413" s="276" t="n">
        <v>0.20625</v>
      </c>
      <c r="L413" s="276" t="n">
        <v>0.20625</v>
      </c>
      <c r="M413" s="276" t="inlineStr">
        <is>
          <t>Windows; SaaS; Office Suite</t>
        </is>
      </c>
      <c r="N413" s="276" t="inlineStr">
        <is>
          <t>https://attack.mitre.org/techniques/T1566/</t>
        </is>
      </c>
      <c r="O413" s="276" t="n"/>
      <c r="P413" s="277" t="n"/>
    </row>
    <row r="414">
      <c r="A414" s="275" t="inlineStr">
        <is>
          <t>Malicious insider</t>
        </is>
      </c>
      <c r="B414" s="276" t="inlineStr">
        <is>
          <t>Critical business-service disruption</t>
        </is>
      </c>
      <c r="C414" s="276" t="inlineStr">
        <is>
          <t>User endpoint and social engineering</t>
        </is>
      </c>
      <c r="D414" s="276" t="inlineStr">
        <is>
          <t>T1203</t>
        </is>
      </c>
      <c r="E414" s="276" t="inlineStr">
        <is>
          <t>Exploitation for Client Execution</t>
        </is>
      </c>
      <c r="F414" s="276" t="inlineStr">
        <is>
          <t>S2</t>
        </is>
      </c>
      <c r="G414" s="276" t="b">
        <v>0</v>
      </c>
      <c r="H414" s="276" t="b">
        <v>1</v>
      </c>
      <c r="I414" s="276" t="b">
        <v>0</v>
      </c>
      <c r="J414" s="276" t="n">
        <v>0.8</v>
      </c>
      <c r="K414" s="276" t="n">
        <v>0.2404920959472656</v>
      </c>
      <c r="L414" s="276" t="n">
        <v>0.2404920959472656</v>
      </c>
      <c r="M414" s="276" t="inlineStr">
        <is>
          <t>Windows; macOS; Linux</t>
        </is>
      </c>
      <c r="N414" s="276" t="inlineStr">
        <is>
          <t>https://attack.mitre.org/techniques/T1203/</t>
        </is>
      </c>
      <c r="O414" s="276" t="n"/>
      <c r="P414" s="277" t="n"/>
    </row>
    <row r="415">
      <c r="A415" s="275" t="inlineStr">
        <is>
          <t>Malicious insider</t>
        </is>
      </c>
      <c r="B415" s="276" t="inlineStr">
        <is>
          <t>Critical business-service disruption</t>
        </is>
      </c>
      <c r="C415" s="276" t="inlineStr">
        <is>
          <t>User endpoint and social engineering</t>
        </is>
      </c>
      <c r="D415" s="276" t="inlineStr">
        <is>
          <t>T1059</t>
        </is>
      </c>
      <c r="E415" s="276" t="inlineStr">
        <is>
          <t>Command and Scripting Interpreter</t>
        </is>
      </c>
      <c r="F415" s="276" t="inlineStr">
        <is>
          <t>S2</t>
        </is>
      </c>
      <c r="G415" s="276" t="b">
        <v>1</v>
      </c>
      <c r="H415" s="276" t="b">
        <v>1</v>
      </c>
      <c r="I415" s="276" t="b">
        <v>1</v>
      </c>
      <c r="J415" s="276" t="n">
        <v>0.9</v>
      </c>
      <c r="K415" s="276" t="n">
        <v>0.1875</v>
      </c>
      <c r="L415" s="276" t="n">
        <v>0.1875</v>
      </c>
      <c r="M415" s="276" t="inlineStr">
        <is>
          <t>Windows; macOS; Linux; IaaS</t>
        </is>
      </c>
      <c r="N415" s="276" t="inlineStr">
        <is>
          <t>https://attack.mitre.org/techniques/T1059/</t>
        </is>
      </c>
      <c r="O415" s="276" t="n"/>
      <c r="P415" s="277" t="n"/>
    </row>
    <row r="416">
      <c r="A416" s="275" t="inlineStr">
        <is>
          <t>Malicious insider</t>
        </is>
      </c>
      <c r="B416" s="276" t="inlineStr">
        <is>
          <t>Critical business-service disruption</t>
        </is>
      </c>
      <c r="C416" s="276" t="inlineStr">
        <is>
          <t>User endpoint and social engineering</t>
        </is>
      </c>
      <c r="D416" s="276" t="inlineStr">
        <is>
          <t>T1068</t>
        </is>
      </c>
      <c r="E416" s="276" t="inlineStr">
        <is>
          <t>Exploitation for Privilege Escalation</t>
        </is>
      </c>
      <c r="F416" s="276" t="inlineStr">
        <is>
          <t>S3</t>
        </is>
      </c>
      <c r="G416" s="276" t="b">
        <v>1</v>
      </c>
      <c r="H416" s="276" t="b">
        <v>1</v>
      </c>
      <c r="I416" s="276" t="b">
        <v>1</v>
      </c>
      <c r="J416" s="276" t="n">
        <v>0.7</v>
      </c>
      <c r="K416" s="276" t="n">
        <v>0.2094165115356445</v>
      </c>
      <c r="L416" s="276" t="n">
        <v>0.2094165115356445</v>
      </c>
      <c r="M416" s="276" t="inlineStr">
        <is>
          <t>Windows; macOS; Linux</t>
        </is>
      </c>
      <c r="N416" s="276" t="inlineStr">
        <is>
          <t>https://attack.mitre.org/techniques/T1068/</t>
        </is>
      </c>
      <c r="O416" s="276" t="n"/>
      <c r="P416" s="277" t="n"/>
    </row>
    <row r="417">
      <c r="A417" s="275" t="inlineStr">
        <is>
          <t>Malicious insider</t>
        </is>
      </c>
      <c r="B417" s="276" t="inlineStr">
        <is>
          <t>Critical business-service disruption</t>
        </is>
      </c>
      <c r="C417" s="276" t="inlineStr">
        <is>
          <t>User endpoint and social engineering</t>
        </is>
      </c>
      <c r="D417" s="276" t="inlineStr">
        <is>
          <t>T1003</t>
        </is>
      </c>
      <c r="E417" s="276" t="inlineStr">
        <is>
          <t>OS Credential Dumping</t>
        </is>
      </c>
      <c r="F417" s="276" t="inlineStr">
        <is>
          <t>S3</t>
        </is>
      </c>
      <c r="G417" s="276" t="b">
        <v>1</v>
      </c>
      <c r="H417" s="276" t="b">
        <v>1</v>
      </c>
      <c r="I417" s="276" t="b">
        <v>1</v>
      </c>
      <c r="J417" s="276" t="n">
        <v>0.8</v>
      </c>
      <c r="K417" s="276" t="n">
        <v>0.232294921875</v>
      </c>
      <c r="L417" s="276" t="n">
        <v>0.232294921875</v>
      </c>
      <c r="M417" s="276" t="inlineStr">
        <is>
          <t>Windows; Linux; macOS</t>
        </is>
      </c>
      <c r="N417" s="276" t="inlineStr">
        <is>
          <t>https://attack.mitre.org/techniques/T1003/</t>
        </is>
      </c>
      <c r="O417" s="276" t="n"/>
      <c r="P417" s="277" t="n"/>
    </row>
    <row r="418">
      <c r="A418" s="275" t="inlineStr">
        <is>
          <t>Malicious insider</t>
        </is>
      </c>
      <c r="B418" s="276" t="inlineStr">
        <is>
          <t>Critical business-service disruption</t>
        </is>
      </c>
      <c r="C418" s="276" t="inlineStr">
        <is>
          <t>User endpoint and social engineering</t>
        </is>
      </c>
      <c r="D418" s="276" t="inlineStr">
        <is>
          <t>T1046</t>
        </is>
      </c>
      <c r="E418" s="276" t="inlineStr">
        <is>
          <t>Network Service Discovery</t>
        </is>
      </c>
      <c r="F418" s="276" t="inlineStr">
        <is>
          <t>S4</t>
        </is>
      </c>
      <c r="G418" s="276" t="b">
        <v>1</v>
      </c>
      <c r="H418" s="276" t="b">
        <v>1</v>
      </c>
      <c r="I418" s="276" t="b">
        <v>1</v>
      </c>
      <c r="J418" s="276" t="n">
        <v>0.6</v>
      </c>
      <c r="K418" s="276" t="n">
        <v>0.16875</v>
      </c>
      <c r="L418" s="276" t="n">
        <v>0.16875</v>
      </c>
      <c r="M418" s="276" t="inlineStr">
        <is>
          <t>Network Devices; Windows; Linux</t>
        </is>
      </c>
      <c r="N418" s="276" t="inlineStr">
        <is>
          <t>https://attack.mitre.org/techniques/T1046/</t>
        </is>
      </c>
      <c r="O418" s="276" t="n"/>
      <c r="P418" s="277" t="n"/>
    </row>
    <row r="419">
      <c r="A419" s="275" t="inlineStr">
        <is>
          <t>Malicious insider</t>
        </is>
      </c>
      <c r="B419" s="276" t="inlineStr">
        <is>
          <t>Critical business-service disruption</t>
        </is>
      </c>
      <c r="C419" s="276" t="inlineStr">
        <is>
          <t>User endpoint and social engineering</t>
        </is>
      </c>
      <c r="D419" s="276" t="inlineStr">
        <is>
          <t>T1021</t>
        </is>
      </c>
      <c r="E419" s="276" t="inlineStr">
        <is>
          <t>Remote Services</t>
        </is>
      </c>
      <c r="F419" s="276" t="inlineStr">
        <is>
          <t>S4</t>
        </is>
      </c>
      <c r="G419" s="276" t="b">
        <v>1</v>
      </c>
      <c r="H419" s="276" t="b">
        <v>1</v>
      </c>
      <c r="I419" s="276" t="b">
        <v>1</v>
      </c>
      <c r="J419" s="276" t="n">
        <v>0.8</v>
      </c>
      <c r="K419" s="276" t="n">
        <v>0.1875</v>
      </c>
      <c r="L419" s="276" t="n">
        <v>0.1875</v>
      </c>
      <c r="M419" s="276" t="inlineStr">
        <is>
          <t>Windows; Linux; Network Devices</t>
        </is>
      </c>
      <c r="N419" s="276" t="inlineStr">
        <is>
          <t>https://attack.mitre.org/techniques/T1021/</t>
        </is>
      </c>
      <c r="O419" s="276" t="n"/>
      <c r="P419" s="277" t="n"/>
    </row>
    <row r="420">
      <c r="A420" s="275" t="inlineStr">
        <is>
          <t>Malicious insider</t>
        </is>
      </c>
      <c r="B420" s="276" t="inlineStr">
        <is>
          <t>Critical business-service disruption</t>
        </is>
      </c>
      <c r="C420" s="276" t="inlineStr">
        <is>
          <t>User endpoint and social engineering</t>
        </is>
      </c>
      <c r="D420" s="276" t="inlineStr">
        <is>
          <t>T1213</t>
        </is>
      </c>
      <c r="E420" s="276" t="inlineStr">
        <is>
          <t>Data from Information Repositories</t>
        </is>
      </c>
      <c r="F420" s="276" t="inlineStr">
        <is>
          <t>S4</t>
        </is>
      </c>
      <c r="G420" s="276" t="b">
        <v>1</v>
      </c>
      <c r="H420" s="276" t="b">
        <v>0</v>
      </c>
      <c r="I420" s="276" t="b">
        <v>0</v>
      </c>
      <c r="J420" s="276" t="n">
        <v>0.7</v>
      </c>
      <c r="K420" s="276" t="n">
        <v>0.177890625</v>
      </c>
      <c r="L420" s="276" t="n">
        <v>0.177890625</v>
      </c>
      <c r="M420" s="276" t="inlineStr">
        <is>
          <t>SaaS; Office Suite; Windows</t>
        </is>
      </c>
      <c r="N420" s="276" t="inlineStr">
        <is>
          <t>https://attack.mitre.org/techniques/T1213/</t>
        </is>
      </c>
      <c r="O420" s="276" t="n"/>
      <c r="P420" s="277" t="n"/>
    </row>
    <row r="421">
      <c r="A421" s="275" t="inlineStr">
        <is>
          <t>Malicious insider</t>
        </is>
      </c>
      <c r="B421" s="276" t="inlineStr">
        <is>
          <t>Critical business-service disruption</t>
        </is>
      </c>
      <c r="C421" s="276" t="inlineStr">
        <is>
          <t>User endpoint and social engineering</t>
        </is>
      </c>
      <c r="D421" s="276" t="inlineStr">
        <is>
          <t>T1486</t>
        </is>
      </c>
      <c r="E421" s="276" t="inlineStr">
        <is>
          <t>Data Encrypted for Impact</t>
        </is>
      </c>
      <c r="F421" s="276" t="inlineStr">
        <is>
          <t>S5</t>
        </is>
      </c>
      <c r="G421" s="276" t="b">
        <v>1</v>
      </c>
      <c r="H421" s="276" t="b">
        <v>1</v>
      </c>
      <c r="I421" s="276" t="b">
        <v>1</v>
      </c>
      <c r="J421" s="276" t="n">
        <v>0.8</v>
      </c>
      <c r="K421" s="276" t="n">
        <v>0.16875</v>
      </c>
      <c r="L421" s="276" t="n">
        <v>0.16875</v>
      </c>
      <c r="M421" s="276" t="inlineStr">
        <is>
          <t>Windows; Linux; IaaS</t>
        </is>
      </c>
      <c r="N421" s="276" t="inlineStr">
        <is>
          <t>https://attack.mitre.org/techniques/T1486/</t>
        </is>
      </c>
      <c r="O421" s="276" t="n"/>
      <c r="P421" s="277" t="n"/>
    </row>
    <row r="422">
      <c r="A422" s="275" t="inlineStr">
        <is>
          <t>Malicious insider</t>
        </is>
      </c>
      <c r="B422" s="276" t="inlineStr">
        <is>
          <t>Critical business-service disruption</t>
        </is>
      </c>
      <c r="C422" s="276" t="inlineStr">
        <is>
          <t>User endpoint and social engineering</t>
        </is>
      </c>
      <c r="D422" s="276" t="inlineStr">
        <is>
          <t>T1490</t>
        </is>
      </c>
      <c r="E422" s="276" t="inlineStr">
        <is>
          <t>Inhibit System Recovery</t>
        </is>
      </c>
      <c r="F422" s="276" t="inlineStr">
        <is>
          <t>S5</t>
        </is>
      </c>
      <c r="G422" s="276" t="b">
        <v>1</v>
      </c>
      <c r="H422" s="276" t="b">
        <v>1</v>
      </c>
      <c r="I422" s="276" t="b">
        <v>1</v>
      </c>
      <c r="J422" s="276" t="n">
        <v>0.7</v>
      </c>
      <c r="K422" s="276" t="n">
        <v>0</v>
      </c>
      <c r="L422" s="276" t="n">
        <v>0</v>
      </c>
      <c r="M422" s="276" t="inlineStr">
        <is>
          <t>Windows; Linux; IaaS</t>
        </is>
      </c>
      <c r="N422" s="276" t="inlineStr">
        <is>
          <t>https://attack.mitre.org/techniques/T1490/</t>
        </is>
      </c>
      <c r="O422" s="276" t="n"/>
      <c r="P422" s="277" t="n"/>
    </row>
    <row r="423">
      <c r="A423" s="275" t="inlineStr">
        <is>
          <t>Malicious insider</t>
        </is>
      </c>
      <c r="B423" s="276" t="inlineStr">
        <is>
          <t>Critical business-service disruption</t>
        </is>
      </c>
      <c r="C423" s="276" t="inlineStr">
        <is>
          <t>User endpoint and social engineering</t>
        </is>
      </c>
      <c r="D423" s="276" t="inlineStr">
        <is>
          <t>T1567</t>
        </is>
      </c>
      <c r="E423" s="276" t="inlineStr">
        <is>
          <t>Exfiltration Over Web Service</t>
        </is>
      </c>
      <c r="F423" s="276" t="inlineStr">
        <is>
          <t>S5</t>
        </is>
      </c>
      <c r="G423" s="276" t="b">
        <v>1</v>
      </c>
      <c r="H423" s="276" t="b">
        <v>0</v>
      </c>
      <c r="I423" s="276" t="b">
        <v>0</v>
      </c>
      <c r="J423" s="276" t="n">
        <v>0.7</v>
      </c>
      <c r="K423" s="276" t="n">
        <v>0.20625</v>
      </c>
      <c r="L423" s="276" t="n">
        <v>0.20625</v>
      </c>
      <c r="M423" s="276" t="inlineStr">
        <is>
          <t>SaaS; Office Suite</t>
        </is>
      </c>
      <c r="N423" s="276" t="inlineStr">
        <is>
          <t>https://attack.mitre.org/techniques/T1567/</t>
        </is>
      </c>
      <c r="O423" s="276" t="n"/>
      <c r="P423" s="277" t="n"/>
    </row>
    <row r="424">
      <c r="A424" s="275" t="inlineStr">
        <is>
          <t>Malicious insider</t>
        </is>
      </c>
      <c r="B424" s="276" t="inlineStr">
        <is>
          <t>Critical business-service disruption</t>
        </is>
      </c>
      <c r="C424" s="276" t="inlineStr">
        <is>
          <t>User endpoint and social engineering</t>
        </is>
      </c>
      <c r="D424" s="276" t="inlineStr">
        <is>
          <t>T1657</t>
        </is>
      </c>
      <c r="E424" s="276" t="inlineStr">
        <is>
          <t>Financial Theft</t>
        </is>
      </c>
      <c r="F424" s="276" t="inlineStr">
        <is>
          <t>S5</t>
        </is>
      </c>
      <c r="G424" s="276" t="b">
        <v>1</v>
      </c>
      <c r="H424" s="276" t="b">
        <v>0</v>
      </c>
      <c r="I424" s="276" t="b">
        <v>0</v>
      </c>
      <c r="J424" s="276" t="n">
        <v>0.5</v>
      </c>
      <c r="K424" s="276" t="n">
        <v>0.275654296875</v>
      </c>
      <c r="L424" s="276" t="n">
        <v>0.275654296875</v>
      </c>
      <c r="M424" s="276" t="inlineStr">
        <is>
          <t>SaaS; Office Suite; Identity Provider</t>
        </is>
      </c>
      <c r="N424" s="276" t="inlineStr">
        <is>
          <t>https://attack.mitre.org/techniques/T1657/</t>
        </is>
      </c>
      <c r="O424" s="276" t="n"/>
      <c r="P424" s="277" t="n"/>
    </row>
    <row r="425">
      <c r="A425" s="275" t="inlineStr">
        <is>
          <t>Malicious insider</t>
        </is>
      </c>
      <c r="B425" s="276" t="inlineStr">
        <is>
          <t>Critical business-service disruption</t>
        </is>
      </c>
      <c r="C425" s="276" t="inlineStr">
        <is>
          <t>User endpoint and social engineering</t>
        </is>
      </c>
      <c r="D425" s="276" t="inlineStr">
        <is>
          <t>T1565</t>
        </is>
      </c>
      <c r="E425" s="276" t="inlineStr">
        <is>
          <t>Data Manipulation</t>
        </is>
      </c>
      <c r="F425" s="276" t="inlineStr">
        <is>
          <t>S5</t>
        </is>
      </c>
      <c r="G425" s="276" t="b">
        <v>1</v>
      </c>
      <c r="H425" s="276" t="b">
        <v>1</v>
      </c>
      <c r="I425" s="276" t="b">
        <v>1</v>
      </c>
      <c r="J425" s="276" t="n">
        <v>0.5</v>
      </c>
      <c r="K425" s="276" t="n">
        <v>0.2206064987182617</v>
      </c>
      <c r="L425" s="276" t="n">
        <v>0.2206064987182617</v>
      </c>
      <c r="M425" s="276" t="inlineStr">
        <is>
          <t>SaaS; Databases; Windows</t>
        </is>
      </c>
      <c r="N425" s="276" t="inlineStr">
        <is>
          <t>https://attack.mitre.org/techniques/T1565/</t>
        </is>
      </c>
      <c r="O425" s="276" t="n"/>
      <c r="P425" s="277" t="n"/>
    </row>
    <row r="426">
      <c r="A426" s="275" t="inlineStr">
        <is>
          <t>Malicious insider</t>
        </is>
      </c>
      <c r="B426" s="276" t="inlineStr">
        <is>
          <t>Critical business-service disruption</t>
        </is>
      </c>
      <c r="C426" s="276" t="inlineStr">
        <is>
          <t>Public-facing application exploitation</t>
        </is>
      </c>
      <c r="D426" s="276" t="inlineStr">
        <is>
          <t>T1190</t>
        </is>
      </c>
      <c r="E426" s="276" t="inlineStr">
        <is>
          <t>Exploit Public-Facing Application</t>
        </is>
      </c>
      <c r="F426" s="276" t="inlineStr">
        <is>
          <t>S1</t>
        </is>
      </c>
      <c r="G426" s="276" t="b">
        <v>0</v>
      </c>
      <c r="H426" s="276" t="b">
        <v>1</v>
      </c>
      <c r="I426" s="276" t="b">
        <v>0</v>
      </c>
      <c r="J426" s="276" t="n">
        <v>1</v>
      </c>
      <c r="K426" s="276" t="n">
        <v>0.2496630477905274</v>
      </c>
      <c r="L426" s="276" t="n">
        <v>0.2496630477905274</v>
      </c>
      <c r="M426" s="276" t="inlineStr">
        <is>
          <t>Network Devices; SaaS; IaaS</t>
        </is>
      </c>
      <c r="N426" s="276" t="inlineStr">
        <is>
          <t>https://attack.mitre.org/techniques/T1190/</t>
        </is>
      </c>
      <c r="O426" s="276" t="n"/>
      <c r="P426" s="277" t="n"/>
    </row>
    <row r="427">
      <c r="A427" s="275" t="inlineStr">
        <is>
          <t>Malicious insider</t>
        </is>
      </c>
      <c r="B427" s="276" t="inlineStr">
        <is>
          <t>Critical business-service disruption</t>
        </is>
      </c>
      <c r="C427" s="276" t="inlineStr">
        <is>
          <t>Public-facing application exploitation</t>
        </is>
      </c>
      <c r="D427" s="276" t="inlineStr">
        <is>
          <t>T1059</t>
        </is>
      </c>
      <c r="E427" s="276" t="inlineStr">
        <is>
          <t>Command and Scripting Interpreter</t>
        </is>
      </c>
      <c r="F427" s="276" t="inlineStr">
        <is>
          <t>S2</t>
        </is>
      </c>
      <c r="G427" s="276" t="b">
        <v>1</v>
      </c>
      <c r="H427" s="276" t="b">
        <v>1</v>
      </c>
      <c r="I427" s="276" t="b">
        <v>1</v>
      </c>
      <c r="J427" s="276" t="n">
        <v>0.8</v>
      </c>
      <c r="K427" s="276" t="n">
        <v>0.1875</v>
      </c>
      <c r="L427" s="276" t="n">
        <v>0.1875</v>
      </c>
      <c r="M427" s="276" t="inlineStr">
        <is>
          <t>Windows; macOS; Linux; IaaS</t>
        </is>
      </c>
      <c r="N427" s="276" t="inlineStr">
        <is>
          <t>https://attack.mitre.org/techniques/T1059/</t>
        </is>
      </c>
      <c r="O427" s="276" t="n"/>
      <c r="P427" s="277" t="n"/>
    </row>
    <row r="428">
      <c r="A428" s="275" t="inlineStr">
        <is>
          <t>Malicious insider</t>
        </is>
      </c>
      <c r="B428" s="276" t="inlineStr">
        <is>
          <t>Critical business-service disruption</t>
        </is>
      </c>
      <c r="C428" s="276" t="inlineStr">
        <is>
          <t>Public-facing application exploitation</t>
        </is>
      </c>
      <c r="D428" s="276" t="inlineStr">
        <is>
          <t>T1068</t>
        </is>
      </c>
      <c r="E428" s="276" t="inlineStr">
        <is>
          <t>Exploitation for Privilege Escalation</t>
        </is>
      </c>
      <c r="F428" s="276" t="inlineStr">
        <is>
          <t>S3</t>
        </is>
      </c>
      <c r="G428" s="276" t="b">
        <v>1</v>
      </c>
      <c r="H428" s="276" t="b">
        <v>1</v>
      </c>
      <c r="I428" s="276" t="b">
        <v>1</v>
      </c>
      <c r="J428" s="276" t="n">
        <v>0.7</v>
      </c>
      <c r="K428" s="276" t="n">
        <v>0.2094165115356445</v>
      </c>
      <c r="L428" s="276" t="n">
        <v>0.2094165115356445</v>
      </c>
      <c r="M428" s="276" t="inlineStr">
        <is>
          <t>Windows; macOS; Linux</t>
        </is>
      </c>
      <c r="N428" s="276" t="inlineStr">
        <is>
          <t>https://attack.mitre.org/techniques/T1068/</t>
        </is>
      </c>
      <c r="O428" s="276" t="n"/>
      <c r="P428" s="277" t="n"/>
    </row>
    <row r="429">
      <c r="A429" s="275" t="inlineStr">
        <is>
          <t>Malicious insider</t>
        </is>
      </c>
      <c r="B429" s="276" t="inlineStr">
        <is>
          <t>Critical business-service disruption</t>
        </is>
      </c>
      <c r="C429" s="276" t="inlineStr">
        <is>
          <t>Public-facing application exploitation</t>
        </is>
      </c>
      <c r="D429" s="276" t="inlineStr">
        <is>
          <t>T1003</t>
        </is>
      </c>
      <c r="E429" s="276" t="inlineStr">
        <is>
          <t>OS Credential Dumping</t>
        </is>
      </c>
      <c r="F429" s="276" t="inlineStr">
        <is>
          <t>S3</t>
        </is>
      </c>
      <c r="G429" s="276" t="b">
        <v>1</v>
      </c>
      <c r="H429" s="276" t="b">
        <v>1</v>
      </c>
      <c r="I429" s="276" t="b">
        <v>1</v>
      </c>
      <c r="J429" s="276" t="n">
        <v>0.6</v>
      </c>
      <c r="K429" s="276" t="n">
        <v>0.232294921875</v>
      </c>
      <c r="L429" s="276" t="n">
        <v>0.232294921875</v>
      </c>
      <c r="M429" s="276" t="inlineStr">
        <is>
          <t>Windows; Linux; macOS</t>
        </is>
      </c>
      <c r="N429" s="276" t="inlineStr">
        <is>
          <t>https://attack.mitre.org/techniques/T1003/</t>
        </is>
      </c>
      <c r="O429" s="276" t="n"/>
      <c r="P429" s="277" t="n"/>
    </row>
    <row r="430">
      <c r="A430" s="275" t="inlineStr">
        <is>
          <t>Malicious insider</t>
        </is>
      </c>
      <c r="B430" s="276" t="inlineStr">
        <is>
          <t>Critical business-service disruption</t>
        </is>
      </c>
      <c r="C430" s="276" t="inlineStr">
        <is>
          <t>Public-facing application exploitation</t>
        </is>
      </c>
      <c r="D430" s="276" t="inlineStr">
        <is>
          <t>T1046</t>
        </is>
      </c>
      <c r="E430" s="276" t="inlineStr">
        <is>
          <t>Network Service Discovery</t>
        </is>
      </c>
      <c r="F430" s="276" t="inlineStr">
        <is>
          <t>S4</t>
        </is>
      </c>
      <c r="G430" s="276" t="b">
        <v>1</v>
      </c>
      <c r="H430" s="276" t="b">
        <v>1</v>
      </c>
      <c r="I430" s="276" t="b">
        <v>1</v>
      </c>
      <c r="J430" s="276" t="n">
        <v>0.7</v>
      </c>
      <c r="K430" s="276" t="n">
        <v>0.16875</v>
      </c>
      <c r="L430" s="276" t="n">
        <v>0.16875</v>
      </c>
      <c r="M430" s="276" t="inlineStr">
        <is>
          <t>Network Devices; Windows; Linux</t>
        </is>
      </c>
      <c r="N430" s="276" t="inlineStr">
        <is>
          <t>https://attack.mitre.org/techniques/T1046/</t>
        </is>
      </c>
      <c r="O430" s="276" t="n"/>
      <c r="P430" s="277" t="n"/>
    </row>
    <row r="431">
      <c r="A431" s="275" t="inlineStr">
        <is>
          <t>Malicious insider</t>
        </is>
      </c>
      <c r="B431" s="276" t="inlineStr">
        <is>
          <t>Critical business-service disruption</t>
        </is>
      </c>
      <c r="C431" s="276" t="inlineStr">
        <is>
          <t>Public-facing application exploitation</t>
        </is>
      </c>
      <c r="D431" s="276" t="inlineStr">
        <is>
          <t>T1210</t>
        </is>
      </c>
      <c r="E431" s="276" t="inlineStr">
        <is>
          <t>Exploitation of Remote Services</t>
        </is>
      </c>
      <c r="F431" s="276" t="inlineStr">
        <is>
          <t>S4</t>
        </is>
      </c>
      <c r="G431" s="276" t="b">
        <v>1</v>
      </c>
      <c r="H431" s="276" t="b">
        <v>1</v>
      </c>
      <c r="I431" s="276" t="b">
        <v>1</v>
      </c>
      <c r="J431" s="276" t="n">
        <v>0.9</v>
      </c>
      <c r="K431" s="276" t="n">
        <v>0.2103495368957519</v>
      </c>
      <c r="L431" s="276" t="n">
        <v>0.2103495368957519</v>
      </c>
      <c r="M431" s="276" t="inlineStr">
        <is>
          <t>Windows; Linux; Network Devices</t>
        </is>
      </c>
      <c r="N431" s="276" t="inlineStr">
        <is>
          <t>https://attack.mitre.org/techniques/T1210/</t>
        </is>
      </c>
      <c r="O431" s="276" t="n"/>
      <c r="P431" s="277" t="n"/>
    </row>
    <row r="432">
      <c r="A432" s="275" t="inlineStr">
        <is>
          <t>Malicious insider</t>
        </is>
      </c>
      <c r="B432" s="276" t="inlineStr">
        <is>
          <t>Critical business-service disruption</t>
        </is>
      </c>
      <c r="C432" s="276" t="inlineStr">
        <is>
          <t>Public-facing application exploitation</t>
        </is>
      </c>
      <c r="D432" s="276" t="inlineStr">
        <is>
          <t>T1021</t>
        </is>
      </c>
      <c r="E432" s="276" t="inlineStr">
        <is>
          <t>Remote Services</t>
        </is>
      </c>
      <c r="F432" s="276" t="inlineStr">
        <is>
          <t>S4</t>
        </is>
      </c>
      <c r="G432" s="276" t="b">
        <v>1</v>
      </c>
      <c r="H432" s="276" t="b">
        <v>1</v>
      </c>
      <c r="I432" s="276" t="b">
        <v>1</v>
      </c>
      <c r="J432" s="276" t="n">
        <v>0.7</v>
      </c>
      <c r="K432" s="276" t="n">
        <v>0.1875</v>
      </c>
      <c r="L432" s="276" t="n">
        <v>0.1875</v>
      </c>
      <c r="M432" s="276" t="inlineStr">
        <is>
          <t>Windows; Linux; Network Devices</t>
        </is>
      </c>
      <c r="N432" s="276" t="inlineStr">
        <is>
          <t>https://attack.mitre.org/techniques/T1021/</t>
        </is>
      </c>
      <c r="O432" s="276" t="n"/>
      <c r="P432" s="277" t="n"/>
    </row>
    <row r="433">
      <c r="A433" s="275" t="inlineStr">
        <is>
          <t>Malicious insider</t>
        </is>
      </c>
      <c r="B433" s="276" t="inlineStr">
        <is>
          <t>Critical business-service disruption</t>
        </is>
      </c>
      <c r="C433" s="276" t="inlineStr">
        <is>
          <t>Public-facing application exploitation</t>
        </is>
      </c>
      <c r="D433" s="276" t="inlineStr">
        <is>
          <t>T1486</t>
        </is>
      </c>
      <c r="E433" s="276" t="inlineStr">
        <is>
          <t>Data Encrypted for Impact</t>
        </is>
      </c>
      <c r="F433" s="276" t="inlineStr">
        <is>
          <t>S5</t>
        </is>
      </c>
      <c r="G433" s="276" t="b">
        <v>1</v>
      </c>
      <c r="H433" s="276" t="b">
        <v>1</v>
      </c>
      <c r="I433" s="276" t="b">
        <v>1</v>
      </c>
      <c r="J433" s="276" t="n">
        <v>0.6</v>
      </c>
      <c r="K433" s="276" t="n">
        <v>0.16875</v>
      </c>
      <c r="L433" s="276" t="n">
        <v>0.16875</v>
      </c>
      <c r="M433" s="276" t="inlineStr">
        <is>
          <t>Windows; Linux; IaaS</t>
        </is>
      </c>
      <c r="N433" s="276" t="inlineStr">
        <is>
          <t>https://attack.mitre.org/techniques/T1486/</t>
        </is>
      </c>
      <c r="O433" s="276" t="n"/>
      <c r="P433" s="277" t="n"/>
    </row>
    <row r="434">
      <c r="A434" s="275" t="inlineStr">
        <is>
          <t>Malicious insider</t>
        </is>
      </c>
      <c r="B434" s="276" t="inlineStr">
        <is>
          <t>Critical business-service disruption</t>
        </is>
      </c>
      <c r="C434" s="276" t="inlineStr">
        <is>
          <t>Public-facing application exploitation</t>
        </is>
      </c>
      <c r="D434" s="276" t="inlineStr">
        <is>
          <t>T1490</t>
        </is>
      </c>
      <c r="E434" s="276" t="inlineStr">
        <is>
          <t>Inhibit System Recovery</t>
        </is>
      </c>
      <c r="F434" s="276" t="inlineStr">
        <is>
          <t>S5</t>
        </is>
      </c>
      <c r="G434" s="276" t="b">
        <v>1</v>
      </c>
      <c r="H434" s="276" t="b">
        <v>1</v>
      </c>
      <c r="I434" s="276" t="b">
        <v>1</v>
      </c>
      <c r="J434" s="276" t="n">
        <v>0.5</v>
      </c>
      <c r="K434" s="276" t="n">
        <v>0</v>
      </c>
      <c r="L434" s="276" t="n">
        <v>0</v>
      </c>
      <c r="M434" s="276" t="inlineStr">
        <is>
          <t>Windows; Linux; IaaS</t>
        </is>
      </c>
      <c r="N434" s="276" t="inlineStr">
        <is>
          <t>https://attack.mitre.org/techniques/T1490/</t>
        </is>
      </c>
      <c r="O434" s="276" t="n"/>
      <c r="P434" s="277" t="n"/>
    </row>
    <row r="435">
      <c r="A435" s="275" t="inlineStr">
        <is>
          <t>Malicious insider</t>
        </is>
      </c>
      <c r="B435" s="276" t="inlineStr">
        <is>
          <t>Critical business-service disruption</t>
        </is>
      </c>
      <c r="C435" s="276" t="inlineStr">
        <is>
          <t>Public-facing application exploitation</t>
        </is>
      </c>
      <c r="D435" s="276" t="inlineStr">
        <is>
          <t>T1567</t>
        </is>
      </c>
      <c r="E435" s="276" t="inlineStr">
        <is>
          <t>Exfiltration Over Web Service</t>
        </is>
      </c>
      <c r="F435" s="276" t="inlineStr">
        <is>
          <t>S5</t>
        </is>
      </c>
      <c r="G435" s="276" t="b">
        <v>1</v>
      </c>
      <c r="H435" s="276" t="b">
        <v>0</v>
      </c>
      <c r="I435" s="276" t="b">
        <v>0</v>
      </c>
      <c r="J435" s="276" t="n">
        <v>0.6</v>
      </c>
      <c r="K435" s="276" t="n">
        <v>0.20625</v>
      </c>
      <c r="L435" s="276" t="n">
        <v>0.20625</v>
      </c>
      <c r="M435" s="276" t="inlineStr">
        <is>
          <t>SaaS; Office Suite</t>
        </is>
      </c>
      <c r="N435" s="276" t="inlineStr">
        <is>
          <t>https://attack.mitre.org/techniques/T1567/</t>
        </is>
      </c>
      <c r="O435" s="276" t="n"/>
      <c r="P435" s="277" t="n"/>
    </row>
    <row r="436">
      <c r="A436" s="275" t="inlineStr">
        <is>
          <t>Malicious insider</t>
        </is>
      </c>
      <c r="B436" s="276" t="inlineStr">
        <is>
          <t>Critical business-service disruption</t>
        </is>
      </c>
      <c r="C436" s="276" t="inlineStr">
        <is>
          <t>Public-facing application exploitation</t>
        </is>
      </c>
      <c r="D436" s="276" t="inlineStr">
        <is>
          <t>T1565</t>
        </is>
      </c>
      <c r="E436" s="276" t="inlineStr">
        <is>
          <t>Data Manipulation</t>
        </is>
      </c>
      <c r="F436" s="276" t="inlineStr">
        <is>
          <t>S5</t>
        </is>
      </c>
      <c r="G436" s="276" t="b">
        <v>1</v>
      </c>
      <c r="H436" s="276" t="b">
        <v>1</v>
      </c>
      <c r="I436" s="276" t="b">
        <v>1</v>
      </c>
      <c r="J436" s="276" t="n">
        <v>0.6</v>
      </c>
      <c r="K436" s="276" t="n">
        <v>0.2206064987182617</v>
      </c>
      <c r="L436" s="276" t="n">
        <v>0.2206064987182617</v>
      </c>
      <c r="M436" s="276" t="inlineStr">
        <is>
          <t>SaaS; Databases; Windows</t>
        </is>
      </c>
      <c r="N436" s="276" t="inlineStr">
        <is>
          <t>https://attack.mitre.org/techniques/T1565/</t>
        </is>
      </c>
      <c r="O436" s="276" t="n"/>
      <c r="P436" s="277" t="n"/>
    </row>
    <row r="437">
      <c r="A437" s="275" t="inlineStr">
        <is>
          <t>Malicious insider</t>
        </is>
      </c>
      <c r="B437" s="276" t="inlineStr">
        <is>
          <t>Critical business-service disruption</t>
        </is>
      </c>
      <c r="C437" s="276" t="inlineStr">
        <is>
          <t>Public-facing application exploitation</t>
        </is>
      </c>
      <c r="D437" s="276" t="inlineStr">
        <is>
          <t>T1657</t>
        </is>
      </c>
      <c r="E437" s="276" t="inlineStr">
        <is>
          <t>Financial Theft</t>
        </is>
      </c>
      <c r="F437" s="276" t="inlineStr">
        <is>
          <t>S5</t>
        </is>
      </c>
      <c r="G437" s="276" t="b">
        <v>1</v>
      </c>
      <c r="H437" s="276" t="b">
        <v>0</v>
      </c>
      <c r="I437" s="276" t="b">
        <v>0</v>
      </c>
      <c r="J437" s="276" t="n">
        <v>0.4</v>
      </c>
      <c r="K437" s="276" t="n">
        <v>0.275654296875</v>
      </c>
      <c r="L437" s="276" t="n">
        <v>0.275654296875</v>
      </c>
      <c r="M437" s="276" t="inlineStr">
        <is>
          <t>SaaS; Office Suite; Identity Provider</t>
        </is>
      </c>
      <c r="N437" s="276" t="inlineStr">
        <is>
          <t>https://attack.mitre.org/techniques/T1657/</t>
        </is>
      </c>
      <c r="O437" s="276" t="n"/>
      <c r="P437" s="277" t="n"/>
    </row>
    <row r="438">
      <c r="A438" s="275" t="inlineStr">
        <is>
          <t>Malicious insider</t>
        </is>
      </c>
      <c r="B438" s="276" t="inlineStr">
        <is>
          <t>Critical business-service disruption</t>
        </is>
      </c>
      <c r="C438" s="276" t="inlineStr">
        <is>
          <t>Third-party or software supply chain</t>
        </is>
      </c>
      <c r="D438" s="276" t="inlineStr">
        <is>
          <t>T1199</t>
        </is>
      </c>
      <c r="E438" s="276" t="inlineStr">
        <is>
          <t>Trusted Relationship</t>
        </is>
      </c>
      <c r="F438" s="276" t="inlineStr">
        <is>
          <t>S3</t>
        </is>
      </c>
      <c r="G438" s="276" t="b">
        <v>1</v>
      </c>
      <c r="H438" s="276" t="b">
        <v>1</v>
      </c>
      <c r="I438" s="276" t="b">
        <v>1</v>
      </c>
      <c r="J438" s="276" t="n">
        <v>1</v>
      </c>
      <c r="K438" s="276" t="n">
        <v>0.20625</v>
      </c>
      <c r="L438" s="276" t="n">
        <v>0.20625</v>
      </c>
      <c r="M438" s="276" t="inlineStr">
        <is>
          <t>SaaS; IaaS; Network Devices</t>
        </is>
      </c>
      <c r="N438" s="276" t="inlineStr">
        <is>
          <t>https://attack.mitre.org/techniques/T1199/</t>
        </is>
      </c>
      <c r="O438" s="276" t="n"/>
      <c r="P438" s="277" t="n"/>
    </row>
    <row r="439">
      <c r="A439" s="275" t="inlineStr">
        <is>
          <t>Malicious insider</t>
        </is>
      </c>
      <c r="B439" s="276" t="inlineStr">
        <is>
          <t>Critical business-service disruption</t>
        </is>
      </c>
      <c r="C439" s="276" t="inlineStr">
        <is>
          <t>Third-party or software supply chain</t>
        </is>
      </c>
      <c r="D439" s="276" t="inlineStr">
        <is>
          <t>T1098</t>
        </is>
      </c>
      <c r="E439" s="276" t="inlineStr">
        <is>
          <t>Account Manipulation</t>
        </is>
      </c>
      <c r="F439" s="276" t="inlineStr">
        <is>
          <t>S3</t>
        </is>
      </c>
      <c r="G439" s="276" t="b">
        <v>1</v>
      </c>
      <c r="H439" s="276" t="b">
        <v>1</v>
      </c>
      <c r="I439" s="276" t="b">
        <v>1</v>
      </c>
      <c r="J439" s="276" t="n">
        <v>0.6</v>
      </c>
      <c r="K439" s="276" t="n">
        <v>0.2477547340393066</v>
      </c>
      <c r="L439" s="276" t="n">
        <v>0.2477547340393066</v>
      </c>
      <c r="M439" s="276" t="inlineStr">
        <is>
          <t>Identity Provider; SaaS; Windows</t>
        </is>
      </c>
      <c r="N439" s="276" t="inlineStr">
        <is>
          <t>https://attack.mitre.org/techniques/T1098/</t>
        </is>
      </c>
      <c r="O439" s="276" t="n"/>
      <c r="P439" s="277" t="n"/>
    </row>
    <row r="440">
      <c r="A440" s="275" t="inlineStr">
        <is>
          <t>Malicious insider</t>
        </is>
      </c>
      <c r="B440" s="276" t="inlineStr">
        <is>
          <t>Critical business-service disruption</t>
        </is>
      </c>
      <c r="C440" s="276" t="inlineStr">
        <is>
          <t>Third-party or software supply chain</t>
        </is>
      </c>
      <c r="D440" s="276" t="inlineStr">
        <is>
          <t>T1087</t>
        </is>
      </c>
      <c r="E440" s="276" t="inlineStr">
        <is>
          <t>Account Discovery</t>
        </is>
      </c>
      <c r="F440" s="276" t="inlineStr">
        <is>
          <t>S4</t>
        </is>
      </c>
      <c r="G440" s="276" t="b">
        <v>1</v>
      </c>
      <c r="H440" s="276" t="b">
        <v>1</v>
      </c>
      <c r="I440" s="276" t="b">
        <v>1</v>
      </c>
      <c r="J440" s="276" t="n">
        <v>0.5</v>
      </c>
      <c r="K440" s="276" t="n">
        <v>0</v>
      </c>
      <c r="L440" s="276" t="n">
        <v>0</v>
      </c>
      <c r="M440" s="276" t="inlineStr">
        <is>
          <t>Identity Provider; SaaS; Windows</t>
        </is>
      </c>
      <c r="N440" s="276" t="inlineStr">
        <is>
          <t>https://attack.mitre.org/techniques/T1087/</t>
        </is>
      </c>
      <c r="O440" s="276" t="n"/>
      <c r="P440" s="277" t="n"/>
    </row>
    <row r="441">
      <c r="A441" s="275" t="inlineStr">
        <is>
          <t>Malicious insider</t>
        </is>
      </c>
      <c r="B441" s="276" t="inlineStr">
        <is>
          <t>Critical business-service disruption</t>
        </is>
      </c>
      <c r="C441" s="276" t="inlineStr">
        <is>
          <t>Third-party or software supply chain</t>
        </is>
      </c>
      <c r="D441" s="276" t="inlineStr">
        <is>
          <t>T1213</t>
        </is>
      </c>
      <c r="E441" s="276" t="inlineStr">
        <is>
          <t>Data from Information Repositories</t>
        </is>
      </c>
      <c r="F441" s="276" t="inlineStr">
        <is>
          <t>S4</t>
        </is>
      </c>
      <c r="G441" s="276" t="b">
        <v>1</v>
      </c>
      <c r="H441" s="276" t="b">
        <v>0</v>
      </c>
      <c r="I441" s="276" t="b">
        <v>0</v>
      </c>
      <c r="J441" s="276" t="n">
        <v>0.7</v>
      </c>
      <c r="K441" s="276" t="n">
        <v>0.177890625</v>
      </c>
      <c r="L441" s="276" t="n">
        <v>0.177890625</v>
      </c>
      <c r="M441" s="276" t="inlineStr">
        <is>
          <t>SaaS; Office Suite; Windows</t>
        </is>
      </c>
      <c r="N441" s="276" t="inlineStr">
        <is>
          <t>https://attack.mitre.org/techniques/T1213/</t>
        </is>
      </c>
      <c r="O441" s="276" t="n"/>
      <c r="P441" s="277" t="n"/>
    </row>
    <row r="442">
      <c r="A442" s="275" t="inlineStr">
        <is>
          <t>Malicious insider</t>
        </is>
      </c>
      <c r="B442" s="276" t="inlineStr">
        <is>
          <t>Critical business-service disruption</t>
        </is>
      </c>
      <c r="C442" s="276" t="inlineStr">
        <is>
          <t>Third-party or software supply chain</t>
        </is>
      </c>
      <c r="D442" s="276" t="inlineStr">
        <is>
          <t>T1567</t>
        </is>
      </c>
      <c r="E442" s="276" t="inlineStr">
        <is>
          <t>Exfiltration Over Web Service</t>
        </is>
      </c>
      <c r="F442" s="276" t="inlineStr">
        <is>
          <t>S5</t>
        </is>
      </c>
      <c r="G442" s="276" t="b">
        <v>1</v>
      </c>
      <c r="H442" s="276" t="b">
        <v>0</v>
      </c>
      <c r="I442" s="276" t="b">
        <v>0</v>
      </c>
      <c r="J442" s="276" t="n">
        <v>0.6</v>
      </c>
      <c r="K442" s="276" t="n">
        <v>0.20625</v>
      </c>
      <c r="L442" s="276" t="n">
        <v>0.20625</v>
      </c>
      <c r="M442" s="276" t="inlineStr">
        <is>
          <t>SaaS; Office Suite</t>
        </is>
      </c>
      <c r="N442" s="276" t="inlineStr">
        <is>
          <t>https://attack.mitre.org/techniques/T1567/</t>
        </is>
      </c>
      <c r="O442" s="276" t="n"/>
      <c r="P442" s="277" t="n"/>
    </row>
    <row r="443">
      <c r="A443" s="275" t="inlineStr">
        <is>
          <t>Malicious insider</t>
        </is>
      </c>
      <c r="B443" s="276" t="inlineStr">
        <is>
          <t>Critical business-service disruption</t>
        </is>
      </c>
      <c r="C443" s="276" t="inlineStr">
        <is>
          <t>Third-party or software supply chain</t>
        </is>
      </c>
      <c r="D443" s="276" t="inlineStr">
        <is>
          <t>T1486</t>
        </is>
      </c>
      <c r="E443" s="276" t="inlineStr">
        <is>
          <t>Data Encrypted for Impact</t>
        </is>
      </c>
      <c r="F443" s="276" t="inlineStr">
        <is>
          <t>S5</t>
        </is>
      </c>
      <c r="G443" s="276" t="b">
        <v>1</v>
      </c>
      <c r="H443" s="276" t="b">
        <v>1</v>
      </c>
      <c r="I443" s="276" t="b">
        <v>1</v>
      </c>
      <c r="J443" s="276" t="n">
        <v>0.5</v>
      </c>
      <c r="K443" s="276" t="n">
        <v>0.16875</v>
      </c>
      <c r="L443" s="276" t="n">
        <v>0.16875</v>
      </c>
      <c r="M443" s="276" t="inlineStr">
        <is>
          <t>Windows; Linux; IaaS</t>
        </is>
      </c>
      <c r="N443" s="276" t="inlineStr">
        <is>
          <t>https://attack.mitre.org/techniques/T1486/</t>
        </is>
      </c>
      <c r="O443" s="276" t="n"/>
      <c r="P443" s="277" t="n"/>
    </row>
    <row r="444">
      <c r="A444" s="275" t="inlineStr">
        <is>
          <t>Malicious insider</t>
        </is>
      </c>
      <c r="B444" s="276" t="inlineStr">
        <is>
          <t>Critical business-service disruption</t>
        </is>
      </c>
      <c r="C444" s="276" t="inlineStr">
        <is>
          <t>Third-party or software supply chain</t>
        </is>
      </c>
      <c r="D444" s="276" t="inlineStr">
        <is>
          <t>T1565</t>
        </is>
      </c>
      <c r="E444" s="276" t="inlineStr">
        <is>
          <t>Data Manipulation</t>
        </is>
      </c>
      <c r="F444" s="276" t="inlineStr">
        <is>
          <t>S5</t>
        </is>
      </c>
      <c r="G444" s="276" t="b">
        <v>1</v>
      </c>
      <c r="H444" s="276" t="b">
        <v>1</v>
      </c>
      <c r="I444" s="276" t="b">
        <v>1</v>
      </c>
      <c r="J444" s="276" t="n">
        <v>0.6</v>
      </c>
      <c r="K444" s="276" t="n">
        <v>0.2206064987182617</v>
      </c>
      <c r="L444" s="276" t="n">
        <v>0.2206064987182617</v>
      </c>
      <c r="M444" s="276" t="inlineStr">
        <is>
          <t>SaaS; Databases; Windows</t>
        </is>
      </c>
      <c r="N444" s="276" t="inlineStr">
        <is>
          <t>https://attack.mitre.org/techniques/T1565/</t>
        </is>
      </c>
      <c r="O444" s="276" t="n"/>
      <c r="P444" s="277" t="n"/>
    </row>
    <row r="445">
      <c r="A445" s="275" t="inlineStr">
        <is>
          <t>Malicious insider</t>
        </is>
      </c>
      <c r="B445" s="276" t="inlineStr">
        <is>
          <t>Critical business-service disruption</t>
        </is>
      </c>
      <c r="C445" s="276" t="inlineStr">
        <is>
          <t>Third-party or software supply chain</t>
        </is>
      </c>
      <c r="D445" s="276" t="inlineStr">
        <is>
          <t>T1657</t>
        </is>
      </c>
      <c r="E445" s="276" t="inlineStr">
        <is>
          <t>Financial Theft</t>
        </is>
      </c>
      <c r="F445" s="276" t="inlineStr">
        <is>
          <t>S5</t>
        </is>
      </c>
      <c r="G445" s="276" t="b">
        <v>1</v>
      </c>
      <c r="H445" s="276" t="b">
        <v>0</v>
      </c>
      <c r="I445" s="276" t="b">
        <v>0</v>
      </c>
      <c r="J445" s="276" t="n">
        <v>0.5</v>
      </c>
      <c r="K445" s="276" t="n">
        <v>0.275654296875</v>
      </c>
      <c r="L445" s="276" t="n">
        <v>0.275654296875</v>
      </c>
      <c r="M445" s="276" t="inlineStr">
        <is>
          <t>SaaS; Office Suite; Identity Provider</t>
        </is>
      </c>
      <c r="N445" s="276" t="inlineStr">
        <is>
          <t>https://attack.mitre.org/techniques/T1657/</t>
        </is>
      </c>
      <c r="O445" s="276" t="n"/>
      <c r="P445" s="277" t="n"/>
    </row>
    <row r="446">
      <c r="A446" s="275" t="inlineStr">
        <is>
          <t>Malicious insider</t>
        </is>
      </c>
      <c r="B446" s="276" t="inlineStr">
        <is>
          <t>Critical business-service disruption</t>
        </is>
      </c>
      <c r="C446" s="276" t="inlineStr">
        <is>
          <t>Direct availability or DDoS</t>
        </is>
      </c>
      <c r="D446" s="276" t="inlineStr">
        <is>
          <t>T1498</t>
        </is>
      </c>
      <c r="E446" s="276" t="inlineStr">
        <is>
          <t>Network Denial of Service</t>
        </is>
      </c>
      <c r="F446" s="276" t="inlineStr">
        <is>
          <t>S1</t>
        </is>
      </c>
      <c r="G446" s="276" t="b">
        <v>0</v>
      </c>
      <c r="H446" s="276" t="b">
        <v>1</v>
      </c>
      <c r="I446" s="276" t="b">
        <v>0</v>
      </c>
      <c r="J446" s="276" t="n">
        <v>1</v>
      </c>
      <c r="K446" s="276" t="n">
        <v>0.2866992187499999</v>
      </c>
      <c r="L446" s="276" t="n">
        <v>0.2866992187499999</v>
      </c>
      <c r="M446" s="276" t="inlineStr">
        <is>
          <t>Network Devices</t>
        </is>
      </c>
      <c r="N446" s="276" t="inlineStr">
        <is>
          <t>https://attack.mitre.org/techniques/T1498/</t>
        </is>
      </c>
      <c r="O446" s="276" t="n"/>
      <c r="P446" s="277" t="n"/>
    </row>
    <row r="447">
      <c r="A447" s="275" t="inlineStr">
        <is>
          <t>Malicious insider</t>
        </is>
      </c>
      <c r="B447" s="276" t="inlineStr">
        <is>
          <t>Critical business-service disruption</t>
        </is>
      </c>
      <c r="C447" s="276" t="inlineStr">
        <is>
          <t>Direct availability or DDoS</t>
        </is>
      </c>
      <c r="D447" s="276" t="inlineStr">
        <is>
          <t>T1499</t>
        </is>
      </c>
      <c r="E447" s="276" t="inlineStr">
        <is>
          <t>Endpoint Denial of Service</t>
        </is>
      </c>
      <c r="F447" s="276" t="inlineStr">
        <is>
          <t>S5</t>
        </is>
      </c>
      <c r="G447" s="276" t="b">
        <v>0</v>
      </c>
      <c r="H447" s="276" t="b">
        <v>1</v>
      </c>
      <c r="I447" s="276" t="b">
        <v>0</v>
      </c>
      <c r="J447" s="276" t="n">
        <v>1</v>
      </c>
      <c r="K447" s="276" t="n">
        <v>0.225</v>
      </c>
      <c r="L447" s="276" t="n">
        <v>0.225</v>
      </c>
      <c r="M447" s="276" t="inlineStr">
        <is>
          <t>Windows; Linux; Network Devices</t>
        </is>
      </c>
      <c r="N447" s="276" t="inlineStr">
        <is>
          <t>https://attack.mitre.org/techniques/T1499/</t>
        </is>
      </c>
      <c r="O447" s="276" t="n"/>
      <c r="P447" s="277" t="n"/>
    </row>
    <row r="448">
      <c r="A448" s="275" t="inlineStr">
        <is>
          <t>Malicious insider</t>
        </is>
      </c>
      <c r="B448" s="276" t="inlineStr">
        <is>
          <t>Critical business-service disruption</t>
        </is>
      </c>
      <c r="C448" s="276" t="inlineStr">
        <is>
          <t>Insider or trusted access</t>
        </is>
      </c>
      <c r="D448" s="276" t="inlineStr">
        <is>
          <t>T1098</t>
        </is>
      </c>
      <c r="E448" s="276" t="inlineStr">
        <is>
          <t>Account Manipulation</t>
        </is>
      </c>
      <c r="F448" s="276" t="inlineStr">
        <is>
          <t>S3</t>
        </is>
      </c>
      <c r="G448" s="276" t="b">
        <v>1</v>
      </c>
      <c r="H448" s="276" t="b">
        <v>1</v>
      </c>
      <c r="I448" s="276" t="b">
        <v>1</v>
      </c>
      <c r="J448" s="276" t="n">
        <v>0.8</v>
      </c>
      <c r="K448" s="276" t="n">
        <v>0.2477547340393066</v>
      </c>
      <c r="L448" s="276" t="n">
        <v>0.2477547340393066</v>
      </c>
      <c r="M448" s="276" t="inlineStr">
        <is>
          <t>Identity Provider; SaaS; Windows</t>
        </is>
      </c>
      <c r="N448" s="276" t="inlineStr">
        <is>
          <t>https://attack.mitre.org/techniques/T1098/</t>
        </is>
      </c>
      <c r="O448" s="276" t="n"/>
      <c r="P448" s="277" t="n"/>
    </row>
    <row r="449">
      <c r="A449" s="275" t="inlineStr">
        <is>
          <t>Malicious insider</t>
        </is>
      </c>
      <c r="B449" s="276" t="inlineStr">
        <is>
          <t>Critical business-service disruption</t>
        </is>
      </c>
      <c r="C449" s="276" t="inlineStr">
        <is>
          <t>Insider or trusted access</t>
        </is>
      </c>
      <c r="D449" s="276" t="inlineStr">
        <is>
          <t>T1087</t>
        </is>
      </c>
      <c r="E449" s="276" t="inlineStr">
        <is>
          <t>Account Discovery</t>
        </is>
      </c>
      <c r="F449" s="276" t="inlineStr">
        <is>
          <t>S4</t>
        </is>
      </c>
      <c r="G449" s="276" t="b">
        <v>1</v>
      </c>
      <c r="H449" s="276" t="b">
        <v>1</v>
      </c>
      <c r="I449" s="276" t="b">
        <v>1</v>
      </c>
      <c r="J449" s="276" t="n">
        <v>0.6</v>
      </c>
      <c r="K449" s="276" t="n">
        <v>0</v>
      </c>
      <c r="L449" s="276" t="n">
        <v>0</v>
      </c>
      <c r="M449" s="276" t="inlineStr">
        <is>
          <t>Identity Provider; SaaS; Windows</t>
        </is>
      </c>
      <c r="N449" s="276" t="inlineStr">
        <is>
          <t>https://attack.mitre.org/techniques/T1087/</t>
        </is>
      </c>
      <c r="O449" s="276" t="n"/>
      <c r="P449" s="277" t="n"/>
    </row>
    <row r="450">
      <c r="A450" s="275" t="inlineStr">
        <is>
          <t>Malicious insider</t>
        </is>
      </c>
      <c r="B450" s="276" t="inlineStr">
        <is>
          <t>Critical business-service disruption</t>
        </is>
      </c>
      <c r="C450" s="276" t="inlineStr">
        <is>
          <t>Insider or trusted access</t>
        </is>
      </c>
      <c r="D450" s="276" t="inlineStr">
        <is>
          <t>T1213</t>
        </is>
      </c>
      <c r="E450" s="276" t="inlineStr">
        <is>
          <t>Data from Information Repositories</t>
        </is>
      </c>
      <c r="F450" s="276" t="inlineStr">
        <is>
          <t>S4</t>
        </is>
      </c>
      <c r="G450" s="276" t="b">
        <v>1</v>
      </c>
      <c r="H450" s="276" t="b">
        <v>0</v>
      </c>
      <c r="I450" s="276" t="b">
        <v>0</v>
      </c>
      <c r="J450" s="276" t="n">
        <v>0.9</v>
      </c>
      <c r="K450" s="276" t="n">
        <v>0.177890625</v>
      </c>
      <c r="L450" s="276" t="n">
        <v>0.177890625</v>
      </c>
      <c r="M450" s="276" t="inlineStr">
        <is>
          <t>SaaS; Office Suite; Windows</t>
        </is>
      </c>
      <c r="N450" s="276" t="inlineStr">
        <is>
          <t>https://attack.mitre.org/techniques/T1213/</t>
        </is>
      </c>
      <c r="O450" s="276" t="n"/>
      <c r="P450" s="277" t="n"/>
    </row>
    <row r="451">
      <c r="A451" s="275" t="inlineStr">
        <is>
          <t>Malicious insider</t>
        </is>
      </c>
      <c r="B451" s="276" t="inlineStr">
        <is>
          <t>Critical business-service disruption</t>
        </is>
      </c>
      <c r="C451" s="276" t="inlineStr">
        <is>
          <t>Insider or trusted access</t>
        </is>
      </c>
      <c r="D451" s="276" t="inlineStr">
        <is>
          <t>T1567</t>
        </is>
      </c>
      <c r="E451" s="276" t="inlineStr">
        <is>
          <t>Exfiltration Over Web Service</t>
        </is>
      </c>
      <c r="F451" s="276" t="inlineStr">
        <is>
          <t>S5</t>
        </is>
      </c>
      <c r="G451" s="276" t="b">
        <v>1</v>
      </c>
      <c r="H451" s="276" t="b">
        <v>0</v>
      </c>
      <c r="I451" s="276" t="b">
        <v>0</v>
      </c>
      <c r="J451" s="276" t="n">
        <v>0.8</v>
      </c>
      <c r="K451" s="276" t="n">
        <v>0.20625</v>
      </c>
      <c r="L451" s="276" t="n">
        <v>0.20625</v>
      </c>
      <c r="M451" s="276" t="inlineStr">
        <is>
          <t>SaaS; Office Suite</t>
        </is>
      </c>
      <c r="N451" s="276" t="inlineStr">
        <is>
          <t>https://attack.mitre.org/techniques/T1567/</t>
        </is>
      </c>
      <c r="O451" s="276" t="n"/>
      <c r="P451" s="277" t="n"/>
    </row>
    <row r="452">
      <c r="A452" s="275" t="inlineStr">
        <is>
          <t>Malicious insider</t>
        </is>
      </c>
      <c r="B452" s="276" t="inlineStr">
        <is>
          <t>Critical business-service disruption</t>
        </is>
      </c>
      <c r="C452" s="276" t="inlineStr">
        <is>
          <t>Insider or trusted access</t>
        </is>
      </c>
      <c r="D452" s="276" t="inlineStr">
        <is>
          <t>T1565</t>
        </is>
      </c>
      <c r="E452" s="276" t="inlineStr">
        <is>
          <t>Data Manipulation</t>
        </is>
      </c>
      <c r="F452" s="276" t="inlineStr">
        <is>
          <t>S5</t>
        </is>
      </c>
      <c r="G452" s="276" t="b">
        <v>1</v>
      </c>
      <c r="H452" s="276" t="b">
        <v>1</v>
      </c>
      <c r="I452" s="276" t="b">
        <v>1</v>
      </c>
      <c r="J452" s="276" t="n">
        <v>0.9</v>
      </c>
      <c r="K452" s="276" t="n">
        <v>0.2206064987182617</v>
      </c>
      <c r="L452" s="276" t="n">
        <v>0.2206064987182617</v>
      </c>
      <c r="M452" s="276" t="inlineStr">
        <is>
          <t>SaaS; Databases; Windows</t>
        </is>
      </c>
      <c r="N452" s="276" t="inlineStr">
        <is>
          <t>https://attack.mitre.org/techniques/T1565/</t>
        </is>
      </c>
      <c r="O452" s="276" t="n"/>
      <c r="P452" s="277" t="n"/>
    </row>
    <row r="453">
      <c r="A453" s="275" t="inlineStr">
        <is>
          <t>Malicious insider</t>
        </is>
      </c>
      <c r="B453" s="276" t="inlineStr">
        <is>
          <t>Critical business-service disruption</t>
        </is>
      </c>
      <c r="C453" s="276" t="inlineStr">
        <is>
          <t>Insider or trusted access</t>
        </is>
      </c>
      <c r="D453" s="276" t="inlineStr">
        <is>
          <t>T1657</t>
        </is>
      </c>
      <c r="E453" s="276" t="inlineStr">
        <is>
          <t>Financial Theft</t>
        </is>
      </c>
      <c r="F453" s="276" t="inlineStr">
        <is>
          <t>S5</t>
        </is>
      </c>
      <c r="G453" s="276" t="b">
        <v>1</v>
      </c>
      <c r="H453" s="276" t="b">
        <v>0</v>
      </c>
      <c r="I453" s="276" t="b">
        <v>0</v>
      </c>
      <c r="J453" s="276" t="n">
        <v>0.9</v>
      </c>
      <c r="K453" s="276" t="n">
        <v>0.275654296875</v>
      </c>
      <c r="L453" s="276" t="n">
        <v>0.275654296875</v>
      </c>
      <c r="M453" s="276" t="inlineStr">
        <is>
          <t>SaaS; Office Suite; Identity Provider</t>
        </is>
      </c>
      <c r="N453" s="276" t="inlineStr">
        <is>
          <t>https://attack.mitre.org/techniques/T1657/</t>
        </is>
      </c>
      <c r="O453" s="276" t="n"/>
      <c r="P453" s="277" t="n"/>
    </row>
    <row r="454">
      <c r="A454" s="275" t="inlineStr">
        <is>
          <t>Malicious insider</t>
        </is>
      </c>
      <c r="B454" s="276" t="inlineStr">
        <is>
          <t>Sensitive-data compromise</t>
        </is>
      </c>
      <c r="C454" s="276" t="inlineStr">
        <is>
          <t>Identity and credential compromise</t>
        </is>
      </c>
      <c r="D454" s="276" t="inlineStr">
        <is>
          <t>T1566</t>
        </is>
      </c>
      <c r="E454" s="276" t="inlineStr">
        <is>
          <t>Phishing</t>
        </is>
      </c>
      <c r="F454" s="276" t="inlineStr">
        <is>
          <t>S1</t>
        </is>
      </c>
      <c r="G454" s="276" t="b">
        <v>1</v>
      </c>
      <c r="H454" s="276" t="b">
        <v>1</v>
      </c>
      <c r="I454" s="276" t="b">
        <v>1</v>
      </c>
      <c r="J454" s="276" t="n">
        <v>1</v>
      </c>
      <c r="K454" s="276" t="n">
        <v>0.20625</v>
      </c>
      <c r="L454" s="276" t="n">
        <v>0.20625</v>
      </c>
      <c r="M454" s="276" t="inlineStr">
        <is>
          <t>Windows; SaaS; Office Suite</t>
        </is>
      </c>
      <c r="N454" s="276" t="inlineStr">
        <is>
          <t>https://attack.mitre.org/techniques/T1566/</t>
        </is>
      </c>
      <c r="O454" s="276" t="n"/>
      <c r="P454" s="277" t="n"/>
    </row>
    <row r="455">
      <c r="A455" s="275" t="inlineStr">
        <is>
          <t>Malicious insider</t>
        </is>
      </c>
      <c r="B455" s="276" t="inlineStr">
        <is>
          <t>Sensitive-data compromise</t>
        </is>
      </c>
      <c r="C455" s="276" t="inlineStr">
        <is>
          <t>Identity and credential compromise</t>
        </is>
      </c>
      <c r="D455" s="276" t="inlineStr">
        <is>
          <t>T1078</t>
        </is>
      </c>
      <c r="E455" s="276" t="inlineStr">
        <is>
          <t>Valid Accounts</t>
        </is>
      </c>
      <c r="F455" s="276" t="inlineStr">
        <is>
          <t>S1</t>
        </is>
      </c>
      <c r="G455" s="276" t="b">
        <v>1</v>
      </c>
      <c r="H455" s="276" t="b">
        <v>1</v>
      </c>
      <c r="I455" s="276" t="b">
        <v>1</v>
      </c>
      <c r="J455" s="276" t="n">
        <v>1</v>
      </c>
      <c r="K455" s="276" t="n">
        <v>0.272109375</v>
      </c>
      <c r="L455" s="276" t="n">
        <v>0.272109375</v>
      </c>
      <c r="M455" s="276" t="inlineStr">
        <is>
          <t>Identity Provider; SaaS; IaaS; Windows</t>
        </is>
      </c>
      <c r="N455" s="276" t="inlineStr">
        <is>
          <t>https://attack.mitre.org/techniques/T1078/</t>
        </is>
      </c>
      <c r="O455" s="276" t="n"/>
      <c r="P455" s="277" t="n"/>
    </row>
    <row r="456">
      <c r="A456" s="275" t="inlineStr">
        <is>
          <t>Malicious insider</t>
        </is>
      </c>
      <c r="B456" s="276" t="inlineStr">
        <is>
          <t>Sensitive-data compromise</t>
        </is>
      </c>
      <c r="C456" s="276" t="inlineStr">
        <is>
          <t>Identity and credential compromise</t>
        </is>
      </c>
      <c r="D456" s="276" t="inlineStr">
        <is>
          <t>T1110</t>
        </is>
      </c>
      <c r="E456" s="276" t="inlineStr">
        <is>
          <t>Brute Force</t>
        </is>
      </c>
      <c r="F456" s="276" t="inlineStr">
        <is>
          <t>S1</t>
        </is>
      </c>
      <c r="G456" s="276" t="b">
        <v>0</v>
      </c>
      <c r="H456" s="276" t="b">
        <v>1</v>
      </c>
      <c r="I456" s="276" t="b">
        <v>0</v>
      </c>
      <c r="J456" s="276" t="n">
        <v>0.7</v>
      </c>
      <c r="K456" s="276" t="n">
        <v>0.24375</v>
      </c>
      <c r="L456" s="276" t="n">
        <v>0.24375</v>
      </c>
      <c r="M456" s="276" t="inlineStr">
        <is>
          <t>Identity Provider; SaaS; Windows</t>
        </is>
      </c>
      <c r="N456" s="276" t="inlineStr">
        <is>
          <t>https://attack.mitre.org/techniques/T1110/</t>
        </is>
      </c>
      <c r="O456" s="276" t="n"/>
      <c r="P456" s="277" t="n"/>
    </row>
    <row r="457">
      <c r="A457" s="275" t="inlineStr">
        <is>
          <t>Malicious insider</t>
        </is>
      </c>
      <c r="B457" s="276" t="inlineStr">
        <is>
          <t>Sensitive-data compromise</t>
        </is>
      </c>
      <c r="C457" s="276" t="inlineStr">
        <is>
          <t>Identity and credential compromise</t>
        </is>
      </c>
      <c r="D457" s="276" t="inlineStr">
        <is>
          <t>T1098</t>
        </is>
      </c>
      <c r="E457" s="276" t="inlineStr">
        <is>
          <t>Account Manipulation</t>
        </is>
      </c>
      <c r="F457" s="276" t="inlineStr">
        <is>
          <t>S3</t>
        </is>
      </c>
      <c r="G457" s="276" t="b">
        <v>1</v>
      </c>
      <c r="H457" s="276" t="b">
        <v>1</v>
      </c>
      <c r="I457" s="276" t="b">
        <v>1</v>
      </c>
      <c r="J457" s="276" t="n">
        <v>0.7</v>
      </c>
      <c r="K457" s="276" t="n">
        <v>0.2477547340393066</v>
      </c>
      <c r="L457" s="276" t="n">
        <v>0.2477547340393066</v>
      </c>
      <c r="M457" s="276" t="inlineStr">
        <is>
          <t>Identity Provider; SaaS; Windows</t>
        </is>
      </c>
      <c r="N457" s="276" t="inlineStr">
        <is>
          <t>https://attack.mitre.org/techniques/T1098/</t>
        </is>
      </c>
      <c r="O457" s="276" t="n"/>
      <c r="P457" s="277" t="n"/>
    </row>
    <row r="458">
      <c r="A458" s="275" t="inlineStr">
        <is>
          <t>Malicious insider</t>
        </is>
      </c>
      <c r="B458" s="276" t="inlineStr">
        <is>
          <t>Sensitive-data compromise</t>
        </is>
      </c>
      <c r="C458" s="276" t="inlineStr">
        <is>
          <t>Identity and credential compromise</t>
        </is>
      </c>
      <c r="D458" s="276" t="inlineStr">
        <is>
          <t>T1087</t>
        </is>
      </c>
      <c r="E458" s="276" t="inlineStr">
        <is>
          <t>Account Discovery</t>
        </is>
      </c>
      <c r="F458" s="276" t="inlineStr">
        <is>
          <t>S4</t>
        </is>
      </c>
      <c r="G458" s="276" t="b">
        <v>1</v>
      </c>
      <c r="H458" s="276" t="b">
        <v>1</v>
      </c>
      <c r="I458" s="276" t="b">
        <v>1</v>
      </c>
      <c r="J458" s="276" t="n">
        <v>0.6</v>
      </c>
      <c r="K458" s="276" t="n">
        <v>0</v>
      </c>
      <c r="L458" s="276" t="n">
        <v>0</v>
      </c>
      <c r="M458" s="276" t="inlineStr">
        <is>
          <t>Identity Provider; SaaS; Windows</t>
        </is>
      </c>
      <c r="N458" s="276" t="inlineStr">
        <is>
          <t>https://attack.mitre.org/techniques/T1087/</t>
        </is>
      </c>
      <c r="O458" s="276" t="n"/>
      <c r="P458" s="277" t="n"/>
    </row>
    <row r="459">
      <c r="A459" s="275" t="inlineStr">
        <is>
          <t>Malicious insider</t>
        </is>
      </c>
      <c r="B459" s="276" t="inlineStr">
        <is>
          <t>Sensitive-data compromise</t>
        </is>
      </c>
      <c r="C459" s="276" t="inlineStr">
        <is>
          <t>Identity and credential compromise</t>
        </is>
      </c>
      <c r="D459" s="276" t="inlineStr">
        <is>
          <t>T1213</t>
        </is>
      </c>
      <c r="E459" s="276" t="inlineStr">
        <is>
          <t>Data from Information Repositories</t>
        </is>
      </c>
      <c r="F459" s="276" t="inlineStr">
        <is>
          <t>S4</t>
        </is>
      </c>
      <c r="G459" s="276" t="b">
        <v>1</v>
      </c>
      <c r="H459" s="276" t="b">
        <v>1</v>
      </c>
      <c r="I459" s="276" t="b">
        <v>1</v>
      </c>
      <c r="J459" s="276" t="n">
        <v>0.8</v>
      </c>
      <c r="K459" s="276" t="n">
        <v>0.177890625</v>
      </c>
      <c r="L459" s="276" t="n">
        <v>0.177890625</v>
      </c>
      <c r="M459" s="276" t="inlineStr">
        <is>
          <t>SaaS; Office Suite; Windows</t>
        </is>
      </c>
      <c r="N459" s="276" t="inlineStr">
        <is>
          <t>https://attack.mitre.org/techniques/T1213/</t>
        </is>
      </c>
      <c r="O459" s="276" t="n"/>
      <c r="P459" s="277" t="n"/>
    </row>
    <row r="460">
      <c r="A460" s="275" t="inlineStr">
        <is>
          <t>Malicious insider</t>
        </is>
      </c>
      <c r="B460" s="276" t="inlineStr">
        <is>
          <t>Sensitive-data compromise</t>
        </is>
      </c>
      <c r="C460" s="276" t="inlineStr">
        <is>
          <t>Identity and credential compromise</t>
        </is>
      </c>
      <c r="D460" s="276" t="inlineStr">
        <is>
          <t>T1567</t>
        </is>
      </c>
      <c r="E460" s="276" t="inlineStr">
        <is>
          <t>Exfiltration Over Web Service</t>
        </is>
      </c>
      <c r="F460" s="276" t="inlineStr">
        <is>
          <t>S5</t>
        </is>
      </c>
      <c r="G460" s="276" t="b">
        <v>1</v>
      </c>
      <c r="H460" s="276" t="b">
        <v>1</v>
      </c>
      <c r="I460" s="276" t="b">
        <v>1</v>
      </c>
      <c r="J460" s="276" t="n">
        <v>0.7</v>
      </c>
      <c r="K460" s="276" t="n">
        <v>0.20625</v>
      </c>
      <c r="L460" s="276" t="n">
        <v>0.20625</v>
      </c>
      <c r="M460" s="276" t="inlineStr">
        <is>
          <t>SaaS; Office Suite</t>
        </is>
      </c>
      <c r="N460" s="276" t="inlineStr">
        <is>
          <t>https://attack.mitre.org/techniques/T1567/</t>
        </is>
      </c>
      <c r="O460" s="276" t="n"/>
      <c r="P460" s="277" t="n"/>
    </row>
    <row r="461">
      <c r="A461" s="275" t="inlineStr">
        <is>
          <t>Malicious insider</t>
        </is>
      </c>
      <c r="B461" s="276" t="inlineStr">
        <is>
          <t>Sensitive-data compromise</t>
        </is>
      </c>
      <c r="C461" s="276" t="inlineStr">
        <is>
          <t>Identity and credential compromise</t>
        </is>
      </c>
      <c r="D461" s="276" t="inlineStr">
        <is>
          <t>T1657</t>
        </is>
      </c>
      <c r="E461" s="276" t="inlineStr">
        <is>
          <t>Financial Theft</t>
        </is>
      </c>
      <c r="F461" s="276" t="inlineStr">
        <is>
          <t>S5</t>
        </is>
      </c>
      <c r="G461" s="276" t="b">
        <v>1</v>
      </c>
      <c r="H461" s="276" t="b">
        <v>0</v>
      </c>
      <c r="I461" s="276" t="b">
        <v>0</v>
      </c>
      <c r="J461" s="276" t="n">
        <v>0.8</v>
      </c>
      <c r="K461" s="276" t="n">
        <v>0.275654296875</v>
      </c>
      <c r="L461" s="276" t="n">
        <v>0.275654296875</v>
      </c>
      <c r="M461" s="276" t="inlineStr">
        <is>
          <t>SaaS; Office Suite; Identity Provider</t>
        </is>
      </c>
      <c r="N461" s="276" t="inlineStr">
        <is>
          <t>https://attack.mitre.org/techniques/T1657/</t>
        </is>
      </c>
      <c r="O461" s="276" t="n"/>
      <c r="P461" s="277" t="n"/>
    </row>
    <row r="462">
      <c r="A462" s="275" t="inlineStr">
        <is>
          <t>Malicious insider</t>
        </is>
      </c>
      <c r="B462" s="276" t="inlineStr">
        <is>
          <t>Sensitive-data compromise</t>
        </is>
      </c>
      <c r="C462" s="276" t="inlineStr">
        <is>
          <t>Identity and credential compromise</t>
        </is>
      </c>
      <c r="D462" s="276" t="inlineStr">
        <is>
          <t>T1565</t>
        </is>
      </c>
      <c r="E462" s="276" t="inlineStr">
        <is>
          <t>Data Manipulation</t>
        </is>
      </c>
      <c r="F462" s="276" t="inlineStr">
        <is>
          <t>S5</t>
        </is>
      </c>
      <c r="G462" s="276" t="b">
        <v>1</v>
      </c>
      <c r="H462" s="276" t="b">
        <v>0</v>
      </c>
      <c r="I462" s="276" t="b">
        <v>0</v>
      </c>
      <c r="J462" s="276" t="n">
        <v>0.5</v>
      </c>
      <c r="K462" s="276" t="n">
        <v>0.2206064987182617</v>
      </c>
      <c r="L462" s="276" t="n">
        <v>0.2206064987182617</v>
      </c>
      <c r="M462" s="276" t="inlineStr">
        <is>
          <t>SaaS; Databases; Windows</t>
        </is>
      </c>
      <c r="N462" s="276" t="inlineStr">
        <is>
          <t>https://attack.mitre.org/techniques/T1565/</t>
        </is>
      </c>
      <c r="O462" s="276" t="n"/>
      <c r="P462" s="277" t="n"/>
    </row>
    <row r="463">
      <c r="A463" s="275" t="inlineStr">
        <is>
          <t>Malicious insider</t>
        </is>
      </c>
      <c r="B463" s="276" t="inlineStr">
        <is>
          <t>Sensitive-data compromise</t>
        </is>
      </c>
      <c r="C463" s="276" t="inlineStr">
        <is>
          <t>Identity and credential compromise</t>
        </is>
      </c>
      <c r="D463" s="276" t="inlineStr">
        <is>
          <t>T1486</t>
        </is>
      </c>
      <c r="E463" s="276" t="inlineStr">
        <is>
          <t>Data Encrypted for Impact</t>
        </is>
      </c>
      <c r="F463" s="276" t="inlineStr">
        <is>
          <t>S5</t>
        </is>
      </c>
      <c r="G463" s="276" t="b">
        <v>1</v>
      </c>
      <c r="H463" s="276" t="b">
        <v>0</v>
      </c>
      <c r="I463" s="276" t="b">
        <v>0</v>
      </c>
      <c r="J463" s="276" t="n">
        <v>0.7</v>
      </c>
      <c r="K463" s="276" t="n">
        <v>0.16875</v>
      </c>
      <c r="L463" s="276" t="n">
        <v>0.16875</v>
      </c>
      <c r="M463" s="276" t="inlineStr">
        <is>
          <t>Windows; Linux; IaaS</t>
        </is>
      </c>
      <c r="N463" s="276" t="inlineStr">
        <is>
          <t>https://attack.mitre.org/techniques/T1486/</t>
        </is>
      </c>
      <c r="O463" s="276" t="n"/>
      <c r="P463" s="277" t="n"/>
    </row>
    <row r="464">
      <c r="A464" s="275" t="inlineStr">
        <is>
          <t>Malicious insider</t>
        </is>
      </c>
      <c r="B464" s="276" t="inlineStr">
        <is>
          <t>Sensitive-data compromise</t>
        </is>
      </c>
      <c r="C464" s="276" t="inlineStr">
        <is>
          <t>Identity and credential compromise</t>
        </is>
      </c>
      <c r="D464" s="276" t="inlineStr">
        <is>
          <t>T1490</t>
        </is>
      </c>
      <c r="E464" s="276" t="inlineStr">
        <is>
          <t>Inhibit System Recovery</t>
        </is>
      </c>
      <c r="F464" s="276" t="inlineStr">
        <is>
          <t>S5</t>
        </is>
      </c>
      <c r="G464" s="276" t="b">
        <v>1</v>
      </c>
      <c r="H464" s="276" t="b">
        <v>0</v>
      </c>
      <c r="I464" s="276" t="b">
        <v>0</v>
      </c>
      <c r="J464" s="276" t="n">
        <v>0.6</v>
      </c>
      <c r="K464" s="276" t="n">
        <v>0</v>
      </c>
      <c r="L464" s="276" t="n">
        <v>0</v>
      </c>
      <c r="M464" s="276" t="inlineStr">
        <is>
          <t>Windows; Linux; IaaS</t>
        </is>
      </c>
      <c r="N464" s="276" t="inlineStr">
        <is>
          <t>https://attack.mitre.org/techniques/T1490/</t>
        </is>
      </c>
      <c r="O464" s="276" t="n"/>
      <c r="P464" s="277" t="n"/>
    </row>
    <row r="465">
      <c r="A465" s="275" t="inlineStr">
        <is>
          <t>Malicious insider</t>
        </is>
      </c>
      <c r="B465" s="276" t="inlineStr">
        <is>
          <t>Sensitive-data compromise</t>
        </is>
      </c>
      <c r="C465" s="276" t="inlineStr">
        <is>
          <t>User endpoint and social engineering</t>
        </is>
      </c>
      <c r="D465" s="276" t="inlineStr">
        <is>
          <t>T1566</t>
        </is>
      </c>
      <c r="E465" s="276" t="inlineStr">
        <is>
          <t>Phishing</t>
        </is>
      </c>
      <c r="F465" s="276" t="inlineStr">
        <is>
          <t>S1</t>
        </is>
      </c>
      <c r="G465" s="276" t="b">
        <v>1</v>
      </c>
      <c r="H465" s="276" t="b">
        <v>1</v>
      </c>
      <c r="I465" s="276" t="b">
        <v>1</v>
      </c>
      <c r="J465" s="276" t="n">
        <v>1</v>
      </c>
      <c r="K465" s="276" t="n">
        <v>0.20625</v>
      </c>
      <c r="L465" s="276" t="n">
        <v>0.20625</v>
      </c>
      <c r="M465" s="276" t="inlineStr">
        <is>
          <t>Windows; SaaS; Office Suite</t>
        </is>
      </c>
      <c r="N465" s="276" t="inlineStr">
        <is>
          <t>https://attack.mitre.org/techniques/T1566/</t>
        </is>
      </c>
      <c r="O465" s="276" t="n"/>
      <c r="P465" s="277" t="n"/>
    </row>
    <row r="466">
      <c r="A466" s="275" t="inlineStr">
        <is>
          <t>Malicious insider</t>
        </is>
      </c>
      <c r="B466" s="276" t="inlineStr">
        <is>
          <t>Sensitive-data compromise</t>
        </is>
      </c>
      <c r="C466" s="276" t="inlineStr">
        <is>
          <t>User endpoint and social engineering</t>
        </is>
      </c>
      <c r="D466" s="276" t="inlineStr">
        <is>
          <t>T1203</t>
        </is>
      </c>
      <c r="E466" s="276" t="inlineStr">
        <is>
          <t>Exploitation for Client Execution</t>
        </is>
      </c>
      <c r="F466" s="276" t="inlineStr">
        <is>
          <t>S2</t>
        </is>
      </c>
      <c r="G466" s="276" t="b">
        <v>0</v>
      </c>
      <c r="H466" s="276" t="b">
        <v>1</v>
      </c>
      <c r="I466" s="276" t="b">
        <v>0</v>
      </c>
      <c r="J466" s="276" t="n">
        <v>0.8</v>
      </c>
      <c r="K466" s="276" t="n">
        <v>0.2404920959472656</v>
      </c>
      <c r="L466" s="276" t="n">
        <v>0.2404920959472656</v>
      </c>
      <c r="M466" s="276" t="inlineStr">
        <is>
          <t>Windows; macOS; Linux</t>
        </is>
      </c>
      <c r="N466" s="276" t="inlineStr">
        <is>
          <t>https://attack.mitre.org/techniques/T1203/</t>
        </is>
      </c>
      <c r="O466" s="276" t="n"/>
      <c r="P466" s="277" t="n"/>
    </row>
    <row r="467">
      <c r="A467" s="275" t="inlineStr">
        <is>
          <t>Malicious insider</t>
        </is>
      </c>
      <c r="B467" s="276" t="inlineStr">
        <is>
          <t>Sensitive-data compromise</t>
        </is>
      </c>
      <c r="C467" s="276" t="inlineStr">
        <is>
          <t>User endpoint and social engineering</t>
        </is>
      </c>
      <c r="D467" s="276" t="inlineStr">
        <is>
          <t>T1059</t>
        </is>
      </c>
      <c r="E467" s="276" t="inlineStr">
        <is>
          <t>Command and Scripting Interpreter</t>
        </is>
      </c>
      <c r="F467" s="276" t="inlineStr">
        <is>
          <t>S2</t>
        </is>
      </c>
      <c r="G467" s="276" t="b">
        <v>1</v>
      </c>
      <c r="H467" s="276" t="b">
        <v>1</v>
      </c>
      <c r="I467" s="276" t="b">
        <v>1</v>
      </c>
      <c r="J467" s="276" t="n">
        <v>0.9</v>
      </c>
      <c r="K467" s="276" t="n">
        <v>0.1875</v>
      </c>
      <c r="L467" s="276" t="n">
        <v>0.1875</v>
      </c>
      <c r="M467" s="276" t="inlineStr">
        <is>
          <t>Windows; macOS; Linux; IaaS</t>
        </is>
      </c>
      <c r="N467" s="276" t="inlineStr">
        <is>
          <t>https://attack.mitre.org/techniques/T1059/</t>
        </is>
      </c>
      <c r="O467" s="276" t="n"/>
      <c r="P467" s="277" t="n"/>
    </row>
    <row r="468">
      <c r="A468" s="275" t="inlineStr">
        <is>
          <t>Malicious insider</t>
        </is>
      </c>
      <c r="B468" s="276" t="inlineStr">
        <is>
          <t>Sensitive-data compromise</t>
        </is>
      </c>
      <c r="C468" s="276" t="inlineStr">
        <is>
          <t>User endpoint and social engineering</t>
        </is>
      </c>
      <c r="D468" s="276" t="inlineStr">
        <is>
          <t>T1068</t>
        </is>
      </c>
      <c r="E468" s="276" t="inlineStr">
        <is>
          <t>Exploitation for Privilege Escalation</t>
        </is>
      </c>
      <c r="F468" s="276" t="inlineStr">
        <is>
          <t>S3</t>
        </is>
      </c>
      <c r="G468" s="276" t="b">
        <v>1</v>
      </c>
      <c r="H468" s="276" t="b">
        <v>1</v>
      </c>
      <c r="I468" s="276" t="b">
        <v>1</v>
      </c>
      <c r="J468" s="276" t="n">
        <v>0.7</v>
      </c>
      <c r="K468" s="276" t="n">
        <v>0.2094165115356445</v>
      </c>
      <c r="L468" s="276" t="n">
        <v>0.2094165115356445</v>
      </c>
      <c r="M468" s="276" t="inlineStr">
        <is>
          <t>Windows; macOS; Linux</t>
        </is>
      </c>
      <c r="N468" s="276" t="inlineStr">
        <is>
          <t>https://attack.mitre.org/techniques/T1068/</t>
        </is>
      </c>
      <c r="O468" s="276" t="n"/>
      <c r="P468" s="277" t="n"/>
    </row>
    <row r="469">
      <c r="A469" s="275" t="inlineStr">
        <is>
          <t>Malicious insider</t>
        </is>
      </c>
      <c r="B469" s="276" t="inlineStr">
        <is>
          <t>Sensitive-data compromise</t>
        </is>
      </c>
      <c r="C469" s="276" t="inlineStr">
        <is>
          <t>User endpoint and social engineering</t>
        </is>
      </c>
      <c r="D469" s="276" t="inlineStr">
        <is>
          <t>T1003</t>
        </is>
      </c>
      <c r="E469" s="276" t="inlineStr">
        <is>
          <t>OS Credential Dumping</t>
        </is>
      </c>
      <c r="F469" s="276" t="inlineStr">
        <is>
          <t>S3</t>
        </is>
      </c>
      <c r="G469" s="276" t="b">
        <v>1</v>
      </c>
      <c r="H469" s="276" t="b">
        <v>1</v>
      </c>
      <c r="I469" s="276" t="b">
        <v>1</v>
      </c>
      <c r="J469" s="276" t="n">
        <v>0.8</v>
      </c>
      <c r="K469" s="276" t="n">
        <v>0.232294921875</v>
      </c>
      <c r="L469" s="276" t="n">
        <v>0.232294921875</v>
      </c>
      <c r="M469" s="276" t="inlineStr">
        <is>
          <t>Windows; Linux; macOS</t>
        </is>
      </c>
      <c r="N469" s="276" t="inlineStr">
        <is>
          <t>https://attack.mitre.org/techniques/T1003/</t>
        </is>
      </c>
      <c r="O469" s="276" t="n"/>
      <c r="P469" s="277" t="n"/>
    </row>
    <row r="470">
      <c r="A470" s="275" t="inlineStr">
        <is>
          <t>Malicious insider</t>
        </is>
      </c>
      <c r="B470" s="276" t="inlineStr">
        <is>
          <t>Sensitive-data compromise</t>
        </is>
      </c>
      <c r="C470" s="276" t="inlineStr">
        <is>
          <t>User endpoint and social engineering</t>
        </is>
      </c>
      <c r="D470" s="276" t="inlineStr">
        <is>
          <t>T1046</t>
        </is>
      </c>
      <c r="E470" s="276" t="inlineStr">
        <is>
          <t>Network Service Discovery</t>
        </is>
      </c>
      <c r="F470" s="276" t="inlineStr">
        <is>
          <t>S4</t>
        </is>
      </c>
      <c r="G470" s="276" t="b">
        <v>1</v>
      </c>
      <c r="H470" s="276" t="b">
        <v>1</v>
      </c>
      <c r="I470" s="276" t="b">
        <v>1</v>
      </c>
      <c r="J470" s="276" t="n">
        <v>0.6</v>
      </c>
      <c r="K470" s="276" t="n">
        <v>0.16875</v>
      </c>
      <c r="L470" s="276" t="n">
        <v>0.16875</v>
      </c>
      <c r="M470" s="276" t="inlineStr">
        <is>
          <t>Network Devices; Windows; Linux</t>
        </is>
      </c>
      <c r="N470" s="276" t="inlineStr">
        <is>
          <t>https://attack.mitre.org/techniques/T1046/</t>
        </is>
      </c>
      <c r="O470" s="276" t="n"/>
      <c r="P470" s="277" t="n"/>
    </row>
    <row r="471">
      <c r="A471" s="275" t="inlineStr">
        <is>
          <t>Malicious insider</t>
        </is>
      </c>
      <c r="B471" s="276" t="inlineStr">
        <is>
          <t>Sensitive-data compromise</t>
        </is>
      </c>
      <c r="C471" s="276" t="inlineStr">
        <is>
          <t>User endpoint and social engineering</t>
        </is>
      </c>
      <c r="D471" s="276" t="inlineStr">
        <is>
          <t>T1021</t>
        </is>
      </c>
      <c r="E471" s="276" t="inlineStr">
        <is>
          <t>Remote Services</t>
        </is>
      </c>
      <c r="F471" s="276" t="inlineStr">
        <is>
          <t>S4</t>
        </is>
      </c>
      <c r="G471" s="276" t="b">
        <v>1</v>
      </c>
      <c r="H471" s="276" t="b">
        <v>1</v>
      </c>
      <c r="I471" s="276" t="b">
        <v>1</v>
      </c>
      <c r="J471" s="276" t="n">
        <v>0.8</v>
      </c>
      <c r="K471" s="276" t="n">
        <v>0.1875</v>
      </c>
      <c r="L471" s="276" t="n">
        <v>0.1875</v>
      </c>
      <c r="M471" s="276" t="inlineStr">
        <is>
          <t>Windows; Linux; Network Devices</t>
        </is>
      </c>
      <c r="N471" s="276" t="inlineStr">
        <is>
          <t>https://attack.mitre.org/techniques/T1021/</t>
        </is>
      </c>
      <c r="O471" s="276" t="n"/>
      <c r="P471" s="277" t="n"/>
    </row>
    <row r="472">
      <c r="A472" s="275" t="inlineStr">
        <is>
          <t>Malicious insider</t>
        </is>
      </c>
      <c r="B472" s="276" t="inlineStr">
        <is>
          <t>Sensitive-data compromise</t>
        </is>
      </c>
      <c r="C472" s="276" t="inlineStr">
        <is>
          <t>User endpoint and social engineering</t>
        </is>
      </c>
      <c r="D472" s="276" t="inlineStr">
        <is>
          <t>T1213</t>
        </is>
      </c>
      <c r="E472" s="276" t="inlineStr">
        <is>
          <t>Data from Information Repositories</t>
        </is>
      </c>
      <c r="F472" s="276" t="inlineStr">
        <is>
          <t>S4</t>
        </is>
      </c>
      <c r="G472" s="276" t="b">
        <v>1</v>
      </c>
      <c r="H472" s="276" t="b">
        <v>1</v>
      </c>
      <c r="I472" s="276" t="b">
        <v>1</v>
      </c>
      <c r="J472" s="276" t="n">
        <v>0.7</v>
      </c>
      <c r="K472" s="276" t="n">
        <v>0.177890625</v>
      </c>
      <c r="L472" s="276" t="n">
        <v>0.177890625</v>
      </c>
      <c r="M472" s="276" t="inlineStr">
        <is>
          <t>SaaS; Office Suite; Windows</t>
        </is>
      </c>
      <c r="N472" s="276" t="inlineStr">
        <is>
          <t>https://attack.mitre.org/techniques/T1213/</t>
        </is>
      </c>
      <c r="O472" s="276" t="n"/>
      <c r="P472" s="277" t="n"/>
    </row>
    <row r="473">
      <c r="A473" s="275" t="inlineStr">
        <is>
          <t>Malicious insider</t>
        </is>
      </c>
      <c r="B473" s="276" t="inlineStr">
        <is>
          <t>Sensitive-data compromise</t>
        </is>
      </c>
      <c r="C473" s="276" t="inlineStr">
        <is>
          <t>User endpoint and social engineering</t>
        </is>
      </c>
      <c r="D473" s="276" t="inlineStr">
        <is>
          <t>T1486</t>
        </is>
      </c>
      <c r="E473" s="276" t="inlineStr">
        <is>
          <t>Data Encrypted for Impact</t>
        </is>
      </c>
      <c r="F473" s="276" t="inlineStr">
        <is>
          <t>S5</t>
        </is>
      </c>
      <c r="G473" s="276" t="b">
        <v>1</v>
      </c>
      <c r="H473" s="276" t="b">
        <v>0</v>
      </c>
      <c r="I473" s="276" t="b">
        <v>0</v>
      </c>
      <c r="J473" s="276" t="n">
        <v>0.8</v>
      </c>
      <c r="K473" s="276" t="n">
        <v>0.16875</v>
      </c>
      <c r="L473" s="276" t="n">
        <v>0.16875</v>
      </c>
      <c r="M473" s="276" t="inlineStr">
        <is>
          <t>Windows; Linux; IaaS</t>
        </is>
      </c>
      <c r="N473" s="276" t="inlineStr">
        <is>
          <t>https://attack.mitre.org/techniques/T1486/</t>
        </is>
      </c>
      <c r="O473" s="276" t="n"/>
      <c r="P473" s="277" t="n"/>
    </row>
    <row r="474">
      <c r="A474" s="275" t="inlineStr">
        <is>
          <t>Malicious insider</t>
        </is>
      </c>
      <c r="B474" s="276" t="inlineStr">
        <is>
          <t>Sensitive-data compromise</t>
        </is>
      </c>
      <c r="C474" s="276" t="inlineStr">
        <is>
          <t>User endpoint and social engineering</t>
        </is>
      </c>
      <c r="D474" s="276" t="inlineStr">
        <is>
          <t>T1490</t>
        </is>
      </c>
      <c r="E474" s="276" t="inlineStr">
        <is>
          <t>Inhibit System Recovery</t>
        </is>
      </c>
      <c r="F474" s="276" t="inlineStr">
        <is>
          <t>S5</t>
        </is>
      </c>
      <c r="G474" s="276" t="b">
        <v>1</v>
      </c>
      <c r="H474" s="276" t="b">
        <v>0</v>
      </c>
      <c r="I474" s="276" t="b">
        <v>0</v>
      </c>
      <c r="J474" s="276" t="n">
        <v>0.7</v>
      </c>
      <c r="K474" s="276" t="n">
        <v>0</v>
      </c>
      <c r="L474" s="276" t="n">
        <v>0</v>
      </c>
      <c r="M474" s="276" t="inlineStr">
        <is>
          <t>Windows; Linux; IaaS</t>
        </is>
      </c>
      <c r="N474" s="276" t="inlineStr">
        <is>
          <t>https://attack.mitre.org/techniques/T1490/</t>
        </is>
      </c>
      <c r="O474" s="276" t="n"/>
      <c r="P474" s="277" t="n"/>
    </row>
    <row r="475">
      <c r="A475" s="275" t="inlineStr">
        <is>
          <t>Malicious insider</t>
        </is>
      </c>
      <c r="B475" s="276" t="inlineStr">
        <is>
          <t>Sensitive-data compromise</t>
        </is>
      </c>
      <c r="C475" s="276" t="inlineStr">
        <is>
          <t>User endpoint and social engineering</t>
        </is>
      </c>
      <c r="D475" s="276" t="inlineStr">
        <is>
          <t>T1567</t>
        </is>
      </c>
      <c r="E475" s="276" t="inlineStr">
        <is>
          <t>Exfiltration Over Web Service</t>
        </is>
      </c>
      <c r="F475" s="276" t="inlineStr">
        <is>
          <t>S5</t>
        </is>
      </c>
      <c r="G475" s="276" t="b">
        <v>1</v>
      </c>
      <c r="H475" s="276" t="b">
        <v>1</v>
      </c>
      <c r="I475" s="276" t="b">
        <v>1</v>
      </c>
      <c r="J475" s="276" t="n">
        <v>0.7</v>
      </c>
      <c r="K475" s="276" t="n">
        <v>0.20625</v>
      </c>
      <c r="L475" s="276" t="n">
        <v>0.20625</v>
      </c>
      <c r="M475" s="276" t="inlineStr">
        <is>
          <t>SaaS; Office Suite</t>
        </is>
      </c>
      <c r="N475" s="276" t="inlineStr">
        <is>
          <t>https://attack.mitre.org/techniques/T1567/</t>
        </is>
      </c>
      <c r="O475" s="276" t="n"/>
      <c r="P475" s="277" t="n"/>
    </row>
    <row r="476">
      <c r="A476" s="275" t="inlineStr">
        <is>
          <t>Malicious insider</t>
        </is>
      </c>
      <c r="B476" s="276" t="inlineStr">
        <is>
          <t>Sensitive-data compromise</t>
        </is>
      </c>
      <c r="C476" s="276" t="inlineStr">
        <is>
          <t>User endpoint and social engineering</t>
        </is>
      </c>
      <c r="D476" s="276" t="inlineStr">
        <is>
          <t>T1657</t>
        </is>
      </c>
      <c r="E476" s="276" t="inlineStr">
        <is>
          <t>Financial Theft</t>
        </is>
      </c>
      <c r="F476" s="276" t="inlineStr">
        <is>
          <t>S5</t>
        </is>
      </c>
      <c r="G476" s="276" t="b">
        <v>1</v>
      </c>
      <c r="H476" s="276" t="b">
        <v>0</v>
      </c>
      <c r="I476" s="276" t="b">
        <v>0</v>
      </c>
      <c r="J476" s="276" t="n">
        <v>0.5</v>
      </c>
      <c r="K476" s="276" t="n">
        <v>0.275654296875</v>
      </c>
      <c r="L476" s="276" t="n">
        <v>0.275654296875</v>
      </c>
      <c r="M476" s="276" t="inlineStr">
        <is>
          <t>SaaS; Office Suite; Identity Provider</t>
        </is>
      </c>
      <c r="N476" s="276" t="inlineStr">
        <is>
          <t>https://attack.mitre.org/techniques/T1657/</t>
        </is>
      </c>
      <c r="O476" s="276" t="n"/>
      <c r="P476" s="277" t="n"/>
    </row>
    <row r="477">
      <c r="A477" s="275" t="inlineStr">
        <is>
          <t>Malicious insider</t>
        </is>
      </c>
      <c r="B477" s="276" t="inlineStr">
        <is>
          <t>Sensitive-data compromise</t>
        </is>
      </c>
      <c r="C477" s="276" t="inlineStr">
        <is>
          <t>User endpoint and social engineering</t>
        </is>
      </c>
      <c r="D477" s="276" t="inlineStr">
        <is>
          <t>T1565</t>
        </is>
      </c>
      <c r="E477" s="276" t="inlineStr">
        <is>
          <t>Data Manipulation</t>
        </is>
      </c>
      <c r="F477" s="276" t="inlineStr">
        <is>
          <t>S5</t>
        </is>
      </c>
      <c r="G477" s="276" t="b">
        <v>1</v>
      </c>
      <c r="H477" s="276" t="b">
        <v>0</v>
      </c>
      <c r="I477" s="276" t="b">
        <v>0</v>
      </c>
      <c r="J477" s="276" t="n">
        <v>0.5</v>
      </c>
      <c r="K477" s="276" t="n">
        <v>0.2206064987182617</v>
      </c>
      <c r="L477" s="276" t="n">
        <v>0.2206064987182617</v>
      </c>
      <c r="M477" s="276" t="inlineStr">
        <is>
          <t>SaaS; Databases; Windows</t>
        </is>
      </c>
      <c r="N477" s="276" t="inlineStr">
        <is>
          <t>https://attack.mitre.org/techniques/T1565/</t>
        </is>
      </c>
      <c r="O477" s="276" t="n"/>
      <c r="P477" s="277" t="n"/>
    </row>
    <row r="478">
      <c r="A478" s="275" t="inlineStr">
        <is>
          <t>Malicious insider</t>
        </is>
      </c>
      <c r="B478" s="276" t="inlineStr">
        <is>
          <t>Sensitive-data compromise</t>
        </is>
      </c>
      <c r="C478" s="276" t="inlineStr">
        <is>
          <t>Public-facing application exploitation</t>
        </is>
      </c>
      <c r="D478" s="276" t="inlineStr">
        <is>
          <t>T1190</t>
        </is>
      </c>
      <c r="E478" s="276" t="inlineStr">
        <is>
          <t>Exploit Public-Facing Application</t>
        </is>
      </c>
      <c r="F478" s="276" t="inlineStr">
        <is>
          <t>S1</t>
        </is>
      </c>
      <c r="G478" s="276" t="b">
        <v>0</v>
      </c>
      <c r="H478" s="276" t="b">
        <v>1</v>
      </c>
      <c r="I478" s="276" t="b">
        <v>0</v>
      </c>
      <c r="J478" s="276" t="n">
        <v>1</v>
      </c>
      <c r="K478" s="276" t="n">
        <v>0.2496630477905274</v>
      </c>
      <c r="L478" s="276" t="n">
        <v>0.2496630477905274</v>
      </c>
      <c r="M478" s="276" t="inlineStr">
        <is>
          <t>Network Devices; SaaS; IaaS</t>
        </is>
      </c>
      <c r="N478" s="276" t="inlineStr">
        <is>
          <t>https://attack.mitre.org/techniques/T1190/</t>
        </is>
      </c>
      <c r="O478" s="276" t="n"/>
      <c r="P478" s="277" t="n"/>
    </row>
    <row r="479">
      <c r="A479" s="275" t="inlineStr">
        <is>
          <t>Malicious insider</t>
        </is>
      </c>
      <c r="B479" s="276" t="inlineStr">
        <is>
          <t>Sensitive-data compromise</t>
        </is>
      </c>
      <c r="C479" s="276" t="inlineStr">
        <is>
          <t>Public-facing application exploitation</t>
        </is>
      </c>
      <c r="D479" s="276" t="inlineStr">
        <is>
          <t>T1059</t>
        </is>
      </c>
      <c r="E479" s="276" t="inlineStr">
        <is>
          <t>Command and Scripting Interpreter</t>
        </is>
      </c>
      <c r="F479" s="276" t="inlineStr">
        <is>
          <t>S2</t>
        </is>
      </c>
      <c r="G479" s="276" t="b">
        <v>1</v>
      </c>
      <c r="H479" s="276" t="b">
        <v>1</v>
      </c>
      <c r="I479" s="276" t="b">
        <v>1</v>
      </c>
      <c r="J479" s="276" t="n">
        <v>0.8</v>
      </c>
      <c r="K479" s="276" t="n">
        <v>0.1875</v>
      </c>
      <c r="L479" s="276" t="n">
        <v>0.1875</v>
      </c>
      <c r="M479" s="276" t="inlineStr">
        <is>
          <t>Windows; macOS; Linux; IaaS</t>
        </is>
      </c>
      <c r="N479" s="276" t="inlineStr">
        <is>
          <t>https://attack.mitre.org/techniques/T1059/</t>
        </is>
      </c>
      <c r="O479" s="276" t="n"/>
      <c r="P479" s="277" t="n"/>
    </row>
    <row r="480">
      <c r="A480" s="275" t="inlineStr">
        <is>
          <t>Malicious insider</t>
        </is>
      </c>
      <c r="B480" s="276" t="inlineStr">
        <is>
          <t>Sensitive-data compromise</t>
        </is>
      </c>
      <c r="C480" s="276" t="inlineStr">
        <is>
          <t>Public-facing application exploitation</t>
        </is>
      </c>
      <c r="D480" s="276" t="inlineStr">
        <is>
          <t>T1068</t>
        </is>
      </c>
      <c r="E480" s="276" t="inlineStr">
        <is>
          <t>Exploitation for Privilege Escalation</t>
        </is>
      </c>
      <c r="F480" s="276" t="inlineStr">
        <is>
          <t>S3</t>
        </is>
      </c>
      <c r="G480" s="276" t="b">
        <v>1</v>
      </c>
      <c r="H480" s="276" t="b">
        <v>1</v>
      </c>
      <c r="I480" s="276" t="b">
        <v>1</v>
      </c>
      <c r="J480" s="276" t="n">
        <v>0.7</v>
      </c>
      <c r="K480" s="276" t="n">
        <v>0.2094165115356445</v>
      </c>
      <c r="L480" s="276" t="n">
        <v>0.2094165115356445</v>
      </c>
      <c r="M480" s="276" t="inlineStr">
        <is>
          <t>Windows; macOS; Linux</t>
        </is>
      </c>
      <c r="N480" s="276" t="inlineStr">
        <is>
          <t>https://attack.mitre.org/techniques/T1068/</t>
        </is>
      </c>
      <c r="O480" s="276" t="n"/>
      <c r="P480" s="277" t="n"/>
    </row>
    <row r="481">
      <c r="A481" s="275" t="inlineStr">
        <is>
          <t>Malicious insider</t>
        </is>
      </c>
      <c r="B481" s="276" t="inlineStr">
        <is>
          <t>Sensitive-data compromise</t>
        </is>
      </c>
      <c r="C481" s="276" t="inlineStr">
        <is>
          <t>Public-facing application exploitation</t>
        </is>
      </c>
      <c r="D481" s="276" t="inlineStr">
        <is>
          <t>T1003</t>
        </is>
      </c>
      <c r="E481" s="276" t="inlineStr">
        <is>
          <t>OS Credential Dumping</t>
        </is>
      </c>
      <c r="F481" s="276" t="inlineStr">
        <is>
          <t>S3</t>
        </is>
      </c>
      <c r="G481" s="276" t="b">
        <v>1</v>
      </c>
      <c r="H481" s="276" t="b">
        <v>1</v>
      </c>
      <c r="I481" s="276" t="b">
        <v>1</v>
      </c>
      <c r="J481" s="276" t="n">
        <v>0.6</v>
      </c>
      <c r="K481" s="276" t="n">
        <v>0.232294921875</v>
      </c>
      <c r="L481" s="276" t="n">
        <v>0.232294921875</v>
      </c>
      <c r="M481" s="276" t="inlineStr">
        <is>
          <t>Windows; Linux; macOS</t>
        </is>
      </c>
      <c r="N481" s="276" t="inlineStr">
        <is>
          <t>https://attack.mitre.org/techniques/T1003/</t>
        </is>
      </c>
      <c r="O481" s="276" t="n"/>
      <c r="P481" s="277" t="n"/>
    </row>
    <row r="482">
      <c r="A482" s="275" t="inlineStr">
        <is>
          <t>Malicious insider</t>
        </is>
      </c>
      <c r="B482" s="276" t="inlineStr">
        <is>
          <t>Sensitive-data compromise</t>
        </is>
      </c>
      <c r="C482" s="276" t="inlineStr">
        <is>
          <t>Public-facing application exploitation</t>
        </is>
      </c>
      <c r="D482" s="276" t="inlineStr">
        <is>
          <t>T1046</t>
        </is>
      </c>
      <c r="E482" s="276" t="inlineStr">
        <is>
          <t>Network Service Discovery</t>
        </is>
      </c>
      <c r="F482" s="276" t="inlineStr">
        <is>
          <t>S4</t>
        </is>
      </c>
      <c r="G482" s="276" t="b">
        <v>1</v>
      </c>
      <c r="H482" s="276" t="b">
        <v>1</v>
      </c>
      <c r="I482" s="276" t="b">
        <v>1</v>
      </c>
      <c r="J482" s="276" t="n">
        <v>0.7</v>
      </c>
      <c r="K482" s="276" t="n">
        <v>0.16875</v>
      </c>
      <c r="L482" s="276" t="n">
        <v>0.16875</v>
      </c>
      <c r="M482" s="276" t="inlineStr">
        <is>
          <t>Network Devices; Windows; Linux</t>
        </is>
      </c>
      <c r="N482" s="276" t="inlineStr">
        <is>
          <t>https://attack.mitre.org/techniques/T1046/</t>
        </is>
      </c>
      <c r="O482" s="276" t="n"/>
      <c r="P482" s="277" t="n"/>
    </row>
    <row r="483">
      <c r="A483" s="275" t="inlineStr">
        <is>
          <t>Malicious insider</t>
        </is>
      </c>
      <c r="B483" s="276" t="inlineStr">
        <is>
          <t>Sensitive-data compromise</t>
        </is>
      </c>
      <c r="C483" s="276" t="inlineStr">
        <is>
          <t>Public-facing application exploitation</t>
        </is>
      </c>
      <c r="D483" s="276" t="inlineStr">
        <is>
          <t>T1210</t>
        </is>
      </c>
      <c r="E483" s="276" t="inlineStr">
        <is>
          <t>Exploitation of Remote Services</t>
        </is>
      </c>
      <c r="F483" s="276" t="inlineStr">
        <is>
          <t>S4</t>
        </is>
      </c>
      <c r="G483" s="276" t="b">
        <v>1</v>
      </c>
      <c r="H483" s="276" t="b">
        <v>1</v>
      </c>
      <c r="I483" s="276" t="b">
        <v>1</v>
      </c>
      <c r="J483" s="276" t="n">
        <v>0.9</v>
      </c>
      <c r="K483" s="276" t="n">
        <v>0.2103495368957519</v>
      </c>
      <c r="L483" s="276" t="n">
        <v>0.2103495368957519</v>
      </c>
      <c r="M483" s="276" t="inlineStr">
        <is>
          <t>Windows; Linux; Network Devices</t>
        </is>
      </c>
      <c r="N483" s="276" t="inlineStr">
        <is>
          <t>https://attack.mitre.org/techniques/T1210/</t>
        </is>
      </c>
      <c r="O483" s="276" t="n"/>
      <c r="P483" s="277" t="n"/>
    </row>
    <row r="484">
      <c r="A484" s="275" t="inlineStr">
        <is>
          <t>Malicious insider</t>
        </is>
      </c>
      <c r="B484" s="276" t="inlineStr">
        <is>
          <t>Sensitive-data compromise</t>
        </is>
      </c>
      <c r="C484" s="276" t="inlineStr">
        <is>
          <t>Public-facing application exploitation</t>
        </is>
      </c>
      <c r="D484" s="276" t="inlineStr">
        <is>
          <t>T1021</t>
        </is>
      </c>
      <c r="E484" s="276" t="inlineStr">
        <is>
          <t>Remote Services</t>
        </is>
      </c>
      <c r="F484" s="276" t="inlineStr">
        <is>
          <t>S4</t>
        </is>
      </c>
      <c r="G484" s="276" t="b">
        <v>1</v>
      </c>
      <c r="H484" s="276" t="b">
        <v>1</v>
      </c>
      <c r="I484" s="276" t="b">
        <v>1</v>
      </c>
      <c r="J484" s="276" t="n">
        <v>0.7</v>
      </c>
      <c r="K484" s="276" t="n">
        <v>0.1875</v>
      </c>
      <c r="L484" s="276" t="n">
        <v>0.1875</v>
      </c>
      <c r="M484" s="276" t="inlineStr">
        <is>
          <t>Windows; Linux; Network Devices</t>
        </is>
      </c>
      <c r="N484" s="276" t="inlineStr">
        <is>
          <t>https://attack.mitre.org/techniques/T1021/</t>
        </is>
      </c>
      <c r="O484" s="276" t="n"/>
      <c r="P484" s="277" t="n"/>
    </row>
    <row r="485">
      <c r="A485" s="275" t="inlineStr">
        <is>
          <t>Malicious insider</t>
        </is>
      </c>
      <c r="B485" s="276" t="inlineStr">
        <is>
          <t>Sensitive-data compromise</t>
        </is>
      </c>
      <c r="C485" s="276" t="inlineStr">
        <is>
          <t>Public-facing application exploitation</t>
        </is>
      </c>
      <c r="D485" s="276" t="inlineStr">
        <is>
          <t>T1486</t>
        </is>
      </c>
      <c r="E485" s="276" t="inlineStr">
        <is>
          <t>Data Encrypted for Impact</t>
        </is>
      </c>
      <c r="F485" s="276" t="inlineStr">
        <is>
          <t>S5</t>
        </is>
      </c>
      <c r="G485" s="276" t="b">
        <v>1</v>
      </c>
      <c r="H485" s="276" t="b">
        <v>0</v>
      </c>
      <c r="I485" s="276" t="b">
        <v>0</v>
      </c>
      <c r="J485" s="276" t="n">
        <v>0.6</v>
      </c>
      <c r="K485" s="276" t="n">
        <v>0.16875</v>
      </c>
      <c r="L485" s="276" t="n">
        <v>0.16875</v>
      </c>
      <c r="M485" s="276" t="inlineStr">
        <is>
          <t>Windows; Linux; IaaS</t>
        </is>
      </c>
      <c r="N485" s="276" t="inlineStr">
        <is>
          <t>https://attack.mitre.org/techniques/T1486/</t>
        </is>
      </c>
      <c r="O485" s="276" t="n"/>
      <c r="P485" s="277" t="n"/>
    </row>
    <row r="486">
      <c r="A486" s="275" t="inlineStr">
        <is>
          <t>Malicious insider</t>
        </is>
      </c>
      <c r="B486" s="276" t="inlineStr">
        <is>
          <t>Sensitive-data compromise</t>
        </is>
      </c>
      <c r="C486" s="276" t="inlineStr">
        <is>
          <t>Public-facing application exploitation</t>
        </is>
      </c>
      <c r="D486" s="276" t="inlineStr">
        <is>
          <t>T1490</t>
        </is>
      </c>
      <c r="E486" s="276" t="inlineStr">
        <is>
          <t>Inhibit System Recovery</t>
        </is>
      </c>
      <c r="F486" s="276" t="inlineStr">
        <is>
          <t>S5</t>
        </is>
      </c>
      <c r="G486" s="276" t="b">
        <v>1</v>
      </c>
      <c r="H486" s="276" t="b">
        <v>0</v>
      </c>
      <c r="I486" s="276" t="b">
        <v>0</v>
      </c>
      <c r="J486" s="276" t="n">
        <v>0.5</v>
      </c>
      <c r="K486" s="276" t="n">
        <v>0</v>
      </c>
      <c r="L486" s="276" t="n">
        <v>0</v>
      </c>
      <c r="M486" s="276" t="inlineStr">
        <is>
          <t>Windows; Linux; IaaS</t>
        </is>
      </c>
      <c r="N486" s="276" t="inlineStr">
        <is>
          <t>https://attack.mitre.org/techniques/T1490/</t>
        </is>
      </c>
      <c r="O486" s="276" t="n"/>
      <c r="P486" s="277" t="n"/>
    </row>
    <row r="487">
      <c r="A487" s="275" t="inlineStr">
        <is>
          <t>Malicious insider</t>
        </is>
      </c>
      <c r="B487" s="276" t="inlineStr">
        <is>
          <t>Sensitive-data compromise</t>
        </is>
      </c>
      <c r="C487" s="276" t="inlineStr">
        <is>
          <t>Public-facing application exploitation</t>
        </is>
      </c>
      <c r="D487" s="276" t="inlineStr">
        <is>
          <t>T1567</t>
        </is>
      </c>
      <c r="E487" s="276" t="inlineStr">
        <is>
          <t>Exfiltration Over Web Service</t>
        </is>
      </c>
      <c r="F487" s="276" t="inlineStr">
        <is>
          <t>S5</t>
        </is>
      </c>
      <c r="G487" s="276" t="b">
        <v>1</v>
      </c>
      <c r="H487" s="276" t="b">
        <v>1</v>
      </c>
      <c r="I487" s="276" t="b">
        <v>1</v>
      </c>
      <c r="J487" s="276" t="n">
        <v>0.6</v>
      </c>
      <c r="K487" s="276" t="n">
        <v>0.20625</v>
      </c>
      <c r="L487" s="276" t="n">
        <v>0.20625</v>
      </c>
      <c r="M487" s="276" t="inlineStr">
        <is>
          <t>SaaS; Office Suite</t>
        </is>
      </c>
      <c r="N487" s="276" t="inlineStr">
        <is>
          <t>https://attack.mitre.org/techniques/T1567/</t>
        </is>
      </c>
      <c r="O487" s="276" t="n"/>
      <c r="P487" s="277" t="n"/>
    </row>
    <row r="488">
      <c r="A488" s="275" t="inlineStr">
        <is>
          <t>Malicious insider</t>
        </is>
      </c>
      <c r="B488" s="276" t="inlineStr">
        <is>
          <t>Sensitive-data compromise</t>
        </is>
      </c>
      <c r="C488" s="276" t="inlineStr">
        <is>
          <t>Public-facing application exploitation</t>
        </is>
      </c>
      <c r="D488" s="276" t="inlineStr">
        <is>
          <t>T1565</t>
        </is>
      </c>
      <c r="E488" s="276" t="inlineStr">
        <is>
          <t>Data Manipulation</t>
        </is>
      </c>
      <c r="F488" s="276" t="inlineStr">
        <is>
          <t>S5</t>
        </is>
      </c>
      <c r="G488" s="276" t="b">
        <v>1</v>
      </c>
      <c r="H488" s="276" t="b">
        <v>0</v>
      </c>
      <c r="I488" s="276" t="b">
        <v>0</v>
      </c>
      <c r="J488" s="276" t="n">
        <v>0.6</v>
      </c>
      <c r="K488" s="276" t="n">
        <v>0.2206064987182617</v>
      </c>
      <c r="L488" s="276" t="n">
        <v>0.2206064987182617</v>
      </c>
      <c r="M488" s="276" t="inlineStr">
        <is>
          <t>SaaS; Databases; Windows</t>
        </is>
      </c>
      <c r="N488" s="276" t="inlineStr">
        <is>
          <t>https://attack.mitre.org/techniques/T1565/</t>
        </is>
      </c>
      <c r="O488" s="276" t="n"/>
      <c r="P488" s="277" t="n"/>
    </row>
    <row r="489">
      <c r="A489" s="275" t="inlineStr">
        <is>
          <t>Malicious insider</t>
        </is>
      </c>
      <c r="B489" s="276" t="inlineStr">
        <is>
          <t>Sensitive-data compromise</t>
        </is>
      </c>
      <c r="C489" s="276" t="inlineStr">
        <is>
          <t>Public-facing application exploitation</t>
        </is>
      </c>
      <c r="D489" s="276" t="inlineStr">
        <is>
          <t>T1657</t>
        </is>
      </c>
      <c r="E489" s="276" t="inlineStr">
        <is>
          <t>Financial Theft</t>
        </is>
      </c>
      <c r="F489" s="276" t="inlineStr">
        <is>
          <t>S5</t>
        </is>
      </c>
      <c r="G489" s="276" t="b">
        <v>1</v>
      </c>
      <c r="H489" s="276" t="b">
        <v>0</v>
      </c>
      <c r="I489" s="276" t="b">
        <v>0</v>
      </c>
      <c r="J489" s="276" t="n">
        <v>0.4</v>
      </c>
      <c r="K489" s="276" t="n">
        <v>0.275654296875</v>
      </c>
      <c r="L489" s="276" t="n">
        <v>0.275654296875</v>
      </c>
      <c r="M489" s="276" t="inlineStr">
        <is>
          <t>SaaS; Office Suite; Identity Provider</t>
        </is>
      </c>
      <c r="N489" s="276" t="inlineStr">
        <is>
          <t>https://attack.mitre.org/techniques/T1657/</t>
        </is>
      </c>
      <c r="O489" s="276" t="n"/>
      <c r="P489" s="277" t="n"/>
    </row>
    <row r="490">
      <c r="A490" s="275" t="inlineStr">
        <is>
          <t>Malicious insider</t>
        </is>
      </c>
      <c r="B490" s="276" t="inlineStr">
        <is>
          <t>Sensitive-data compromise</t>
        </is>
      </c>
      <c r="C490" s="276" t="inlineStr">
        <is>
          <t>Third-party or software supply chain</t>
        </is>
      </c>
      <c r="D490" s="276" t="inlineStr">
        <is>
          <t>T1199</t>
        </is>
      </c>
      <c r="E490" s="276" t="inlineStr">
        <is>
          <t>Trusted Relationship</t>
        </is>
      </c>
      <c r="F490" s="276" t="inlineStr">
        <is>
          <t>S3</t>
        </is>
      </c>
      <c r="G490" s="276" t="b">
        <v>1</v>
      </c>
      <c r="H490" s="276" t="b">
        <v>1</v>
      </c>
      <c r="I490" s="276" t="b">
        <v>1</v>
      </c>
      <c r="J490" s="276" t="n">
        <v>1</v>
      </c>
      <c r="K490" s="276" t="n">
        <v>0.20625</v>
      </c>
      <c r="L490" s="276" t="n">
        <v>0.20625</v>
      </c>
      <c r="M490" s="276" t="inlineStr">
        <is>
          <t>SaaS; IaaS; Network Devices</t>
        </is>
      </c>
      <c r="N490" s="276" t="inlineStr">
        <is>
          <t>https://attack.mitre.org/techniques/T1199/</t>
        </is>
      </c>
      <c r="O490" s="276" t="n"/>
      <c r="P490" s="277" t="n"/>
    </row>
    <row r="491">
      <c r="A491" s="275" t="inlineStr">
        <is>
          <t>Malicious insider</t>
        </is>
      </c>
      <c r="B491" s="276" t="inlineStr">
        <is>
          <t>Sensitive-data compromise</t>
        </is>
      </c>
      <c r="C491" s="276" t="inlineStr">
        <is>
          <t>Third-party or software supply chain</t>
        </is>
      </c>
      <c r="D491" s="276" t="inlineStr">
        <is>
          <t>T1098</t>
        </is>
      </c>
      <c r="E491" s="276" t="inlineStr">
        <is>
          <t>Account Manipulation</t>
        </is>
      </c>
      <c r="F491" s="276" t="inlineStr">
        <is>
          <t>S3</t>
        </is>
      </c>
      <c r="G491" s="276" t="b">
        <v>1</v>
      </c>
      <c r="H491" s="276" t="b">
        <v>1</v>
      </c>
      <c r="I491" s="276" t="b">
        <v>1</v>
      </c>
      <c r="J491" s="276" t="n">
        <v>0.6</v>
      </c>
      <c r="K491" s="276" t="n">
        <v>0.2477547340393066</v>
      </c>
      <c r="L491" s="276" t="n">
        <v>0.2477547340393066</v>
      </c>
      <c r="M491" s="276" t="inlineStr">
        <is>
          <t>Identity Provider; SaaS; Windows</t>
        </is>
      </c>
      <c r="N491" s="276" t="inlineStr">
        <is>
          <t>https://attack.mitre.org/techniques/T1098/</t>
        </is>
      </c>
      <c r="O491" s="276" t="n"/>
      <c r="P491" s="277" t="n"/>
    </row>
    <row r="492">
      <c r="A492" s="275" t="inlineStr">
        <is>
          <t>Malicious insider</t>
        </is>
      </c>
      <c r="B492" s="276" t="inlineStr">
        <is>
          <t>Sensitive-data compromise</t>
        </is>
      </c>
      <c r="C492" s="276" t="inlineStr">
        <is>
          <t>Third-party or software supply chain</t>
        </is>
      </c>
      <c r="D492" s="276" t="inlineStr">
        <is>
          <t>T1087</t>
        </is>
      </c>
      <c r="E492" s="276" t="inlineStr">
        <is>
          <t>Account Discovery</t>
        </is>
      </c>
      <c r="F492" s="276" t="inlineStr">
        <is>
          <t>S4</t>
        </is>
      </c>
      <c r="G492" s="276" t="b">
        <v>1</v>
      </c>
      <c r="H492" s="276" t="b">
        <v>1</v>
      </c>
      <c r="I492" s="276" t="b">
        <v>1</v>
      </c>
      <c r="J492" s="276" t="n">
        <v>0.5</v>
      </c>
      <c r="K492" s="276" t="n">
        <v>0</v>
      </c>
      <c r="L492" s="276" t="n">
        <v>0</v>
      </c>
      <c r="M492" s="276" t="inlineStr">
        <is>
          <t>Identity Provider; SaaS; Windows</t>
        </is>
      </c>
      <c r="N492" s="276" t="inlineStr">
        <is>
          <t>https://attack.mitre.org/techniques/T1087/</t>
        </is>
      </c>
      <c r="O492" s="276" t="n"/>
      <c r="P492" s="277" t="n"/>
    </row>
    <row r="493">
      <c r="A493" s="275" t="inlineStr">
        <is>
          <t>Malicious insider</t>
        </is>
      </c>
      <c r="B493" s="276" t="inlineStr">
        <is>
          <t>Sensitive-data compromise</t>
        </is>
      </c>
      <c r="C493" s="276" t="inlineStr">
        <is>
          <t>Third-party or software supply chain</t>
        </is>
      </c>
      <c r="D493" s="276" t="inlineStr">
        <is>
          <t>T1213</t>
        </is>
      </c>
      <c r="E493" s="276" t="inlineStr">
        <is>
          <t>Data from Information Repositories</t>
        </is>
      </c>
      <c r="F493" s="276" t="inlineStr">
        <is>
          <t>S4</t>
        </is>
      </c>
      <c r="G493" s="276" t="b">
        <v>1</v>
      </c>
      <c r="H493" s="276" t="b">
        <v>1</v>
      </c>
      <c r="I493" s="276" t="b">
        <v>1</v>
      </c>
      <c r="J493" s="276" t="n">
        <v>0.7</v>
      </c>
      <c r="K493" s="276" t="n">
        <v>0.177890625</v>
      </c>
      <c r="L493" s="276" t="n">
        <v>0.177890625</v>
      </c>
      <c r="M493" s="276" t="inlineStr">
        <is>
          <t>SaaS; Office Suite; Windows</t>
        </is>
      </c>
      <c r="N493" s="276" t="inlineStr">
        <is>
          <t>https://attack.mitre.org/techniques/T1213/</t>
        </is>
      </c>
      <c r="O493" s="276" t="n"/>
      <c r="P493" s="277" t="n"/>
    </row>
    <row r="494">
      <c r="A494" s="275" t="inlineStr">
        <is>
          <t>Malicious insider</t>
        </is>
      </c>
      <c r="B494" s="276" t="inlineStr">
        <is>
          <t>Sensitive-data compromise</t>
        </is>
      </c>
      <c r="C494" s="276" t="inlineStr">
        <is>
          <t>Third-party or software supply chain</t>
        </is>
      </c>
      <c r="D494" s="276" t="inlineStr">
        <is>
          <t>T1567</t>
        </is>
      </c>
      <c r="E494" s="276" t="inlineStr">
        <is>
          <t>Exfiltration Over Web Service</t>
        </is>
      </c>
      <c r="F494" s="276" t="inlineStr">
        <is>
          <t>S5</t>
        </is>
      </c>
      <c r="G494" s="276" t="b">
        <v>1</v>
      </c>
      <c r="H494" s="276" t="b">
        <v>1</v>
      </c>
      <c r="I494" s="276" t="b">
        <v>1</v>
      </c>
      <c r="J494" s="276" t="n">
        <v>0.6</v>
      </c>
      <c r="K494" s="276" t="n">
        <v>0.20625</v>
      </c>
      <c r="L494" s="276" t="n">
        <v>0.20625</v>
      </c>
      <c r="M494" s="276" t="inlineStr">
        <is>
          <t>SaaS; Office Suite</t>
        </is>
      </c>
      <c r="N494" s="276" t="inlineStr">
        <is>
          <t>https://attack.mitre.org/techniques/T1567/</t>
        </is>
      </c>
      <c r="O494" s="276" t="n"/>
      <c r="P494" s="277" t="n"/>
    </row>
    <row r="495">
      <c r="A495" s="275" t="inlineStr">
        <is>
          <t>Malicious insider</t>
        </is>
      </c>
      <c r="B495" s="276" t="inlineStr">
        <is>
          <t>Sensitive-data compromise</t>
        </is>
      </c>
      <c r="C495" s="276" t="inlineStr">
        <is>
          <t>Third-party or software supply chain</t>
        </is>
      </c>
      <c r="D495" s="276" t="inlineStr">
        <is>
          <t>T1486</t>
        </is>
      </c>
      <c r="E495" s="276" t="inlineStr">
        <is>
          <t>Data Encrypted for Impact</t>
        </is>
      </c>
      <c r="F495" s="276" t="inlineStr">
        <is>
          <t>S5</t>
        </is>
      </c>
      <c r="G495" s="276" t="b">
        <v>1</v>
      </c>
      <c r="H495" s="276" t="b">
        <v>0</v>
      </c>
      <c r="I495" s="276" t="b">
        <v>0</v>
      </c>
      <c r="J495" s="276" t="n">
        <v>0.5</v>
      </c>
      <c r="K495" s="276" t="n">
        <v>0.16875</v>
      </c>
      <c r="L495" s="276" t="n">
        <v>0.16875</v>
      </c>
      <c r="M495" s="276" t="inlineStr">
        <is>
          <t>Windows; Linux; IaaS</t>
        </is>
      </c>
      <c r="N495" s="276" t="inlineStr">
        <is>
          <t>https://attack.mitre.org/techniques/T1486/</t>
        </is>
      </c>
      <c r="O495" s="276" t="n"/>
      <c r="P495" s="277" t="n"/>
    </row>
    <row r="496">
      <c r="A496" s="275" t="inlineStr">
        <is>
          <t>Malicious insider</t>
        </is>
      </c>
      <c r="B496" s="276" t="inlineStr">
        <is>
          <t>Sensitive-data compromise</t>
        </is>
      </c>
      <c r="C496" s="276" t="inlineStr">
        <is>
          <t>Third-party or software supply chain</t>
        </is>
      </c>
      <c r="D496" s="276" t="inlineStr">
        <is>
          <t>T1565</t>
        </is>
      </c>
      <c r="E496" s="276" t="inlineStr">
        <is>
          <t>Data Manipulation</t>
        </is>
      </c>
      <c r="F496" s="276" t="inlineStr">
        <is>
          <t>S5</t>
        </is>
      </c>
      <c r="G496" s="276" t="b">
        <v>1</v>
      </c>
      <c r="H496" s="276" t="b">
        <v>0</v>
      </c>
      <c r="I496" s="276" t="b">
        <v>0</v>
      </c>
      <c r="J496" s="276" t="n">
        <v>0.6</v>
      </c>
      <c r="K496" s="276" t="n">
        <v>0.2206064987182617</v>
      </c>
      <c r="L496" s="276" t="n">
        <v>0.2206064987182617</v>
      </c>
      <c r="M496" s="276" t="inlineStr">
        <is>
          <t>SaaS; Databases; Windows</t>
        </is>
      </c>
      <c r="N496" s="276" t="inlineStr">
        <is>
          <t>https://attack.mitre.org/techniques/T1565/</t>
        </is>
      </c>
      <c r="O496" s="276" t="n"/>
      <c r="P496" s="277" t="n"/>
    </row>
    <row r="497">
      <c r="A497" s="275" t="inlineStr">
        <is>
          <t>Malicious insider</t>
        </is>
      </c>
      <c r="B497" s="276" t="inlineStr">
        <is>
          <t>Sensitive-data compromise</t>
        </is>
      </c>
      <c r="C497" s="276" t="inlineStr">
        <is>
          <t>Third-party or software supply chain</t>
        </is>
      </c>
      <c r="D497" s="276" t="inlineStr">
        <is>
          <t>T1657</t>
        </is>
      </c>
      <c r="E497" s="276" t="inlineStr">
        <is>
          <t>Financial Theft</t>
        </is>
      </c>
      <c r="F497" s="276" t="inlineStr">
        <is>
          <t>S5</t>
        </is>
      </c>
      <c r="G497" s="276" t="b">
        <v>1</v>
      </c>
      <c r="H497" s="276" t="b">
        <v>0</v>
      </c>
      <c r="I497" s="276" t="b">
        <v>0</v>
      </c>
      <c r="J497" s="276" t="n">
        <v>0.5</v>
      </c>
      <c r="K497" s="276" t="n">
        <v>0.275654296875</v>
      </c>
      <c r="L497" s="276" t="n">
        <v>0.275654296875</v>
      </c>
      <c r="M497" s="276" t="inlineStr">
        <is>
          <t>SaaS; Office Suite; Identity Provider</t>
        </is>
      </c>
      <c r="N497" s="276" t="inlineStr">
        <is>
          <t>https://attack.mitre.org/techniques/T1657/</t>
        </is>
      </c>
      <c r="O497" s="276" t="n"/>
      <c r="P497" s="277" t="n"/>
    </row>
    <row r="498">
      <c r="A498" s="275" t="inlineStr">
        <is>
          <t>Malicious insider</t>
        </is>
      </c>
      <c r="B498" s="276" t="inlineStr">
        <is>
          <t>Sensitive-data compromise</t>
        </is>
      </c>
      <c r="C498" s="276" t="inlineStr">
        <is>
          <t>Insider or trusted access</t>
        </is>
      </c>
      <c r="D498" s="276" t="inlineStr">
        <is>
          <t>T1098</t>
        </is>
      </c>
      <c r="E498" s="276" t="inlineStr">
        <is>
          <t>Account Manipulation</t>
        </is>
      </c>
      <c r="F498" s="276" t="inlineStr">
        <is>
          <t>S3</t>
        </is>
      </c>
      <c r="G498" s="276" t="b">
        <v>1</v>
      </c>
      <c r="H498" s="276" t="b">
        <v>1</v>
      </c>
      <c r="I498" s="276" t="b">
        <v>1</v>
      </c>
      <c r="J498" s="276" t="n">
        <v>0.8</v>
      </c>
      <c r="K498" s="276" t="n">
        <v>0.2477547340393066</v>
      </c>
      <c r="L498" s="276" t="n">
        <v>0.2477547340393066</v>
      </c>
      <c r="M498" s="276" t="inlineStr">
        <is>
          <t>Identity Provider; SaaS; Windows</t>
        </is>
      </c>
      <c r="N498" s="276" t="inlineStr">
        <is>
          <t>https://attack.mitre.org/techniques/T1098/</t>
        </is>
      </c>
      <c r="O498" s="276" t="n"/>
      <c r="P498" s="277" t="n"/>
    </row>
    <row r="499">
      <c r="A499" s="275" t="inlineStr">
        <is>
          <t>Malicious insider</t>
        </is>
      </c>
      <c r="B499" s="276" t="inlineStr">
        <is>
          <t>Sensitive-data compromise</t>
        </is>
      </c>
      <c r="C499" s="276" t="inlineStr">
        <is>
          <t>Insider or trusted access</t>
        </is>
      </c>
      <c r="D499" s="276" t="inlineStr">
        <is>
          <t>T1087</t>
        </is>
      </c>
      <c r="E499" s="276" t="inlineStr">
        <is>
          <t>Account Discovery</t>
        </is>
      </c>
      <c r="F499" s="276" t="inlineStr">
        <is>
          <t>S4</t>
        </is>
      </c>
      <c r="G499" s="276" t="b">
        <v>1</v>
      </c>
      <c r="H499" s="276" t="b">
        <v>1</v>
      </c>
      <c r="I499" s="276" t="b">
        <v>1</v>
      </c>
      <c r="J499" s="276" t="n">
        <v>0.6</v>
      </c>
      <c r="K499" s="276" t="n">
        <v>0</v>
      </c>
      <c r="L499" s="276" t="n">
        <v>0</v>
      </c>
      <c r="M499" s="276" t="inlineStr">
        <is>
          <t>Identity Provider; SaaS; Windows</t>
        </is>
      </c>
      <c r="N499" s="276" t="inlineStr">
        <is>
          <t>https://attack.mitre.org/techniques/T1087/</t>
        </is>
      </c>
      <c r="O499" s="276" t="n"/>
      <c r="P499" s="277" t="n"/>
    </row>
    <row r="500">
      <c r="A500" s="275" t="inlineStr">
        <is>
          <t>Malicious insider</t>
        </is>
      </c>
      <c r="B500" s="276" t="inlineStr">
        <is>
          <t>Sensitive-data compromise</t>
        </is>
      </c>
      <c r="C500" s="276" t="inlineStr">
        <is>
          <t>Insider or trusted access</t>
        </is>
      </c>
      <c r="D500" s="276" t="inlineStr">
        <is>
          <t>T1213</t>
        </is>
      </c>
      <c r="E500" s="276" t="inlineStr">
        <is>
          <t>Data from Information Repositories</t>
        </is>
      </c>
      <c r="F500" s="276" t="inlineStr">
        <is>
          <t>S4</t>
        </is>
      </c>
      <c r="G500" s="276" t="b">
        <v>1</v>
      </c>
      <c r="H500" s="276" t="b">
        <v>1</v>
      </c>
      <c r="I500" s="276" t="b">
        <v>1</v>
      </c>
      <c r="J500" s="276" t="n">
        <v>0.9</v>
      </c>
      <c r="K500" s="276" t="n">
        <v>0.177890625</v>
      </c>
      <c r="L500" s="276" t="n">
        <v>0.177890625</v>
      </c>
      <c r="M500" s="276" t="inlineStr">
        <is>
          <t>SaaS; Office Suite; Windows</t>
        </is>
      </c>
      <c r="N500" s="276" t="inlineStr">
        <is>
          <t>https://attack.mitre.org/techniques/T1213/</t>
        </is>
      </c>
      <c r="O500" s="276" t="n"/>
      <c r="P500" s="277" t="n"/>
    </row>
    <row r="501">
      <c r="A501" s="275" t="inlineStr">
        <is>
          <t>Malicious insider</t>
        </is>
      </c>
      <c r="B501" s="276" t="inlineStr">
        <is>
          <t>Sensitive-data compromise</t>
        </is>
      </c>
      <c r="C501" s="276" t="inlineStr">
        <is>
          <t>Insider or trusted access</t>
        </is>
      </c>
      <c r="D501" s="276" t="inlineStr">
        <is>
          <t>T1567</t>
        </is>
      </c>
      <c r="E501" s="276" t="inlineStr">
        <is>
          <t>Exfiltration Over Web Service</t>
        </is>
      </c>
      <c r="F501" s="276" t="inlineStr">
        <is>
          <t>S5</t>
        </is>
      </c>
      <c r="G501" s="276" t="b">
        <v>1</v>
      </c>
      <c r="H501" s="276" t="b">
        <v>1</v>
      </c>
      <c r="I501" s="276" t="b">
        <v>1</v>
      </c>
      <c r="J501" s="276" t="n">
        <v>0.8</v>
      </c>
      <c r="K501" s="276" t="n">
        <v>0.20625</v>
      </c>
      <c r="L501" s="276" t="n">
        <v>0.20625</v>
      </c>
      <c r="M501" s="276" t="inlineStr">
        <is>
          <t>SaaS; Office Suite</t>
        </is>
      </c>
      <c r="N501" s="276" t="inlineStr">
        <is>
          <t>https://attack.mitre.org/techniques/T1567/</t>
        </is>
      </c>
      <c r="O501" s="276" t="n"/>
      <c r="P501" s="277" t="n"/>
    </row>
    <row r="502">
      <c r="A502" s="275" t="inlineStr">
        <is>
          <t>Malicious insider</t>
        </is>
      </c>
      <c r="B502" s="276" t="inlineStr">
        <is>
          <t>Sensitive-data compromise</t>
        </is>
      </c>
      <c r="C502" s="276" t="inlineStr">
        <is>
          <t>Insider or trusted access</t>
        </is>
      </c>
      <c r="D502" s="276" t="inlineStr">
        <is>
          <t>T1565</t>
        </is>
      </c>
      <c r="E502" s="276" t="inlineStr">
        <is>
          <t>Data Manipulation</t>
        </is>
      </c>
      <c r="F502" s="276" t="inlineStr">
        <is>
          <t>S5</t>
        </is>
      </c>
      <c r="G502" s="276" t="b">
        <v>1</v>
      </c>
      <c r="H502" s="276" t="b">
        <v>0</v>
      </c>
      <c r="I502" s="276" t="b">
        <v>0</v>
      </c>
      <c r="J502" s="276" t="n">
        <v>0.9</v>
      </c>
      <c r="K502" s="276" t="n">
        <v>0.2206064987182617</v>
      </c>
      <c r="L502" s="276" t="n">
        <v>0.2206064987182617</v>
      </c>
      <c r="M502" s="276" t="inlineStr">
        <is>
          <t>SaaS; Databases; Windows</t>
        </is>
      </c>
      <c r="N502" s="276" t="inlineStr">
        <is>
          <t>https://attack.mitre.org/techniques/T1565/</t>
        </is>
      </c>
      <c r="O502" s="276" t="n"/>
      <c r="P502" s="277" t="n"/>
    </row>
    <row r="503">
      <c r="A503" s="275" t="inlineStr">
        <is>
          <t>Malicious insider</t>
        </is>
      </c>
      <c r="B503" s="276" t="inlineStr">
        <is>
          <t>Sensitive-data compromise</t>
        </is>
      </c>
      <c r="C503" s="276" t="inlineStr">
        <is>
          <t>Insider or trusted access</t>
        </is>
      </c>
      <c r="D503" s="276" t="inlineStr">
        <is>
          <t>T1657</t>
        </is>
      </c>
      <c r="E503" s="276" t="inlineStr">
        <is>
          <t>Financial Theft</t>
        </is>
      </c>
      <c r="F503" s="276" t="inlineStr">
        <is>
          <t>S5</t>
        </is>
      </c>
      <c r="G503" s="276" t="b">
        <v>1</v>
      </c>
      <c r="H503" s="276" t="b">
        <v>0</v>
      </c>
      <c r="I503" s="276" t="b">
        <v>0</v>
      </c>
      <c r="J503" s="276" t="n">
        <v>0.9</v>
      </c>
      <c r="K503" s="276" t="n">
        <v>0.275654296875</v>
      </c>
      <c r="L503" s="276" t="n">
        <v>0.275654296875</v>
      </c>
      <c r="M503" s="276" t="inlineStr">
        <is>
          <t>SaaS; Office Suite; Identity Provider</t>
        </is>
      </c>
      <c r="N503" s="276" t="inlineStr">
        <is>
          <t>https://attack.mitre.org/techniques/T1657/</t>
        </is>
      </c>
      <c r="O503" s="276" t="n"/>
      <c r="P503" s="277" t="n"/>
    </row>
    <row r="504">
      <c r="A504" s="275" t="inlineStr">
        <is>
          <t>Malicious insider</t>
        </is>
      </c>
      <c r="B504" s="276" t="inlineStr">
        <is>
          <t>Data or transaction-integrity compromise</t>
        </is>
      </c>
      <c r="C504" s="276" t="inlineStr">
        <is>
          <t>Identity and credential compromise</t>
        </is>
      </c>
      <c r="D504" s="276" t="inlineStr">
        <is>
          <t>T1566</t>
        </is>
      </c>
      <c r="E504" s="276" t="inlineStr">
        <is>
          <t>Phishing</t>
        </is>
      </c>
      <c r="F504" s="276" t="inlineStr">
        <is>
          <t>S1</t>
        </is>
      </c>
      <c r="G504" s="276" t="b">
        <v>1</v>
      </c>
      <c r="H504" s="276" t="b">
        <v>1</v>
      </c>
      <c r="I504" s="276" t="b">
        <v>1</v>
      </c>
      <c r="J504" s="276" t="n">
        <v>1</v>
      </c>
      <c r="K504" s="276" t="n">
        <v>0.20625</v>
      </c>
      <c r="L504" s="276" t="n">
        <v>0.20625</v>
      </c>
      <c r="M504" s="276" t="inlineStr">
        <is>
          <t>Windows; SaaS; Office Suite</t>
        </is>
      </c>
      <c r="N504" s="276" t="inlineStr">
        <is>
          <t>https://attack.mitre.org/techniques/T1566/</t>
        </is>
      </c>
      <c r="O504" s="276" t="n"/>
      <c r="P504" s="277" t="n"/>
    </row>
    <row r="505">
      <c r="A505" s="275" t="inlineStr">
        <is>
          <t>Malicious insider</t>
        </is>
      </c>
      <c r="B505" s="276" t="inlineStr">
        <is>
          <t>Data or transaction-integrity compromise</t>
        </is>
      </c>
      <c r="C505" s="276" t="inlineStr">
        <is>
          <t>Identity and credential compromise</t>
        </is>
      </c>
      <c r="D505" s="276" t="inlineStr">
        <is>
          <t>T1078</t>
        </is>
      </c>
      <c r="E505" s="276" t="inlineStr">
        <is>
          <t>Valid Accounts</t>
        </is>
      </c>
      <c r="F505" s="276" t="inlineStr">
        <is>
          <t>S1</t>
        </is>
      </c>
      <c r="G505" s="276" t="b">
        <v>1</v>
      </c>
      <c r="H505" s="276" t="b">
        <v>1</v>
      </c>
      <c r="I505" s="276" t="b">
        <v>1</v>
      </c>
      <c r="J505" s="276" t="n">
        <v>1</v>
      </c>
      <c r="K505" s="276" t="n">
        <v>0.272109375</v>
      </c>
      <c r="L505" s="276" t="n">
        <v>0.272109375</v>
      </c>
      <c r="M505" s="276" t="inlineStr">
        <is>
          <t>Identity Provider; SaaS; IaaS; Windows</t>
        </is>
      </c>
      <c r="N505" s="276" t="inlineStr">
        <is>
          <t>https://attack.mitre.org/techniques/T1078/</t>
        </is>
      </c>
      <c r="O505" s="276" t="n"/>
      <c r="P505" s="277" t="n"/>
    </row>
    <row r="506">
      <c r="A506" s="275" t="inlineStr">
        <is>
          <t>Malicious insider</t>
        </is>
      </c>
      <c r="B506" s="276" t="inlineStr">
        <is>
          <t>Data or transaction-integrity compromise</t>
        </is>
      </c>
      <c r="C506" s="276" t="inlineStr">
        <is>
          <t>Identity and credential compromise</t>
        </is>
      </c>
      <c r="D506" s="276" t="inlineStr">
        <is>
          <t>T1110</t>
        </is>
      </c>
      <c r="E506" s="276" t="inlineStr">
        <is>
          <t>Brute Force</t>
        </is>
      </c>
      <c r="F506" s="276" t="inlineStr">
        <is>
          <t>S1</t>
        </is>
      </c>
      <c r="G506" s="276" t="b">
        <v>0</v>
      </c>
      <c r="H506" s="276" t="b">
        <v>1</v>
      </c>
      <c r="I506" s="276" t="b">
        <v>0</v>
      </c>
      <c r="J506" s="276" t="n">
        <v>0.7</v>
      </c>
      <c r="K506" s="276" t="n">
        <v>0.24375</v>
      </c>
      <c r="L506" s="276" t="n">
        <v>0.24375</v>
      </c>
      <c r="M506" s="276" t="inlineStr">
        <is>
          <t>Identity Provider; SaaS; Windows</t>
        </is>
      </c>
      <c r="N506" s="276" t="inlineStr">
        <is>
          <t>https://attack.mitre.org/techniques/T1110/</t>
        </is>
      </c>
      <c r="O506" s="276" t="n"/>
      <c r="P506" s="277" t="n"/>
    </row>
    <row r="507">
      <c r="A507" s="275" t="inlineStr">
        <is>
          <t>Malicious insider</t>
        </is>
      </c>
      <c r="B507" s="276" t="inlineStr">
        <is>
          <t>Data or transaction-integrity compromise</t>
        </is>
      </c>
      <c r="C507" s="276" t="inlineStr">
        <is>
          <t>Identity and credential compromise</t>
        </is>
      </c>
      <c r="D507" s="276" t="inlineStr">
        <is>
          <t>T1098</t>
        </is>
      </c>
      <c r="E507" s="276" t="inlineStr">
        <is>
          <t>Account Manipulation</t>
        </is>
      </c>
      <c r="F507" s="276" t="inlineStr">
        <is>
          <t>S3</t>
        </is>
      </c>
      <c r="G507" s="276" t="b">
        <v>1</v>
      </c>
      <c r="H507" s="276" t="b">
        <v>1</v>
      </c>
      <c r="I507" s="276" t="b">
        <v>1</v>
      </c>
      <c r="J507" s="276" t="n">
        <v>0.7</v>
      </c>
      <c r="K507" s="276" t="n">
        <v>0.2477547340393066</v>
      </c>
      <c r="L507" s="276" t="n">
        <v>0.2477547340393066</v>
      </c>
      <c r="M507" s="276" t="inlineStr">
        <is>
          <t>Identity Provider; SaaS; Windows</t>
        </is>
      </c>
      <c r="N507" s="276" t="inlineStr">
        <is>
          <t>https://attack.mitre.org/techniques/T1098/</t>
        </is>
      </c>
      <c r="O507" s="276" t="n"/>
      <c r="P507" s="277" t="n"/>
    </row>
    <row r="508">
      <c r="A508" s="275" t="inlineStr">
        <is>
          <t>Malicious insider</t>
        </is>
      </c>
      <c r="B508" s="276" t="inlineStr">
        <is>
          <t>Data or transaction-integrity compromise</t>
        </is>
      </c>
      <c r="C508" s="276" t="inlineStr">
        <is>
          <t>Identity and credential compromise</t>
        </is>
      </c>
      <c r="D508" s="276" t="inlineStr">
        <is>
          <t>T1087</t>
        </is>
      </c>
      <c r="E508" s="276" t="inlineStr">
        <is>
          <t>Account Discovery</t>
        </is>
      </c>
      <c r="F508" s="276" t="inlineStr">
        <is>
          <t>S4</t>
        </is>
      </c>
      <c r="G508" s="276" t="b">
        <v>1</v>
      </c>
      <c r="H508" s="276" t="b">
        <v>1</v>
      </c>
      <c r="I508" s="276" t="b">
        <v>1</v>
      </c>
      <c r="J508" s="276" t="n">
        <v>0.6</v>
      </c>
      <c r="K508" s="276" t="n">
        <v>0</v>
      </c>
      <c r="L508" s="276" t="n">
        <v>0</v>
      </c>
      <c r="M508" s="276" t="inlineStr">
        <is>
          <t>Identity Provider; SaaS; Windows</t>
        </is>
      </c>
      <c r="N508" s="276" t="inlineStr">
        <is>
          <t>https://attack.mitre.org/techniques/T1087/</t>
        </is>
      </c>
      <c r="O508" s="276" t="n"/>
      <c r="P508" s="277" t="n"/>
    </row>
    <row r="509">
      <c r="A509" s="275" t="inlineStr">
        <is>
          <t>Malicious insider</t>
        </is>
      </c>
      <c r="B509" s="276" t="inlineStr">
        <is>
          <t>Data or transaction-integrity compromise</t>
        </is>
      </c>
      <c r="C509" s="276" t="inlineStr">
        <is>
          <t>Identity and credential compromise</t>
        </is>
      </c>
      <c r="D509" s="276" t="inlineStr">
        <is>
          <t>T1213</t>
        </is>
      </c>
      <c r="E509" s="276" t="inlineStr">
        <is>
          <t>Data from Information Repositories</t>
        </is>
      </c>
      <c r="F509" s="276" t="inlineStr">
        <is>
          <t>S4</t>
        </is>
      </c>
      <c r="G509" s="276" t="b">
        <v>1</v>
      </c>
      <c r="H509" s="276" t="b">
        <v>1</v>
      </c>
      <c r="I509" s="276" t="b">
        <v>1</v>
      </c>
      <c r="J509" s="276" t="n">
        <v>0.8</v>
      </c>
      <c r="K509" s="276" t="n">
        <v>0.177890625</v>
      </c>
      <c r="L509" s="276" t="n">
        <v>0.177890625</v>
      </c>
      <c r="M509" s="276" t="inlineStr">
        <is>
          <t>SaaS; Office Suite; Windows</t>
        </is>
      </c>
      <c r="N509" s="276" t="inlineStr">
        <is>
          <t>https://attack.mitre.org/techniques/T1213/</t>
        </is>
      </c>
      <c r="O509" s="276" t="n"/>
      <c r="P509" s="277" t="n"/>
    </row>
    <row r="510">
      <c r="A510" s="275" t="inlineStr">
        <is>
          <t>Malicious insider</t>
        </is>
      </c>
      <c r="B510" s="276" t="inlineStr">
        <is>
          <t>Data or transaction-integrity compromise</t>
        </is>
      </c>
      <c r="C510" s="276" t="inlineStr">
        <is>
          <t>Identity and credential compromise</t>
        </is>
      </c>
      <c r="D510" s="276" t="inlineStr">
        <is>
          <t>T1567</t>
        </is>
      </c>
      <c r="E510" s="276" t="inlineStr">
        <is>
          <t>Exfiltration Over Web Service</t>
        </is>
      </c>
      <c r="F510" s="276" t="inlineStr">
        <is>
          <t>S5</t>
        </is>
      </c>
      <c r="G510" s="276" t="b">
        <v>1</v>
      </c>
      <c r="H510" s="276" t="b">
        <v>0</v>
      </c>
      <c r="I510" s="276" t="b">
        <v>0</v>
      </c>
      <c r="J510" s="276" t="n">
        <v>0.7</v>
      </c>
      <c r="K510" s="276" t="n">
        <v>0.20625</v>
      </c>
      <c r="L510" s="276" t="n">
        <v>0.20625</v>
      </c>
      <c r="M510" s="276" t="inlineStr">
        <is>
          <t>SaaS; Office Suite</t>
        </is>
      </c>
      <c r="N510" s="276" t="inlineStr">
        <is>
          <t>https://attack.mitre.org/techniques/T1567/</t>
        </is>
      </c>
      <c r="O510" s="276" t="n"/>
      <c r="P510" s="277" t="n"/>
    </row>
    <row r="511">
      <c r="A511" s="275" t="inlineStr">
        <is>
          <t>Malicious insider</t>
        </is>
      </c>
      <c r="B511" s="276" t="inlineStr">
        <is>
          <t>Data or transaction-integrity compromise</t>
        </is>
      </c>
      <c r="C511" s="276" t="inlineStr">
        <is>
          <t>Identity and credential compromise</t>
        </is>
      </c>
      <c r="D511" s="276" t="inlineStr">
        <is>
          <t>T1657</t>
        </is>
      </c>
      <c r="E511" s="276" t="inlineStr">
        <is>
          <t>Financial Theft</t>
        </is>
      </c>
      <c r="F511" s="276" t="inlineStr">
        <is>
          <t>S5</t>
        </is>
      </c>
      <c r="G511" s="276" t="b">
        <v>1</v>
      </c>
      <c r="H511" s="276" t="b">
        <v>0</v>
      </c>
      <c r="I511" s="276" t="b">
        <v>0</v>
      </c>
      <c r="J511" s="276" t="n">
        <v>0.8</v>
      </c>
      <c r="K511" s="276" t="n">
        <v>0.275654296875</v>
      </c>
      <c r="L511" s="276" t="n">
        <v>0.275654296875</v>
      </c>
      <c r="M511" s="276" t="inlineStr">
        <is>
          <t>SaaS; Office Suite; Identity Provider</t>
        </is>
      </c>
      <c r="N511" s="276" t="inlineStr">
        <is>
          <t>https://attack.mitre.org/techniques/T1657/</t>
        </is>
      </c>
      <c r="O511" s="276" t="n"/>
      <c r="P511" s="277" t="n"/>
    </row>
    <row r="512">
      <c r="A512" s="275" t="inlineStr">
        <is>
          <t>Malicious insider</t>
        </is>
      </c>
      <c r="B512" s="276" t="inlineStr">
        <is>
          <t>Data or transaction-integrity compromise</t>
        </is>
      </c>
      <c r="C512" s="276" t="inlineStr">
        <is>
          <t>Identity and credential compromise</t>
        </is>
      </c>
      <c r="D512" s="276" t="inlineStr">
        <is>
          <t>T1565</t>
        </is>
      </c>
      <c r="E512" s="276" t="inlineStr">
        <is>
          <t>Data Manipulation</t>
        </is>
      </c>
      <c r="F512" s="276" t="inlineStr">
        <is>
          <t>S5</t>
        </is>
      </c>
      <c r="G512" s="276" t="b">
        <v>1</v>
      </c>
      <c r="H512" s="276" t="b">
        <v>1</v>
      </c>
      <c r="I512" s="276" t="b">
        <v>1</v>
      </c>
      <c r="J512" s="276" t="n">
        <v>0.5</v>
      </c>
      <c r="K512" s="276" t="n">
        <v>0.2206064987182617</v>
      </c>
      <c r="L512" s="276" t="n">
        <v>0.2206064987182617</v>
      </c>
      <c r="M512" s="276" t="inlineStr">
        <is>
          <t>SaaS; Databases; Windows</t>
        </is>
      </c>
      <c r="N512" s="276" t="inlineStr">
        <is>
          <t>https://attack.mitre.org/techniques/T1565/</t>
        </is>
      </c>
      <c r="O512" s="276" t="n"/>
      <c r="P512" s="277" t="n"/>
    </row>
    <row r="513">
      <c r="A513" s="275" t="inlineStr">
        <is>
          <t>Malicious insider</t>
        </is>
      </c>
      <c r="B513" s="276" t="inlineStr">
        <is>
          <t>Data or transaction-integrity compromise</t>
        </is>
      </c>
      <c r="C513" s="276" t="inlineStr">
        <is>
          <t>Identity and credential compromise</t>
        </is>
      </c>
      <c r="D513" s="276" t="inlineStr">
        <is>
          <t>T1486</t>
        </is>
      </c>
      <c r="E513" s="276" t="inlineStr">
        <is>
          <t>Data Encrypted for Impact</t>
        </is>
      </c>
      <c r="F513" s="276" t="inlineStr">
        <is>
          <t>S5</t>
        </is>
      </c>
      <c r="G513" s="276" t="b">
        <v>1</v>
      </c>
      <c r="H513" s="276" t="b">
        <v>1</v>
      </c>
      <c r="I513" s="276" t="b">
        <v>1</v>
      </c>
      <c r="J513" s="276" t="n">
        <v>0.7</v>
      </c>
      <c r="K513" s="276" t="n">
        <v>0.16875</v>
      </c>
      <c r="L513" s="276" t="n">
        <v>0.16875</v>
      </c>
      <c r="M513" s="276" t="inlineStr">
        <is>
          <t>Windows; Linux; IaaS</t>
        </is>
      </c>
      <c r="N513" s="276" t="inlineStr">
        <is>
          <t>https://attack.mitre.org/techniques/T1486/</t>
        </is>
      </c>
      <c r="O513" s="276" t="n"/>
      <c r="P513" s="277" t="n"/>
    </row>
    <row r="514">
      <c r="A514" s="275" t="inlineStr">
        <is>
          <t>Malicious insider</t>
        </is>
      </c>
      <c r="B514" s="276" t="inlineStr">
        <is>
          <t>Data or transaction-integrity compromise</t>
        </is>
      </c>
      <c r="C514" s="276" t="inlineStr">
        <is>
          <t>Identity and credential compromise</t>
        </is>
      </c>
      <c r="D514" s="276" t="inlineStr">
        <is>
          <t>T1490</t>
        </is>
      </c>
      <c r="E514" s="276" t="inlineStr">
        <is>
          <t>Inhibit System Recovery</t>
        </is>
      </c>
      <c r="F514" s="276" t="inlineStr">
        <is>
          <t>S5</t>
        </is>
      </c>
      <c r="G514" s="276" t="b">
        <v>1</v>
      </c>
      <c r="H514" s="276" t="b">
        <v>1</v>
      </c>
      <c r="I514" s="276" t="b">
        <v>1</v>
      </c>
      <c r="J514" s="276" t="n">
        <v>0.6</v>
      </c>
      <c r="K514" s="276" t="n">
        <v>0</v>
      </c>
      <c r="L514" s="276" t="n">
        <v>0</v>
      </c>
      <c r="M514" s="276" t="inlineStr">
        <is>
          <t>Windows; Linux; IaaS</t>
        </is>
      </c>
      <c r="N514" s="276" t="inlineStr">
        <is>
          <t>https://attack.mitre.org/techniques/T1490/</t>
        </is>
      </c>
      <c r="O514" s="276" t="n"/>
      <c r="P514" s="277" t="n"/>
    </row>
    <row r="515">
      <c r="A515" s="275" t="inlineStr">
        <is>
          <t>Malicious insider</t>
        </is>
      </c>
      <c r="B515" s="276" t="inlineStr">
        <is>
          <t>Data or transaction-integrity compromise</t>
        </is>
      </c>
      <c r="C515" s="276" t="inlineStr">
        <is>
          <t>User endpoint and social engineering</t>
        </is>
      </c>
      <c r="D515" s="276" t="inlineStr">
        <is>
          <t>T1566</t>
        </is>
      </c>
      <c r="E515" s="276" t="inlineStr">
        <is>
          <t>Phishing</t>
        </is>
      </c>
      <c r="F515" s="276" t="inlineStr">
        <is>
          <t>S1</t>
        </is>
      </c>
      <c r="G515" s="276" t="b">
        <v>1</v>
      </c>
      <c r="H515" s="276" t="b">
        <v>1</v>
      </c>
      <c r="I515" s="276" t="b">
        <v>1</v>
      </c>
      <c r="J515" s="276" t="n">
        <v>1</v>
      </c>
      <c r="K515" s="276" t="n">
        <v>0.20625</v>
      </c>
      <c r="L515" s="276" t="n">
        <v>0.20625</v>
      </c>
      <c r="M515" s="276" t="inlineStr">
        <is>
          <t>Windows; SaaS; Office Suite</t>
        </is>
      </c>
      <c r="N515" s="276" t="inlineStr">
        <is>
          <t>https://attack.mitre.org/techniques/T1566/</t>
        </is>
      </c>
      <c r="O515" s="276" t="n"/>
      <c r="P515" s="277" t="n"/>
    </row>
    <row r="516">
      <c r="A516" s="275" t="inlineStr">
        <is>
          <t>Malicious insider</t>
        </is>
      </c>
      <c r="B516" s="276" t="inlineStr">
        <is>
          <t>Data or transaction-integrity compromise</t>
        </is>
      </c>
      <c r="C516" s="276" t="inlineStr">
        <is>
          <t>User endpoint and social engineering</t>
        </is>
      </c>
      <c r="D516" s="276" t="inlineStr">
        <is>
          <t>T1203</t>
        </is>
      </c>
      <c r="E516" s="276" t="inlineStr">
        <is>
          <t>Exploitation for Client Execution</t>
        </is>
      </c>
      <c r="F516" s="276" t="inlineStr">
        <is>
          <t>S2</t>
        </is>
      </c>
      <c r="G516" s="276" t="b">
        <v>0</v>
      </c>
      <c r="H516" s="276" t="b">
        <v>1</v>
      </c>
      <c r="I516" s="276" t="b">
        <v>0</v>
      </c>
      <c r="J516" s="276" t="n">
        <v>0.8</v>
      </c>
      <c r="K516" s="276" t="n">
        <v>0.2404920959472656</v>
      </c>
      <c r="L516" s="276" t="n">
        <v>0.2404920959472656</v>
      </c>
      <c r="M516" s="276" t="inlineStr">
        <is>
          <t>Windows; macOS; Linux</t>
        </is>
      </c>
      <c r="N516" s="276" t="inlineStr">
        <is>
          <t>https://attack.mitre.org/techniques/T1203/</t>
        </is>
      </c>
      <c r="O516" s="276" t="n"/>
      <c r="P516" s="277" t="n"/>
    </row>
    <row r="517">
      <c r="A517" s="275" t="inlineStr">
        <is>
          <t>Malicious insider</t>
        </is>
      </c>
      <c r="B517" s="276" t="inlineStr">
        <is>
          <t>Data or transaction-integrity compromise</t>
        </is>
      </c>
      <c r="C517" s="276" t="inlineStr">
        <is>
          <t>User endpoint and social engineering</t>
        </is>
      </c>
      <c r="D517" s="276" t="inlineStr">
        <is>
          <t>T1059</t>
        </is>
      </c>
      <c r="E517" s="276" t="inlineStr">
        <is>
          <t>Command and Scripting Interpreter</t>
        </is>
      </c>
      <c r="F517" s="276" t="inlineStr">
        <is>
          <t>S2</t>
        </is>
      </c>
      <c r="G517" s="276" t="b">
        <v>1</v>
      </c>
      <c r="H517" s="276" t="b">
        <v>1</v>
      </c>
      <c r="I517" s="276" t="b">
        <v>1</v>
      </c>
      <c r="J517" s="276" t="n">
        <v>0.9</v>
      </c>
      <c r="K517" s="276" t="n">
        <v>0.1875</v>
      </c>
      <c r="L517" s="276" t="n">
        <v>0.1875</v>
      </c>
      <c r="M517" s="276" t="inlineStr">
        <is>
          <t>Windows; macOS; Linux; IaaS</t>
        </is>
      </c>
      <c r="N517" s="276" t="inlineStr">
        <is>
          <t>https://attack.mitre.org/techniques/T1059/</t>
        </is>
      </c>
      <c r="O517" s="276" t="n"/>
      <c r="P517" s="277" t="n"/>
    </row>
    <row r="518">
      <c r="A518" s="275" t="inlineStr">
        <is>
          <t>Malicious insider</t>
        </is>
      </c>
      <c r="B518" s="276" t="inlineStr">
        <is>
          <t>Data or transaction-integrity compromise</t>
        </is>
      </c>
      <c r="C518" s="276" t="inlineStr">
        <is>
          <t>User endpoint and social engineering</t>
        </is>
      </c>
      <c r="D518" s="276" t="inlineStr">
        <is>
          <t>T1068</t>
        </is>
      </c>
      <c r="E518" s="276" t="inlineStr">
        <is>
          <t>Exploitation for Privilege Escalation</t>
        </is>
      </c>
      <c r="F518" s="276" t="inlineStr">
        <is>
          <t>S3</t>
        </is>
      </c>
      <c r="G518" s="276" t="b">
        <v>1</v>
      </c>
      <c r="H518" s="276" t="b">
        <v>1</v>
      </c>
      <c r="I518" s="276" t="b">
        <v>1</v>
      </c>
      <c r="J518" s="276" t="n">
        <v>0.7</v>
      </c>
      <c r="K518" s="276" t="n">
        <v>0.2094165115356445</v>
      </c>
      <c r="L518" s="276" t="n">
        <v>0.2094165115356445</v>
      </c>
      <c r="M518" s="276" t="inlineStr">
        <is>
          <t>Windows; macOS; Linux</t>
        </is>
      </c>
      <c r="N518" s="276" t="inlineStr">
        <is>
          <t>https://attack.mitre.org/techniques/T1068/</t>
        </is>
      </c>
      <c r="O518" s="276" t="n"/>
      <c r="P518" s="277" t="n"/>
    </row>
    <row r="519">
      <c r="A519" s="275" t="inlineStr">
        <is>
          <t>Malicious insider</t>
        </is>
      </c>
      <c r="B519" s="276" t="inlineStr">
        <is>
          <t>Data or transaction-integrity compromise</t>
        </is>
      </c>
      <c r="C519" s="276" t="inlineStr">
        <is>
          <t>User endpoint and social engineering</t>
        </is>
      </c>
      <c r="D519" s="276" t="inlineStr">
        <is>
          <t>T1003</t>
        </is>
      </c>
      <c r="E519" s="276" t="inlineStr">
        <is>
          <t>OS Credential Dumping</t>
        </is>
      </c>
      <c r="F519" s="276" t="inlineStr">
        <is>
          <t>S3</t>
        </is>
      </c>
      <c r="G519" s="276" t="b">
        <v>1</v>
      </c>
      <c r="H519" s="276" t="b">
        <v>1</v>
      </c>
      <c r="I519" s="276" t="b">
        <v>1</v>
      </c>
      <c r="J519" s="276" t="n">
        <v>0.8</v>
      </c>
      <c r="K519" s="276" t="n">
        <v>0.232294921875</v>
      </c>
      <c r="L519" s="276" t="n">
        <v>0.232294921875</v>
      </c>
      <c r="M519" s="276" t="inlineStr">
        <is>
          <t>Windows; Linux; macOS</t>
        </is>
      </c>
      <c r="N519" s="276" t="inlineStr">
        <is>
          <t>https://attack.mitre.org/techniques/T1003/</t>
        </is>
      </c>
      <c r="O519" s="276" t="n"/>
      <c r="P519" s="277" t="n"/>
    </row>
    <row r="520">
      <c r="A520" s="275" t="inlineStr">
        <is>
          <t>Malicious insider</t>
        </is>
      </c>
      <c r="B520" s="276" t="inlineStr">
        <is>
          <t>Data or transaction-integrity compromise</t>
        </is>
      </c>
      <c r="C520" s="276" t="inlineStr">
        <is>
          <t>User endpoint and social engineering</t>
        </is>
      </c>
      <c r="D520" s="276" t="inlineStr">
        <is>
          <t>T1046</t>
        </is>
      </c>
      <c r="E520" s="276" t="inlineStr">
        <is>
          <t>Network Service Discovery</t>
        </is>
      </c>
      <c r="F520" s="276" t="inlineStr">
        <is>
          <t>S4</t>
        </is>
      </c>
      <c r="G520" s="276" t="b">
        <v>1</v>
      </c>
      <c r="H520" s="276" t="b">
        <v>1</v>
      </c>
      <c r="I520" s="276" t="b">
        <v>1</v>
      </c>
      <c r="J520" s="276" t="n">
        <v>0.6</v>
      </c>
      <c r="K520" s="276" t="n">
        <v>0.16875</v>
      </c>
      <c r="L520" s="276" t="n">
        <v>0.16875</v>
      </c>
      <c r="M520" s="276" t="inlineStr">
        <is>
          <t>Network Devices; Windows; Linux</t>
        </is>
      </c>
      <c r="N520" s="276" t="inlineStr">
        <is>
          <t>https://attack.mitre.org/techniques/T1046/</t>
        </is>
      </c>
      <c r="O520" s="276" t="n"/>
      <c r="P520" s="277" t="n"/>
    </row>
    <row r="521">
      <c r="A521" s="275" t="inlineStr">
        <is>
          <t>Malicious insider</t>
        </is>
      </c>
      <c r="B521" s="276" t="inlineStr">
        <is>
          <t>Data or transaction-integrity compromise</t>
        </is>
      </c>
      <c r="C521" s="276" t="inlineStr">
        <is>
          <t>User endpoint and social engineering</t>
        </is>
      </c>
      <c r="D521" s="276" t="inlineStr">
        <is>
          <t>T1021</t>
        </is>
      </c>
      <c r="E521" s="276" t="inlineStr">
        <is>
          <t>Remote Services</t>
        </is>
      </c>
      <c r="F521" s="276" t="inlineStr">
        <is>
          <t>S4</t>
        </is>
      </c>
      <c r="G521" s="276" t="b">
        <v>1</v>
      </c>
      <c r="H521" s="276" t="b">
        <v>1</v>
      </c>
      <c r="I521" s="276" t="b">
        <v>1</v>
      </c>
      <c r="J521" s="276" t="n">
        <v>0.8</v>
      </c>
      <c r="K521" s="276" t="n">
        <v>0.1875</v>
      </c>
      <c r="L521" s="276" t="n">
        <v>0.1875</v>
      </c>
      <c r="M521" s="276" t="inlineStr">
        <is>
          <t>Windows; Linux; Network Devices</t>
        </is>
      </c>
      <c r="N521" s="276" t="inlineStr">
        <is>
          <t>https://attack.mitre.org/techniques/T1021/</t>
        </is>
      </c>
      <c r="O521" s="276" t="n"/>
      <c r="P521" s="277" t="n"/>
    </row>
    <row r="522">
      <c r="A522" s="275" t="inlineStr">
        <is>
          <t>Malicious insider</t>
        </is>
      </c>
      <c r="B522" s="276" t="inlineStr">
        <is>
          <t>Data or transaction-integrity compromise</t>
        </is>
      </c>
      <c r="C522" s="276" t="inlineStr">
        <is>
          <t>User endpoint and social engineering</t>
        </is>
      </c>
      <c r="D522" s="276" t="inlineStr">
        <is>
          <t>T1213</t>
        </is>
      </c>
      <c r="E522" s="276" t="inlineStr">
        <is>
          <t>Data from Information Repositories</t>
        </is>
      </c>
      <c r="F522" s="276" t="inlineStr">
        <is>
          <t>S4</t>
        </is>
      </c>
      <c r="G522" s="276" t="b">
        <v>1</v>
      </c>
      <c r="H522" s="276" t="b">
        <v>1</v>
      </c>
      <c r="I522" s="276" t="b">
        <v>1</v>
      </c>
      <c r="J522" s="276" t="n">
        <v>0.7</v>
      </c>
      <c r="K522" s="276" t="n">
        <v>0.177890625</v>
      </c>
      <c r="L522" s="276" t="n">
        <v>0.177890625</v>
      </c>
      <c r="M522" s="276" t="inlineStr">
        <is>
          <t>SaaS; Office Suite; Windows</t>
        </is>
      </c>
      <c r="N522" s="276" t="inlineStr">
        <is>
          <t>https://attack.mitre.org/techniques/T1213/</t>
        </is>
      </c>
      <c r="O522" s="276" t="n"/>
      <c r="P522" s="277" t="n"/>
    </row>
    <row r="523">
      <c r="A523" s="275" t="inlineStr">
        <is>
          <t>Malicious insider</t>
        </is>
      </c>
      <c r="B523" s="276" t="inlineStr">
        <is>
          <t>Data or transaction-integrity compromise</t>
        </is>
      </c>
      <c r="C523" s="276" t="inlineStr">
        <is>
          <t>User endpoint and social engineering</t>
        </is>
      </c>
      <c r="D523" s="276" t="inlineStr">
        <is>
          <t>T1486</t>
        </is>
      </c>
      <c r="E523" s="276" t="inlineStr">
        <is>
          <t>Data Encrypted for Impact</t>
        </is>
      </c>
      <c r="F523" s="276" t="inlineStr">
        <is>
          <t>S5</t>
        </is>
      </c>
      <c r="G523" s="276" t="b">
        <v>1</v>
      </c>
      <c r="H523" s="276" t="b">
        <v>1</v>
      </c>
      <c r="I523" s="276" t="b">
        <v>1</v>
      </c>
      <c r="J523" s="276" t="n">
        <v>0.8</v>
      </c>
      <c r="K523" s="276" t="n">
        <v>0.16875</v>
      </c>
      <c r="L523" s="276" t="n">
        <v>0.16875</v>
      </c>
      <c r="M523" s="276" t="inlineStr">
        <is>
          <t>Windows; Linux; IaaS</t>
        </is>
      </c>
      <c r="N523" s="276" t="inlineStr">
        <is>
          <t>https://attack.mitre.org/techniques/T1486/</t>
        </is>
      </c>
      <c r="O523" s="276" t="n"/>
      <c r="P523" s="277" t="n"/>
    </row>
    <row r="524">
      <c r="A524" s="275" t="inlineStr">
        <is>
          <t>Malicious insider</t>
        </is>
      </c>
      <c r="B524" s="276" t="inlineStr">
        <is>
          <t>Data or transaction-integrity compromise</t>
        </is>
      </c>
      <c r="C524" s="276" t="inlineStr">
        <is>
          <t>User endpoint and social engineering</t>
        </is>
      </c>
      <c r="D524" s="276" t="inlineStr">
        <is>
          <t>T1490</t>
        </is>
      </c>
      <c r="E524" s="276" t="inlineStr">
        <is>
          <t>Inhibit System Recovery</t>
        </is>
      </c>
      <c r="F524" s="276" t="inlineStr">
        <is>
          <t>S5</t>
        </is>
      </c>
      <c r="G524" s="276" t="b">
        <v>1</v>
      </c>
      <c r="H524" s="276" t="b">
        <v>1</v>
      </c>
      <c r="I524" s="276" t="b">
        <v>1</v>
      </c>
      <c r="J524" s="276" t="n">
        <v>0.7</v>
      </c>
      <c r="K524" s="276" t="n">
        <v>0</v>
      </c>
      <c r="L524" s="276" t="n">
        <v>0</v>
      </c>
      <c r="M524" s="276" t="inlineStr">
        <is>
          <t>Windows; Linux; IaaS</t>
        </is>
      </c>
      <c r="N524" s="276" t="inlineStr">
        <is>
          <t>https://attack.mitre.org/techniques/T1490/</t>
        </is>
      </c>
      <c r="O524" s="276" t="n"/>
      <c r="P524" s="277" t="n"/>
    </row>
    <row r="525">
      <c r="A525" s="275" t="inlineStr">
        <is>
          <t>Malicious insider</t>
        </is>
      </c>
      <c r="B525" s="276" t="inlineStr">
        <is>
          <t>Data or transaction-integrity compromise</t>
        </is>
      </c>
      <c r="C525" s="276" t="inlineStr">
        <is>
          <t>User endpoint and social engineering</t>
        </is>
      </c>
      <c r="D525" s="276" t="inlineStr">
        <is>
          <t>T1567</t>
        </is>
      </c>
      <c r="E525" s="276" t="inlineStr">
        <is>
          <t>Exfiltration Over Web Service</t>
        </is>
      </c>
      <c r="F525" s="276" t="inlineStr">
        <is>
          <t>S5</t>
        </is>
      </c>
      <c r="G525" s="276" t="b">
        <v>1</v>
      </c>
      <c r="H525" s="276" t="b">
        <v>0</v>
      </c>
      <c r="I525" s="276" t="b">
        <v>0</v>
      </c>
      <c r="J525" s="276" t="n">
        <v>0.7</v>
      </c>
      <c r="K525" s="276" t="n">
        <v>0.20625</v>
      </c>
      <c r="L525" s="276" t="n">
        <v>0.20625</v>
      </c>
      <c r="M525" s="276" t="inlineStr">
        <is>
          <t>SaaS; Office Suite</t>
        </is>
      </c>
      <c r="N525" s="276" t="inlineStr">
        <is>
          <t>https://attack.mitre.org/techniques/T1567/</t>
        </is>
      </c>
      <c r="O525" s="276" t="n"/>
      <c r="P525" s="277" t="n"/>
    </row>
    <row r="526">
      <c r="A526" s="275" t="inlineStr">
        <is>
          <t>Malicious insider</t>
        </is>
      </c>
      <c r="B526" s="276" t="inlineStr">
        <is>
          <t>Data or transaction-integrity compromise</t>
        </is>
      </c>
      <c r="C526" s="276" t="inlineStr">
        <is>
          <t>User endpoint and social engineering</t>
        </is>
      </c>
      <c r="D526" s="276" t="inlineStr">
        <is>
          <t>T1657</t>
        </is>
      </c>
      <c r="E526" s="276" t="inlineStr">
        <is>
          <t>Financial Theft</t>
        </is>
      </c>
      <c r="F526" s="276" t="inlineStr">
        <is>
          <t>S5</t>
        </is>
      </c>
      <c r="G526" s="276" t="b">
        <v>1</v>
      </c>
      <c r="H526" s="276" t="b">
        <v>0</v>
      </c>
      <c r="I526" s="276" t="b">
        <v>0</v>
      </c>
      <c r="J526" s="276" t="n">
        <v>0.5</v>
      </c>
      <c r="K526" s="276" t="n">
        <v>0.275654296875</v>
      </c>
      <c r="L526" s="276" t="n">
        <v>0.275654296875</v>
      </c>
      <c r="M526" s="276" t="inlineStr">
        <is>
          <t>SaaS; Office Suite; Identity Provider</t>
        </is>
      </c>
      <c r="N526" s="276" t="inlineStr">
        <is>
          <t>https://attack.mitre.org/techniques/T1657/</t>
        </is>
      </c>
      <c r="O526" s="276" t="n"/>
      <c r="P526" s="277" t="n"/>
    </row>
    <row r="527">
      <c r="A527" s="275" t="inlineStr">
        <is>
          <t>Malicious insider</t>
        </is>
      </c>
      <c r="B527" s="276" t="inlineStr">
        <is>
          <t>Data or transaction-integrity compromise</t>
        </is>
      </c>
      <c r="C527" s="276" t="inlineStr">
        <is>
          <t>User endpoint and social engineering</t>
        </is>
      </c>
      <c r="D527" s="276" t="inlineStr">
        <is>
          <t>T1565</t>
        </is>
      </c>
      <c r="E527" s="276" t="inlineStr">
        <is>
          <t>Data Manipulation</t>
        </is>
      </c>
      <c r="F527" s="276" t="inlineStr">
        <is>
          <t>S5</t>
        </is>
      </c>
      <c r="G527" s="276" t="b">
        <v>1</v>
      </c>
      <c r="H527" s="276" t="b">
        <v>1</v>
      </c>
      <c r="I527" s="276" t="b">
        <v>1</v>
      </c>
      <c r="J527" s="276" t="n">
        <v>0.5</v>
      </c>
      <c r="K527" s="276" t="n">
        <v>0.2206064987182617</v>
      </c>
      <c r="L527" s="276" t="n">
        <v>0.2206064987182617</v>
      </c>
      <c r="M527" s="276" t="inlineStr">
        <is>
          <t>SaaS; Databases; Windows</t>
        </is>
      </c>
      <c r="N527" s="276" t="inlineStr">
        <is>
          <t>https://attack.mitre.org/techniques/T1565/</t>
        </is>
      </c>
      <c r="O527" s="276" t="n"/>
      <c r="P527" s="277" t="n"/>
    </row>
    <row r="528">
      <c r="A528" s="275" t="inlineStr">
        <is>
          <t>Malicious insider</t>
        </is>
      </c>
      <c r="B528" s="276" t="inlineStr">
        <is>
          <t>Data or transaction-integrity compromise</t>
        </is>
      </c>
      <c r="C528" s="276" t="inlineStr">
        <is>
          <t>Public-facing application exploitation</t>
        </is>
      </c>
      <c r="D528" s="276" t="inlineStr">
        <is>
          <t>T1190</t>
        </is>
      </c>
      <c r="E528" s="276" t="inlineStr">
        <is>
          <t>Exploit Public-Facing Application</t>
        </is>
      </c>
      <c r="F528" s="276" t="inlineStr">
        <is>
          <t>S1</t>
        </is>
      </c>
      <c r="G528" s="276" t="b">
        <v>0</v>
      </c>
      <c r="H528" s="276" t="b">
        <v>1</v>
      </c>
      <c r="I528" s="276" t="b">
        <v>0</v>
      </c>
      <c r="J528" s="276" t="n">
        <v>1</v>
      </c>
      <c r="K528" s="276" t="n">
        <v>0.2496630477905274</v>
      </c>
      <c r="L528" s="276" t="n">
        <v>0.2496630477905274</v>
      </c>
      <c r="M528" s="276" t="inlineStr">
        <is>
          <t>Network Devices; SaaS; IaaS</t>
        </is>
      </c>
      <c r="N528" s="276" t="inlineStr">
        <is>
          <t>https://attack.mitre.org/techniques/T1190/</t>
        </is>
      </c>
      <c r="O528" s="276" t="n"/>
      <c r="P528" s="277" t="n"/>
    </row>
    <row r="529">
      <c r="A529" s="275" t="inlineStr">
        <is>
          <t>Malicious insider</t>
        </is>
      </c>
      <c r="B529" s="276" t="inlineStr">
        <is>
          <t>Data or transaction-integrity compromise</t>
        </is>
      </c>
      <c r="C529" s="276" t="inlineStr">
        <is>
          <t>Public-facing application exploitation</t>
        </is>
      </c>
      <c r="D529" s="276" t="inlineStr">
        <is>
          <t>T1059</t>
        </is>
      </c>
      <c r="E529" s="276" t="inlineStr">
        <is>
          <t>Command and Scripting Interpreter</t>
        </is>
      </c>
      <c r="F529" s="276" t="inlineStr">
        <is>
          <t>S2</t>
        </is>
      </c>
      <c r="G529" s="276" t="b">
        <v>1</v>
      </c>
      <c r="H529" s="276" t="b">
        <v>1</v>
      </c>
      <c r="I529" s="276" t="b">
        <v>1</v>
      </c>
      <c r="J529" s="276" t="n">
        <v>0.8</v>
      </c>
      <c r="K529" s="276" t="n">
        <v>0.1875</v>
      </c>
      <c r="L529" s="276" t="n">
        <v>0.1875</v>
      </c>
      <c r="M529" s="276" t="inlineStr">
        <is>
          <t>Windows; macOS; Linux; IaaS</t>
        </is>
      </c>
      <c r="N529" s="276" t="inlineStr">
        <is>
          <t>https://attack.mitre.org/techniques/T1059/</t>
        </is>
      </c>
      <c r="O529" s="276" t="n"/>
      <c r="P529" s="277" t="n"/>
    </row>
    <row r="530">
      <c r="A530" s="275" t="inlineStr">
        <is>
          <t>Malicious insider</t>
        </is>
      </c>
      <c r="B530" s="276" t="inlineStr">
        <is>
          <t>Data or transaction-integrity compromise</t>
        </is>
      </c>
      <c r="C530" s="276" t="inlineStr">
        <is>
          <t>Public-facing application exploitation</t>
        </is>
      </c>
      <c r="D530" s="276" t="inlineStr">
        <is>
          <t>T1068</t>
        </is>
      </c>
      <c r="E530" s="276" t="inlineStr">
        <is>
          <t>Exploitation for Privilege Escalation</t>
        </is>
      </c>
      <c r="F530" s="276" t="inlineStr">
        <is>
          <t>S3</t>
        </is>
      </c>
      <c r="G530" s="276" t="b">
        <v>1</v>
      </c>
      <c r="H530" s="276" t="b">
        <v>1</v>
      </c>
      <c r="I530" s="276" t="b">
        <v>1</v>
      </c>
      <c r="J530" s="276" t="n">
        <v>0.7</v>
      </c>
      <c r="K530" s="276" t="n">
        <v>0.2094165115356445</v>
      </c>
      <c r="L530" s="276" t="n">
        <v>0.2094165115356445</v>
      </c>
      <c r="M530" s="276" t="inlineStr">
        <is>
          <t>Windows; macOS; Linux</t>
        </is>
      </c>
      <c r="N530" s="276" t="inlineStr">
        <is>
          <t>https://attack.mitre.org/techniques/T1068/</t>
        </is>
      </c>
      <c r="O530" s="276" t="n"/>
      <c r="P530" s="277" t="n"/>
    </row>
    <row r="531">
      <c r="A531" s="275" t="inlineStr">
        <is>
          <t>Malicious insider</t>
        </is>
      </c>
      <c r="B531" s="276" t="inlineStr">
        <is>
          <t>Data or transaction-integrity compromise</t>
        </is>
      </c>
      <c r="C531" s="276" t="inlineStr">
        <is>
          <t>Public-facing application exploitation</t>
        </is>
      </c>
      <c r="D531" s="276" t="inlineStr">
        <is>
          <t>T1003</t>
        </is>
      </c>
      <c r="E531" s="276" t="inlineStr">
        <is>
          <t>OS Credential Dumping</t>
        </is>
      </c>
      <c r="F531" s="276" t="inlineStr">
        <is>
          <t>S3</t>
        </is>
      </c>
      <c r="G531" s="276" t="b">
        <v>1</v>
      </c>
      <c r="H531" s="276" t="b">
        <v>1</v>
      </c>
      <c r="I531" s="276" t="b">
        <v>1</v>
      </c>
      <c r="J531" s="276" t="n">
        <v>0.6</v>
      </c>
      <c r="K531" s="276" t="n">
        <v>0.232294921875</v>
      </c>
      <c r="L531" s="276" t="n">
        <v>0.232294921875</v>
      </c>
      <c r="M531" s="276" t="inlineStr">
        <is>
          <t>Windows; Linux; macOS</t>
        </is>
      </c>
      <c r="N531" s="276" t="inlineStr">
        <is>
          <t>https://attack.mitre.org/techniques/T1003/</t>
        </is>
      </c>
      <c r="O531" s="276" t="n"/>
      <c r="P531" s="277" t="n"/>
    </row>
    <row r="532">
      <c r="A532" s="275" t="inlineStr">
        <is>
          <t>Malicious insider</t>
        </is>
      </c>
      <c r="B532" s="276" t="inlineStr">
        <is>
          <t>Data or transaction-integrity compromise</t>
        </is>
      </c>
      <c r="C532" s="276" t="inlineStr">
        <is>
          <t>Public-facing application exploitation</t>
        </is>
      </c>
      <c r="D532" s="276" t="inlineStr">
        <is>
          <t>T1046</t>
        </is>
      </c>
      <c r="E532" s="276" t="inlineStr">
        <is>
          <t>Network Service Discovery</t>
        </is>
      </c>
      <c r="F532" s="276" t="inlineStr">
        <is>
          <t>S4</t>
        </is>
      </c>
      <c r="G532" s="276" t="b">
        <v>1</v>
      </c>
      <c r="H532" s="276" t="b">
        <v>1</v>
      </c>
      <c r="I532" s="276" t="b">
        <v>1</v>
      </c>
      <c r="J532" s="276" t="n">
        <v>0.7</v>
      </c>
      <c r="K532" s="276" t="n">
        <v>0.16875</v>
      </c>
      <c r="L532" s="276" t="n">
        <v>0.16875</v>
      </c>
      <c r="M532" s="276" t="inlineStr">
        <is>
          <t>Network Devices; Windows; Linux</t>
        </is>
      </c>
      <c r="N532" s="276" t="inlineStr">
        <is>
          <t>https://attack.mitre.org/techniques/T1046/</t>
        </is>
      </c>
      <c r="O532" s="276" t="n"/>
      <c r="P532" s="277" t="n"/>
    </row>
    <row r="533">
      <c r="A533" s="275" t="inlineStr">
        <is>
          <t>Malicious insider</t>
        </is>
      </c>
      <c r="B533" s="276" t="inlineStr">
        <is>
          <t>Data or transaction-integrity compromise</t>
        </is>
      </c>
      <c r="C533" s="276" t="inlineStr">
        <is>
          <t>Public-facing application exploitation</t>
        </is>
      </c>
      <c r="D533" s="276" t="inlineStr">
        <is>
          <t>T1210</t>
        </is>
      </c>
      <c r="E533" s="276" t="inlineStr">
        <is>
          <t>Exploitation of Remote Services</t>
        </is>
      </c>
      <c r="F533" s="276" t="inlineStr">
        <is>
          <t>S4</t>
        </is>
      </c>
      <c r="G533" s="276" t="b">
        <v>1</v>
      </c>
      <c r="H533" s="276" t="b">
        <v>1</v>
      </c>
      <c r="I533" s="276" t="b">
        <v>1</v>
      </c>
      <c r="J533" s="276" t="n">
        <v>0.9</v>
      </c>
      <c r="K533" s="276" t="n">
        <v>0.2103495368957519</v>
      </c>
      <c r="L533" s="276" t="n">
        <v>0.2103495368957519</v>
      </c>
      <c r="M533" s="276" t="inlineStr">
        <is>
          <t>Windows; Linux; Network Devices</t>
        </is>
      </c>
      <c r="N533" s="276" t="inlineStr">
        <is>
          <t>https://attack.mitre.org/techniques/T1210/</t>
        </is>
      </c>
      <c r="O533" s="276" t="n"/>
      <c r="P533" s="277" t="n"/>
    </row>
    <row r="534">
      <c r="A534" s="275" t="inlineStr">
        <is>
          <t>Malicious insider</t>
        </is>
      </c>
      <c r="B534" s="276" t="inlineStr">
        <is>
          <t>Data or transaction-integrity compromise</t>
        </is>
      </c>
      <c r="C534" s="276" t="inlineStr">
        <is>
          <t>Public-facing application exploitation</t>
        </is>
      </c>
      <c r="D534" s="276" t="inlineStr">
        <is>
          <t>T1021</t>
        </is>
      </c>
      <c r="E534" s="276" t="inlineStr">
        <is>
          <t>Remote Services</t>
        </is>
      </c>
      <c r="F534" s="276" t="inlineStr">
        <is>
          <t>S4</t>
        </is>
      </c>
      <c r="G534" s="276" t="b">
        <v>1</v>
      </c>
      <c r="H534" s="276" t="b">
        <v>1</v>
      </c>
      <c r="I534" s="276" t="b">
        <v>1</v>
      </c>
      <c r="J534" s="276" t="n">
        <v>0.7</v>
      </c>
      <c r="K534" s="276" t="n">
        <v>0.1875</v>
      </c>
      <c r="L534" s="276" t="n">
        <v>0.1875</v>
      </c>
      <c r="M534" s="276" t="inlineStr">
        <is>
          <t>Windows; Linux; Network Devices</t>
        </is>
      </c>
      <c r="N534" s="276" t="inlineStr">
        <is>
          <t>https://attack.mitre.org/techniques/T1021/</t>
        </is>
      </c>
      <c r="O534" s="276" t="n"/>
      <c r="P534" s="277" t="n"/>
    </row>
    <row r="535">
      <c r="A535" s="275" t="inlineStr">
        <is>
          <t>Malicious insider</t>
        </is>
      </c>
      <c r="B535" s="276" t="inlineStr">
        <is>
          <t>Data or transaction-integrity compromise</t>
        </is>
      </c>
      <c r="C535" s="276" t="inlineStr">
        <is>
          <t>Public-facing application exploitation</t>
        </is>
      </c>
      <c r="D535" s="276" t="inlineStr">
        <is>
          <t>T1486</t>
        </is>
      </c>
      <c r="E535" s="276" t="inlineStr">
        <is>
          <t>Data Encrypted for Impact</t>
        </is>
      </c>
      <c r="F535" s="276" t="inlineStr">
        <is>
          <t>S5</t>
        </is>
      </c>
      <c r="G535" s="276" t="b">
        <v>1</v>
      </c>
      <c r="H535" s="276" t="b">
        <v>1</v>
      </c>
      <c r="I535" s="276" t="b">
        <v>1</v>
      </c>
      <c r="J535" s="276" t="n">
        <v>0.6</v>
      </c>
      <c r="K535" s="276" t="n">
        <v>0.16875</v>
      </c>
      <c r="L535" s="276" t="n">
        <v>0.16875</v>
      </c>
      <c r="M535" s="276" t="inlineStr">
        <is>
          <t>Windows; Linux; IaaS</t>
        </is>
      </c>
      <c r="N535" s="276" t="inlineStr">
        <is>
          <t>https://attack.mitre.org/techniques/T1486/</t>
        </is>
      </c>
      <c r="O535" s="276" t="n"/>
      <c r="P535" s="277" t="n"/>
    </row>
    <row r="536">
      <c r="A536" s="275" t="inlineStr">
        <is>
          <t>Malicious insider</t>
        </is>
      </c>
      <c r="B536" s="276" t="inlineStr">
        <is>
          <t>Data or transaction-integrity compromise</t>
        </is>
      </c>
      <c r="C536" s="276" t="inlineStr">
        <is>
          <t>Public-facing application exploitation</t>
        </is>
      </c>
      <c r="D536" s="276" t="inlineStr">
        <is>
          <t>T1490</t>
        </is>
      </c>
      <c r="E536" s="276" t="inlineStr">
        <is>
          <t>Inhibit System Recovery</t>
        </is>
      </c>
      <c r="F536" s="276" t="inlineStr">
        <is>
          <t>S5</t>
        </is>
      </c>
      <c r="G536" s="276" t="b">
        <v>1</v>
      </c>
      <c r="H536" s="276" t="b">
        <v>1</v>
      </c>
      <c r="I536" s="276" t="b">
        <v>1</v>
      </c>
      <c r="J536" s="276" t="n">
        <v>0.5</v>
      </c>
      <c r="K536" s="276" t="n">
        <v>0</v>
      </c>
      <c r="L536" s="276" t="n">
        <v>0</v>
      </c>
      <c r="M536" s="276" t="inlineStr">
        <is>
          <t>Windows; Linux; IaaS</t>
        </is>
      </c>
      <c r="N536" s="276" t="inlineStr">
        <is>
          <t>https://attack.mitre.org/techniques/T1490/</t>
        </is>
      </c>
      <c r="O536" s="276" t="n"/>
      <c r="P536" s="277" t="n"/>
    </row>
    <row r="537">
      <c r="A537" s="275" t="inlineStr">
        <is>
          <t>Malicious insider</t>
        </is>
      </c>
      <c r="B537" s="276" t="inlineStr">
        <is>
          <t>Data or transaction-integrity compromise</t>
        </is>
      </c>
      <c r="C537" s="276" t="inlineStr">
        <is>
          <t>Public-facing application exploitation</t>
        </is>
      </c>
      <c r="D537" s="276" t="inlineStr">
        <is>
          <t>T1567</t>
        </is>
      </c>
      <c r="E537" s="276" t="inlineStr">
        <is>
          <t>Exfiltration Over Web Service</t>
        </is>
      </c>
      <c r="F537" s="276" t="inlineStr">
        <is>
          <t>S5</t>
        </is>
      </c>
      <c r="G537" s="276" t="b">
        <v>1</v>
      </c>
      <c r="H537" s="276" t="b">
        <v>0</v>
      </c>
      <c r="I537" s="276" t="b">
        <v>0</v>
      </c>
      <c r="J537" s="276" t="n">
        <v>0.6</v>
      </c>
      <c r="K537" s="276" t="n">
        <v>0.20625</v>
      </c>
      <c r="L537" s="276" t="n">
        <v>0.20625</v>
      </c>
      <c r="M537" s="276" t="inlineStr">
        <is>
          <t>SaaS; Office Suite</t>
        </is>
      </c>
      <c r="N537" s="276" t="inlineStr">
        <is>
          <t>https://attack.mitre.org/techniques/T1567/</t>
        </is>
      </c>
      <c r="O537" s="276" t="n"/>
      <c r="P537" s="277" t="n"/>
    </row>
    <row r="538">
      <c r="A538" s="275" t="inlineStr">
        <is>
          <t>Malicious insider</t>
        </is>
      </c>
      <c r="B538" s="276" t="inlineStr">
        <is>
          <t>Data or transaction-integrity compromise</t>
        </is>
      </c>
      <c r="C538" s="276" t="inlineStr">
        <is>
          <t>Public-facing application exploitation</t>
        </is>
      </c>
      <c r="D538" s="276" t="inlineStr">
        <is>
          <t>T1565</t>
        </is>
      </c>
      <c r="E538" s="276" t="inlineStr">
        <is>
          <t>Data Manipulation</t>
        </is>
      </c>
      <c r="F538" s="276" t="inlineStr">
        <is>
          <t>S5</t>
        </is>
      </c>
      <c r="G538" s="276" t="b">
        <v>1</v>
      </c>
      <c r="H538" s="276" t="b">
        <v>1</v>
      </c>
      <c r="I538" s="276" t="b">
        <v>1</v>
      </c>
      <c r="J538" s="276" t="n">
        <v>0.6</v>
      </c>
      <c r="K538" s="276" t="n">
        <v>0.2206064987182617</v>
      </c>
      <c r="L538" s="276" t="n">
        <v>0.2206064987182617</v>
      </c>
      <c r="M538" s="276" t="inlineStr">
        <is>
          <t>SaaS; Databases; Windows</t>
        </is>
      </c>
      <c r="N538" s="276" t="inlineStr">
        <is>
          <t>https://attack.mitre.org/techniques/T1565/</t>
        </is>
      </c>
      <c r="O538" s="276" t="n"/>
      <c r="P538" s="277" t="n"/>
    </row>
    <row r="539">
      <c r="A539" s="275" t="inlineStr">
        <is>
          <t>Malicious insider</t>
        </is>
      </c>
      <c r="B539" s="276" t="inlineStr">
        <is>
          <t>Data or transaction-integrity compromise</t>
        </is>
      </c>
      <c r="C539" s="276" t="inlineStr">
        <is>
          <t>Public-facing application exploitation</t>
        </is>
      </c>
      <c r="D539" s="276" t="inlineStr">
        <is>
          <t>T1657</t>
        </is>
      </c>
      <c r="E539" s="276" t="inlineStr">
        <is>
          <t>Financial Theft</t>
        </is>
      </c>
      <c r="F539" s="276" t="inlineStr">
        <is>
          <t>S5</t>
        </is>
      </c>
      <c r="G539" s="276" t="b">
        <v>1</v>
      </c>
      <c r="H539" s="276" t="b">
        <v>0</v>
      </c>
      <c r="I539" s="276" t="b">
        <v>0</v>
      </c>
      <c r="J539" s="276" t="n">
        <v>0.4</v>
      </c>
      <c r="K539" s="276" t="n">
        <v>0.275654296875</v>
      </c>
      <c r="L539" s="276" t="n">
        <v>0.275654296875</v>
      </c>
      <c r="M539" s="276" t="inlineStr">
        <is>
          <t>SaaS; Office Suite; Identity Provider</t>
        </is>
      </c>
      <c r="N539" s="276" t="inlineStr">
        <is>
          <t>https://attack.mitre.org/techniques/T1657/</t>
        </is>
      </c>
      <c r="O539" s="276" t="n"/>
      <c r="P539" s="277" t="n"/>
    </row>
    <row r="540">
      <c r="A540" s="275" t="inlineStr">
        <is>
          <t>Malicious insider</t>
        </is>
      </c>
      <c r="B540" s="276" t="inlineStr">
        <is>
          <t>Data or transaction-integrity compromise</t>
        </is>
      </c>
      <c r="C540" s="276" t="inlineStr">
        <is>
          <t>Third-party or software supply chain</t>
        </is>
      </c>
      <c r="D540" s="276" t="inlineStr">
        <is>
          <t>T1199</t>
        </is>
      </c>
      <c r="E540" s="276" t="inlineStr">
        <is>
          <t>Trusted Relationship</t>
        </is>
      </c>
      <c r="F540" s="276" t="inlineStr">
        <is>
          <t>S3</t>
        </is>
      </c>
      <c r="G540" s="276" t="b">
        <v>1</v>
      </c>
      <c r="H540" s="276" t="b">
        <v>1</v>
      </c>
      <c r="I540" s="276" t="b">
        <v>1</v>
      </c>
      <c r="J540" s="276" t="n">
        <v>1</v>
      </c>
      <c r="K540" s="276" t="n">
        <v>0.20625</v>
      </c>
      <c r="L540" s="276" t="n">
        <v>0.20625</v>
      </c>
      <c r="M540" s="276" t="inlineStr">
        <is>
          <t>SaaS; IaaS; Network Devices</t>
        </is>
      </c>
      <c r="N540" s="276" t="inlineStr">
        <is>
          <t>https://attack.mitre.org/techniques/T1199/</t>
        </is>
      </c>
      <c r="O540" s="276" t="n"/>
      <c r="P540" s="277" t="n"/>
    </row>
    <row r="541">
      <c r="A541" s="275" t="inlineStr">
        <is>
          <t>Malicious insider</t>
        </is>
      </c>
      <c r="B541" s="276" t="inlineStr">
        <is>
          <t>Data or transaction-integrity compromise</t>
        </is>
      </c>
      <c r="C541" s="276" t="inlineStr">
        <is>
          <t>Third-party or software supply chain</t>
        </is>
      </c>
      <c r="D541" s="276" t="inlineStr">
        <is>
          <t>T1098</t>
        </is>
      </c>
      <c r="E541" s="276" t="inlineStr">
        <is>
          <t>Account Manipulation</t>
        </is>
      </c>
      <c r="F541" s="276" t="inlineStr">
        <is>
          <t>S3</t>
        </is>
      </c>
      <c r="G541" s="276" t="b">
        <v>1</v>
      </c>
      <c r="H541" s="276" t="b">
        <v>1</v>
      </c>
      <c r="I541" s="276" t="b">
        <v>1</v>
      </c>
      <c r="J541" s="276" t="n">
        <v>0.6</v>
      </c>
      <c r="K541" s="276" t="n">
        <v>0.2477547340393066</v>
      </c>
      <c r="L541" s="276" t="n">
        <v>0.2477547340393066</v>
      </c>
      <c r="M541" s="276" t="inlineStr">
        <is>
          <t>Identity Provider; SaaS; Windows</t>
        </is>
      </c>
      <c r="N541" s="276" t="inlineStr">
        <is>
          <t>https://attack.mitre.org/techniques/T1098/</t>
        </is>
      </c>
      <c r="O541" s="276" t="n"/>
      <c r="P541" s="277" t="n"/>
    </row>
    <row r="542">
      <c r="A542" s="275" t="inlineStr">
        <is>
          <t>Malicious insider</t>
        </is>
      </c>
      <c r="B542" s="276" t="inlineStr">
        <is>
          <t>Data or transaction-integrity compromise</t>
        </is>
      </c>
      <c r="C542" s="276" t="inlineStr">
        <is>
          <t>Third-party or software supply chain</t>
        </is>
      </c>
      <c r="D542" s="276" t="inlineStr">
        <is>
          <t>T1087</t>
        </is>
      </c>
      <c r="E542" s="276" t="inlineStr">
        <is>
          <t>Account Discovery</t>
        </is>
      </c>
      <c r="F542" s="276" t="inlineStr">
        <is>
          <t>S4</t>
        </is>
      </c>
      <c r="G542" s="276" t="b">
        <v>1</v>
      </c>
      <c r="H542" s="276" t="b">
        <v>1</v>
      </c>
      <c r="I542" s="276" t="b">
        <v>1</v>
      </c>
      <c r="J542" s="276" t="n">
        <v>0.5</v>
      </c>
      <c r="K542" s="276" t="n">
        <v>0</v>
      </c>
      <c r="L542" s="276" t="n">
        <v>0</v>
      </c>
      <c r="M542" s="276" t="inlineStr">
        <is>
          <t>Identity Provider; SaaS; Windows</t>
        </is>
      </c>
      <c r="N542" s="276" t="inlineStr">
        <is>
          <t>https://attack.mitre.org/techniques/T1087/</t>
        </is>
      </c>
      <c r="O542" s="276" t="n"/>
      <c r="P542" s="277" t="n"/>
    </row>
    <row r="543">
      <c r="A543" s="275" t="inlineStr">
        <is>
          <t>Malicious insider</t>
        </is>
      </c>
      <c r="B543" s="276" t="inlineStr">
        <is>
          <t>Data or transaction-integrity compromise</t>
        </is>
      </c>
      <c r="C543" s="276" t="inlineStr">
        <is>
          <t>Third-party or software supply chain</t>
        </is>
      </c>
      <c r="D543" s="276" t="inlineStr">
        <is>
          <t>T1213</t>
        </is>
      </c>
      <c r="E543" s="276" t="inlineStr">
        <is>
          <t>Data from Information Repositories</t>
        </is>
      </c>
      <c r="F543" s="276" t="inlineStr">
        <is>
          <t>S4</t>
        </is>
      </c>
      <c r="G543" s="276" t="b">
        <v>1</v>
      </c>
      <c r="H543" s="276" t="b">
        <v>1</v>
      </c>
      <c r="I543" s="276" t="b">
        <v>1</v>
      </c>
      <c r="J543" s="276" t="n">
        <v>0.7</v>
      </c>
      <c r="K543" s="276" t="n">
        <v>0.177890625</v>
      </c>
      <c r="L543" s="276" t="n">
        <v>0.177890625</v>
      </c>
      <c r="M543" s="276" t="inlineStr">
        <is>
          <t>SaaS; Office Suite; Windows</t>
        </is>
      </c>
      <c r="N543" s="276" t="inlineStr">
        <is>
          <t>https://attack.mitre.org/techniques/T1213/</t>
        </is>
      </c>
      <c r="O543" s="276" t="n"/>
      <c r="P543" s="277" t="n"/>
    </row>
    <row r="544">
      <c r="A544" s="275" t="inlineStr">
        <is>
          <t>Malicious insider</t>
        </is>
      </c>
      <c r="B544" s="276" t="inlineStr">
        <is>
          <t>Data or transaction-integrity compromise</t>
        </is>
      </c>
      <c r="C544" s="276" t="inlineStr">
        <is>
          <t>Third-party or software supply chain</t>
        </is>
      </c>
      <c r="D544" s="276" t="inlineStr">
        <is>
          <t>T1567</t>
        </is>
      </c>
      <c r="E544" s="276" t="inlineStr">
        <is>
          <t>Exfiltration Over Web Service</t>
        </is>
      </c>
      <c r="F544" s="276" t="inlineStr">
        <is>
          <t>S5</t>
        </is>
      </c>
      <c r="G544" s="276" t="b">
        <v>1</v>
      </c>
      <c r="H544" s="276" t="b">
        <v>0</v>
      </c>
      <c r="I544" s="276" t="b">
        <v>0</v>
      </c>
      <c r="J544" s="276" t="n">
        <v>0.6</v>
      </c>
      <c r="K544" s="276" t="n">
        <v>0.20625</v>
      </c>
      <c r="L544" s="276" t="n">
        <v>0.20625</v>
      </c>
      <c r="M544" s="276" t="inlineStr">
        <is>
          <t>SaaS; Office Suite</t>
        </is>
      </c>
      <c r="N544" s="276" t="inlineStr">
        <is>
          <t>https://attack.mitre.org/techniques/T1567/</t>
        </is>
      </c>
      <c r="O544" s="276" t="n"/>
      <c r="P544" s="277" t="n"/>
    </row>
    <row r="545">
      <c r="A545" s="275" t="inlineStr">
        <is>
          <t>Malicious insider</t>
        </is>
      </c>
      <c r="B545" s="276" t="inlineStr">
        <is>
          <t>Data or transaction-integrity compromise</t>
        </is>
      </c>
      <c r="C545" s="276" t="inlineStr">
        <is>
          <t>Third-party or software supply chain</t>
        </is>
      </c>
      <c r="D545" s="276" t="inlineStr">
        <is>
          <t>T1486</t>
        </is>
      </c>
      <c r="E545" s="276" t="inlineStr">
        <is>
          <t>Data Encrypted for Impact</t>
        </is>
      </c>
      <c r="F545" s="276" t="inlineStr">
        <is>
          <t>S5</t>
        </is>
      </c>
      <c r="G545" s="276" t="b">
        <v>1</v>
      </c>
      <c r="H545" s="276" t="b">
        <v>1</v>
      </c>
      <c r="I545" s="276" t="b">
        <v>1</v>
      </c>
      <c r="J545" s="276" t="n">
        <v>0.5</v>
      </c>
      <c r="K545" s="276" t="n">
        <v>0.16875</v>
      </c>
      <c r="L545" s="276" t="n">
        <v>0.16875</v>
      </c>
      <c r="M545" s="276" t="inlineStr">
        <is>
          <t>Windows; Linux; IaaS</t>
        </is>
      </c>
      <c r="N545" s="276" t="inlineStr">
        <is>
          <t>https://attack.mitre.org/techniques/T1486/</t>
        </is>
      </c>
      <c r="O545" s="276" t="n"/>
      <c r="P545" s="277" t="n"/>
    </row>
    <row r="546">
      <c r="A546" s="275" t="inlineStr">
        <is>
          <t>Malicious insider</t>
        </is>
      </c>
      <c r="B546" s="276" t="inlineStr">
        <is>
          <t>Data or transaction-integrity compromise</t>
        </is>
      </c>
      <c r="C546" s="276" t="inlineStr">
        <is>
          <t>Third-party or software supply chain</t>
        </is>
      </c>
      <c r="D546" s="276" t="inlineStr">
        <is>
          <t>T1565</t>
        </is>
      </c>
      <c r="E546" s="276" t="inlineStr">
        <is>
          <t>Data Manipulation</t>
        </is>
      </c>
      <c r="F546" s="276" t="inlineStr">
        <is>
          <t>S5</t>
        </is>
      </c>
      <c r="G546" s="276" t="b">
        <v>1</v>
      </c>
      <c r="H546" s="276" t="b">
        <v>1</v>
      </c>
      <c r="I546" s="276" t="b">
        <v>1</v>
      </c>
      <c r="J546" s="276" t="n">
        <v>0.6</v>
      </c>
      <c r="K546" s="276" t="n">
        <v>0.2206064987182617</v>
      </c>
      <c r="L546" s="276" t="n">
        <v>0.2206064987182617</v>
      </c>
      <c r="M546" s="276" t="inlineStr">
        <is>
          <t>SaaS; Databases; Windows</t>
        </is>
      </c>
      <c r="N546" s="276" t="inlineStr">
        <is>
          <t>https://attack.mitre.org/techniques/T1565/</t>
        </is>
      </c>
      <c r="O546" s="276" t="n"/>
      <c r="P546" s="277" t="n"/>
    </row>
    <row r="547">
      <c r="A547" s="275" t="inlineStr">
        <is>
          <t>Malicious insider</t>
        </is>
      </c>
      <c r="B547" s="276" t="inlineStr">
        <is>
          <t>Data or transaction-integrity compromise</t>
        </is>
      </c>
      <c r="C547" s="276" t="inlineStr">
        <is>
          <t>Third-party or software supply chain</t>
        </is>
      </c>
      <c r="D547" s="276" t="inlineStr">
        <is>
          <t>T1657</t>
        </is>
      </c>
      <c r="E547" s="276" t="inlineStr">
        <is>
          <t>Financial Theft</t>
        </is>
      </c>
      <c r="F547" s="276" t="inlineStr">
        <is>
          <t>S5</t>
        </is>
      </c>
      <c r="G547" s="276" t="b">
        <v>1</v>
      </c>
      <c r="H547" s="276" t="b">
        <v>0</v>
      </c>
      <c r="I547" s="276" t="b">
        <v>0</v>
      </c>
      <c r="J547" s="276" t="n">
        <v>0.5</v>
      </c>
      <c r="K547" s="276" t="n">
        <v>0.275654296875</v>
      </c>
      <c r="L547" s="276" t="n">
        <v>0.275654296875</v>
      </c>
      <c r="M547" s="276" t="inlineStr">
        <is>
          <t>SaaS; Office Suite; Identity Provider</t>
        </is>
      </c>
      <c r="N547" s="276" t="inlineStr">
        <is>
          <t>https://attack.mitre.org/techniques/T1657/</t>
        </is>
      </c>
      <c r="O547" s="276" t="n"/>
      <c r="P547" s="277" t="n"/>
    </row>
    <row r="548">
      <c r="A548" s="275" t="inlineStr">
        <is>
          <t>Malicious insider</t>
        </is>
      </c>
      <c r="B548" s="276" t="inlineStr">
        <is>
          <t>Data or transaction-integrity compromise</t>
        </is>
      </c>
      <c r="C548" s="276" t="inlineStr">
        <is>
          <t>Insider or trusted access</t>
        </is>
      </c>
      <c r="D548" s="276" t="inlineStr">
        <is>
          <t>T1098</t>
        </is>
      </c>
      <c r="E548" s="276" t="inlineStr">
        <is>
          <t>Account Manipulation</t>
        </is>
      </c>
      <c r="F548" s="276" t="inlineStr">
        <is>
          <t>S3</t>
        </is>
      </c>
      <c r="G548" s="276" t="b">
        <v>1</v>
      </c>
      <c r="H548" s="276" t="b">
        <v>1</v>
      </c>
      <c r="I548" s="276" t="b">
        <v>1</v>
      </c>
      <c r="J548" s="276" t="n">
        <v>0.8</v>
      </c>
      <c r="K548" s="276" t="n">
        <v>0.2477547340393066</v>
      </c>
      <c r="L548" s="276" t="n">
        <v>0.2477547340393066</v>
      </c>
      <c r="M548" s="276" t="inlineStr">
        <is>
          <t>Identity Provider; SaaS; Windows</t>
        </is>
      </c>
      <c r="N548" s="276" t="inlineStr">
        <is>
          <t>https://attack.mitre.org/techniques/T1098/</t>
        </is>
      </c>
      <c r="O548" s="276" t="n"/>
      <c r="P548" s="277" t="n"/>
    </row>
    <row r="549">
      <c r="A549" s="275" t="inlineStr">
        <is>
          <t>Malicious insider</t>
        </is>
      </c>
      <c r="B549" s="276" t="inlineStr">
        <is>
          <t>Data or transaction-integrity compromise</t>
        </is>
      </c>
      <c r="C549" s="276" t="inlineStr">
        <is>
          <t>Insider or trusted access</t>
        </is>
      </c>
      <c r="D549" s="276" t="inlineStr">
        <is>
          <t>T1087</t>
        </is>
      </c>
      <c r="E549" s="276" t="inlineStr">
        <is>
          <t>Account Discovery</t>
        </is>
      </c>
      <c r="F549" s="276" t="inlineStr">
        <is>
          <t>S4</t>
        </is>
      </c>
      <c r="G549" s="276" t="b">
        <v>1</v>
      </c>
      <c r="H549" s="276" t="b">
        <v>1</v>
      </c>
      <c r="I549" s="276" t="b">
        <v>1</v>
      </c>
      <c r="J549" s="276" t="n">
        <v>0.6</v>
      </c>
      <c r="K549" s="276" t="n">
        <v>0</v>
      </c>
      <c r="L549" s="276" t="n">
        <v>0</v>
      </c>
      <c r="M549" s="276" t="inlineStr">
        <is>
          <t>Identity Provider; SaaS; Windows</t>
        </is>
      </c>
      <c r="N549" s="276" t="inlineStr">
        <is>
          <t>https://attack.mitre.org/techniques/T1087/</t>
        </is>
      </c>
      <c r="O549" s="276" t="n"/>
      <c r="P549" s="277" t="n"/>
    </row>
    <row r="550">
      <c r="A550" s="275" t="inlineStr">
        <is>
          <t>Malicious insider</t>
        </is>
      </c>
      <c r="B550" s="276" t="inlineStr">
        <is>
          <t>Data or transaction-integrity compromise</t>
        </is>
      </c>
      <c r="C550" s="276" t="inlineStr">
        <is>
          <t>Insider or trusted access</t>
        </is>
      </c>
      <c r="D550" s="276" t="inlineStr">
        <is>
          <t>T1213</t>
        </is>
      </c>
      <c r="E550" s="276" t="inlineStr">
        <is>
          <t>Data from Information Repositories</t>
        </is>
      </c>
      <c r="F550" s="276" t="inlineStr">
        <is>
          <t>S4</t>
        </is>
      </c>
      <c r="G550" s="276" t="b">
        <v>1</v>
      </c>
      <c r="H550" s="276" t="b">
        <v>1</v>
      </c>
      <c r="I550" s="276" t="b">
        <v>1</v>
      </c>
      <c r="J550" s="276" t="n">
        <v>0.9</v>
      </c>
      <c r="K550" s="276" t="n">
        <v>0.177890625</v>
      </c>
      <c r="L550" s="276" t="n">
        <v>0.177890625</v>
      </c>
      <c r="M550" s="276" t="inlineStr">
        <is>
          <t>SaaS; Office Suite; Windows</t>
        </is>
      </c>
      <c r="N550" s="276" t="inlineStr">
        <is>
          <t>https://attack.mitre.org/techniques/T1213/</t>
        </is>
      </c>
      <c r="O550" s="276" t="n"/>
      <c r="P550" s="277" t="n"/>
    </row>
    <row r="551">
      <c r="A551" s="275" t="inlineStr">
        <is>
          <t>Malicious insider</t>
        </is>
      </c>
      <c r="B551" s="276" t="inlineStr">
        <is>
          <t>Data or transaction-integrity compromise</t>
        </is>
      </c>
      <c r="C551" s="276" t="inlineStr">
        <is>
          <t>Insider or trusted access</t>
        </is>
      </c>
      <c r="D551" s="276" t="inlineStr">
        <is>
          <t>T1567</t>
        </is>
      </c>
      <c r="E551" s="276" t="inlineStr">
        <is>
          <t>Exfiltration Over Web Service</t>
        </is>
      </c>
      <c r="F551" s="276" t="inlineStr">
        <is>
          <t>S5</t>
        </is>
      </c>
      <c r="G551" s="276" t="b">
        <v>1</v>
      </c>
      <c r="H551" s="276" t="b">
        <v>0</v>
      </c>
      <c r="I551" s="276" t="b">
        <v>0</v>
      </c>
      <c r="J551" s="276" t="n">
        <v>0.8</v>
      </c>
      <c r="K551" s="276" t="n">
        <v>0.20625</v>
      </c>
      <c r="L551" s="276" t="n">
        <v>0.20625</v>
      </c>
      <c r="M551" s="276" t="inlineStr">
        <is>
          <t>SaaS; Office Suite</t>
        </is>
      </c>
      <c r="N551" s="276" t="inlineStr">
        <is>
          <t>https://attack.mitre.org/techniques/T1567/</t>
        </is>
      </c>
      <c r="O551" s="276" t="n"/>
      <c r="P551" s="277" t="n"/>
    </row>
    <row r="552">
      <c r="A552" s="275" t="inlineStr">
        <is>
          <t>Malicious insider</t>
        </is>
      </c>
      <c r="B552" s="276" t="inlineStr">
        <is>
          <t>Data or transaction-integrity compromise</t>
        </is>
      </c>
      <c r="C552" s="276" t="inlineStr">
        <is>
          <t>Insider or trusted access</t>
        </is>
      </c>
      <c r="D552" s="276" t="inlineStr">
        <is>
          <t>T1565</t>
        </is>
      </c>
      <c r="E552" s="276" t="inlineStr">
        <is>
          <t>Data Manipulation</t>
        </is>
      </c>
      <c r="F552" s="276" t="inlineStr">
        <is>
          <t>S5</t>
        </is>
      </c>
      <c r="G552" s="276" t="b">
        <v>1</v>
      </c>
      <c r="H552" s="276" t="b">
        <v>1</v>
      </c>
      <c r="I552" s="276" t="b">
        <v>1</v>
      </c>
      <c r="J552" s="276" t="n">
        <v>0.9</v>
      </c>
      <c r="K552" s="276" t="n">
        <v>0.2206064987182617</v>
      </c>
      <c r="L552" s="276" t="n">
        <v>0.2206064987182617</v>
      </c>
      <c r="M552" s="276" t="inlineStr">
        <is>
          <t>SaaS; Databases; Windows</t>
        </is>
      </c>
      <c r="N552" s="276" t="inlineStr">
        <is>
          <t>https://attack.mitre.org/techniques/T1565/</t>
        </is>
      </c>
      <c r="O552" s="276" t="n"/>
      <c r="P552" s="277" t="n"/>
    </row>
    <row r="553">
      <c r="A553" s="275" t="inlineStr">
        <is>
          <t>Malicious insider</t>
        </is>
      </c>
      <c r="B553" s="276" t="inlineStr">
        <is>
          <t>Data or transaction-integrity compromise</t>
        </is>
      </c>
      <c r="C553" s="276" t="inlineStr">
        <is>
          <t>Insider or trusted access</t>
        </is>
      </c>
      <c r="D553" s="276" t="inlineStr">
        <is>
          <t>T1657</t>
        </is>
      </c>
      <c r="E553" s="276" t="inlineStr">
        <is>
          <t>Financial Theft</t>
        </is>
      </c>
      <c r="F553" s="276" t="inlineStr">
        <is>
          <t>S5</t>
        </is>
      </c>
      <c r="G553" s="276" t="b">
        <v>1</v>
      </c>
      <c r="H553" s="276" t="b">
        <v>0</v>
      </c>
      <c r="I553" s="276" t="b">
        <v>0</v>
      </c>
      <c r="J553" s="276" t="n">
        <v>0.9</v>
      </c>
      <c r="K553" s="276" t="n">
        <v>0.275654296875</v>
      </c>
      <c r="L553" s="276" t="n">
        <v>0.275654296875</v>
      </c>
      <c r="M553" s="276" t="inlineStr">
        <is>
          <t>SaaS; Office Suite; Identity Provider</t>
        </is>
      </c>
      <c r="N553" s="276" t="inlineStr">
        <is>
          <t>https://attack.mitre.org/techniques/T1657/</t>
        </is>
      </c>
      <c r="O553" s="276" t="n"/>
      <c r="P553" s="277" t="n"/>
    </row>
    <row r="554">
      <c r="A554" s="275" t="inlineStr">
        <is>
          <t>Malicious insider</t>
        </is>
      </c>
      <c r="B554" s="276" t="inlineStr">
        <is>
          <t>Cyber-enabled theft or fraud</t>
        </is>
      </c>
      <c r="C554" s="276" t="inlineStr">
        <is>
          <t>Identity and credential compromise</t>
        </is>
      </c>
      <c r="D554" s="276" t="inlineStr">
        <is>
          <t>T1566</t>
        </is>
      </c>
      <c r="E554" s="276" t="inlineStr">
        <is>
          <t>Phishing</t>
        </is>
      </c>
      <c r="F554" s="276" t="inlineStr">
        <is>
          <t>S1</t>
        </is>
      </c>
      <c r="G554" s="276" t="b">
        <v>1</v>
      </c>
      <c r="H554" s="276" t="b">
        <v>1</v>
      </c>
      <c r="I554" s="276" t="b">
        <v>1</v>
      </c>
      <c r="J554" s="276" t="n">
        <v>1</v>
      </c>
      <c r="K554" s="276" t="n">
        <v>0.20625</v>
      </c>
      <c r="L554" s="276" t="n">
        <v>0.20625</v>
      </c>
      <c r="M554" s="276" t="inlineStr">
        <is>
          <t>Windows; SaaS; Office Suite</t>
        </is>
      </c>
      <c r="N554" s="276" t="inlineStr">
        <is>
          <t>https://attack.mitre.org/techniques/T1566/</t>
        </is>
      </c>
      <c r="O554" s="276" t="n"/>
      <c r="P554" s="277" t="n"/>
    </row>
    <row r="555">
      <c r="A555" s="275" t="inlineStr">
        <is>
          <t>Malicious insider</t>
        </is>
      </c>
      <c r="B555" s="276" t="inlineStr">
        <is>
          <t>Cyber-enabled theft or fraud</t>
        </is>
      </c>
      <c r="C555" s="276" t="inlineStr">
        <is>
          <t>Identity and credential compromise</t>
        </is>
      </c>
      <c r="D555" s="276" t="inlineStr">
        <is>
          <t>T1078</t>
        </is>
      </c>
      <c r="E555" s="276" t="inlineStr">
        <is>
          <t>Valid Accounts</t>
        </is>
      </c>
      <c r="F555" s="276" t="inlineStr">
        <is>
          <t>S1</t>
        </is>
      </c>
      <c r="G555" s="276" t="b">
        <v>1</v>
      </c>
      <c r="H555" s="276" t="b">
        <v>1</v>
      </c>
      <c r="I555" s="276" t="b">
        <v>1</v>
      </c>
      <c r="J555" s="276" t="n">
        <v>1</v>
      </c>
      <c r="K555" s="276" t="n">
        <v>0.272109375</v>
      </c>
      <c r="L555" s="276" t="n">
        <v>0.272109375</v>
      </c>
      <c r="M555" s="276" t="inlineStr">
        <is>
          <t>Identity Provider; SaaS; IaaS; Windows</t>
        </is>
      </c>
      <c r="N555" s="276" t="inlineStr">
        <is>
          <t>https://attack.mitre.org/techniques/T1078/</t>
        </is>
      </c>
      <c r="O555" s="276" t="n"/>
      <c r="P555" s="277" t="n"/>
    </row>
    <row r="556">
      <c r="A556" s="275" t="inlineStr">
        <is>
          <t>Malicious insider</t>
        </is>
      </c>
      <c r="B556" s="276" t="inlineStr">
        <is>
          <t>Cyber-enabled theft or fraud</t>
        </is>
      </c>
      <c r="C556" s="276" t="inlineStr">
        <is>
          <t>Identity and credential compromise</t>
        </is>
      </c>
      <c r="D556" s="276" t="inlineStr">
        <is>
          <t>T1110</t>
        </is>
      </c>
      <c r="E556" s="276" t="inlineStr">
        <is>
          <t>Brute Force</t>
        </is>
      </c>
      <c r="F556" s="276" t="inlineStr">
        <is>
          <t>S1</t>
        </is>
      </c>
      <c r="G556" s="276" t="b">
        <v>0</v>
      </c>
      <c r="H556" s="276" t="b">
        <v>1</v>
      </c>
      <c r="I556" s="276" t="b">
        <v>0</v>
      </c>
      <c r="J556" s="276" t="n">
        <v>0.7</v>
      </c>
      <c r="K556" s="276" t="n">
        <v>0.24375</v>
      </c>
      <c r="L556" s="276" t="n">
        <v>0.24375</v>
      </c>
      <c r="M556" s="276" t="inlineStr">
        <is>
          <t>Identity Provider; SaaS; Windows</t>
        </is>
      </c>
      <c r="N556" s="276" t="inlineStr">
        <is>
          <t>https://attack.mitre.org/techniques/T1110/</t>
        </is>
      </c>
      <c r="O556" s="276" t="n"/>
      <c r="P556" s="277" t="n"/>
    </row>
    <row r="557">
      <c r="A557" s="275" t="inlineStr">
        <is>
          <t>Malicious insider</t>
        </is>
      </c>
      <c r="B557" s="276" t="inlineStr">
        <is>
          <t>Cyber-enabled theft or fraud</t>
        </is>
      </c>
      <c r="C557" s="276" t="inlineStr">
        <is>
          <t>Identity and credential compromise</t>
        </is>
      </c>
      <c r="D557" s="276" t="inlineStr">
        <is>
          <t>T1098</t>
        </is>
      </c>
      <c r="E557" s="276" t="inlineStr">
        <is>
          <t>Account Manipulation</t>
        </is>
      </c>
      <c r="F557" s="276" t="inlineStr">
        <is>
          <t>S3</t>
        </is>
      </c>
      <c r="G557" s="276" t="b">
        <v>1</v>
      </c>
      <c r="H557" s="276" t="b">
        <v>1</v>
      </c>
      <c r="I557" s="276" t="b">
        <v>1</v>
      </c>
      <c r="J557" s="276" t="n">
        <v>0.7</v>
      </c>
      <c r="K557" s="276" t="n">
        <v>0.2477547340393066</v>
      </c>
      <c r="L557" s="276" t="n">
        <v>0.2477547340393066</v>
      </c>
      <c r="M557" s="276" t="inlineStr">
        <is>
          <t>Identity Provider; SaaS; Windows</t>
        </is>
      </c>
      <c r="N557" s="276" t="inlineStr">
        <is>
          <t>https://attack.mitre.org/techniques/T1098/</t>
        </is>
      </c>
      <c r="O557" s="276" t="n"/>
      <c r="P557" s="277" t="n"/>
    </row>
    <row r="558">
      <c r="A558" s="275" t="inlineStr">
        <is>
          <t>Malicious insider</t>
        </is>
      </c>
      <c r="B558" s="276" t="inlineStr">
        <is>
          <t>Cyber-enabled theft or fraud</t>
        </is>
      </c>
      <c r="C558" s="276" t="inlineStr">
        <is>
          <t>Identity and credential compromise</t>
        </is>
      </c>
      <c r="D558" s="276" t="inlineStr">
        <is>
          <t>T1567</t>
        </is>
      </c>
      <c r="E558" s="276" t="inlineStr">
        <is>
          <t>Exfiltration Over Web Service</t>
        </is>
      </c>
      <c r="F558" s="276" t="inlineStr">
        <is>
          <t>S5</t>
        </is>
      </c>
      <c r="G558" s="276" t="b">
        <v>1</v>
      </c>
      <c r="H558" s="276" t="b">
        <v>0</v>
      </c>
      <c r="I558" s="276" t="b">
        <v>0</v>
      </c>
      <c r="J558" s="276" t="n">
        <v>0.7</v>
      </c>
      <c r="K558" s="276" t="n">
        <v>0.20625</v>
      </c>
      <c r="L558" s="276" t="n">
        <v>0.20625</v>
      </c>
      <c r="M558" s="276" t="inlineStr">
        <is>
          <t>SaaS; Office Suite</t>
        </is>
      </c>
      <c r="N558" s="276" t="inlineStr">
        <is>
          <t>https://attack.mitre.org/techniques/T1567/</t>
        </is>
      </c>
      <c r="O558" s="276" t="n"/>
      <c r="P558" s="277" t="n"/>
    </row>
    <row r="559">
      <c r="A559" s="275" t="inlineStr">
        <is>
          <t>Malicious insider</t>
        </is>
      </c>
      <c r="B559" s="276" t="inlineStr">
        <is>
          <t>Cyber-enabled theft or fraud</t>
        </is>
      </c>
      <c r="C559" s="276" t="inlineStr">
        <is>
          <t>Identity and credential compromise</t>
        </is>
      </c>
      <c r="D559" s="276" t="inlineStr">
        <is>
          <t>T1657</t>
        </is>
      </c>
      <c r="E559" s="276" t="inlineStr">
        <is>
          <t>Financial Theft</t>
        </is>
      </c>
      <c r="F559" s="276" t="inlineStr">
        <is>
          <t>S5</t>
        </is>
      </c>
      <c r="G559" s="276" t="b">
        <v>1</v>
      </c>
      <c r="H559" s="276" t="b">
        <v>1</v>
      </c>
      <c r="I559" s="276" t="b">
        <v>1</v>
      </c>
      <c r="J559" s="276" t="n">
        <v>0.8</v>
      </c>
      <c r="K559" s="276" t="n">
        <v>0.275654296875</v>
      </c>
      <c r="L559" s="276" t="n">
        <v>0.275654296875</v>
      </c>
      <c r="M559" s="276" t="inlineStr">
        <is>
          <t>SaaS; Office Suite; Identity Provider</t>
        </is>
      </c>
      <c r="N559" s="276" t="inlineStr">
        <is>
          <t>https://attack.mitre.org/techniques/T1657/</t>
        </is>
      </c>
      <c r="O559" s="276" t="n"/>
      <c r="P559" s="277" t="n"/>
    </row>
    <row r="560">
      <c r="A560" s="275" t="inlineStr">
        <is>
          <t>Malicious insider</t>
        </is>
      </c>
      <c r="B560" s="276" t="inlineStr">
        <is>
          <t>Cyber-enabled theft or fraud</t>
        </is>
      </c>
      <c r="C560" s="276" t="inlineStr">
        <is>
          <t>Identity and credential compromise</t>
        </is>
      </c>
      <c r="D560" s="276" t="inlineStr">
        <is>
          <t>T1565</t>
        </is>
      </c>
      <c r="E560" s="276" t="inlineStr">
        <is>
          <t>Data Manipulation</t>
        </is>
      </c>
      <c r="F560" s="276" t="inlineStr">
        <is>
          <t>S5</t>
        </is>
      </c>
      <c r="G560" s="276" t="b">
        <v>1</v>
      </c>
      <c r="H560" s="276" t="b">
        <v>1</v>
      </c>
      <c r="I560" s="276" t="b">
        <v>1</v>
      </c>
      <c r="J560" s="276" t="n">
        <v>0.5</v>
      </c>
      <c r="K560" s="276" t="n">
        <v>0.2206064987182617</v>
      </c>
      <c r="L560" s="276" t="n">
        <v>0.2206064987182617</v>
      </c>
      <c r="M560" s="276" t="inlineStr">
        <is>
          <t>SaaS; Databases; Windows</t>
        </is>
      </c>
      <c r="N560" s="276" t="inlineStr">
        <is>
          <t>https://attack.mitre.org/techniques/T1565/</t>
        </is>
      </c>
      <c r="O560" s="276" t="n"/>
      <c r="P560" s="277" t="n"/>
    </row>
    <row r="561">
      <c r="A561" s="275" t="inlineStr">
        <is>
          <t>Malicious insider</t>
        </is>
      </c>
      <c r="B561" s="276" t="inlineStr">
        <is>
          <t>Cyber-enabled theft or fraud</t>
        </is>
      </c>
      <c r="C561" s="276" t="inlineStr">
        <is>
          <t>Identity and credential compromise</t>
        </is>
      </c>
      <c r="D561" s="276" t="inlineStr">
        <is>
          <t>T1486</t>
        </is>
      </c>
      <c r="E561" s="276" t="inlineStr">
        <is>
          <t>Data Encrypted for Impact</t>
        </is>
      </c>
      <c r="F561" s="276" t="inlineStr">
        <is>
          <t>S5</t>
        </is>
      </c>
      <c r="G561" s="276" t="b">
        <v>1</v>
      </c>
      <c r="H561" s="276" t="b">
        <v>0</v>
      </c>
      <c r="I561" s="276" t="b">
        <v>0</v>
      </c>
      <c r="J561" s="276" t="n">
        <v>0.7</v>
      </c>
      <c r="K561" s="276" t="n">
        <v>0.16875</v>
      </c>
      <c r="L561" s="276" t="n">
        <v>0.16875</v>
      </c>
      <c r="M561" s="276" t="inlineStr">
        <is>
          <t>Windows; Linux; IaaS</t>
        </is>
      </c>
      <c r="N561" s="276" t="inlineStr">
        <is>
          <t>https://attack.mitre.org/techniques/T1486/</t>
        </is>
      </c>
      <c r="O561" s="276" t="n"/>
      <c r="P561" s="277" t="n"/>
    </row>
    <row r="562">
      <c r="A562" s="275" t="inlineStr">
        <is>
          <t>Malicious insider</t>
        </is>
      </c>
      <c r="B562" s="276" t="inlineStr">
        <is>
          <t>Cyber-enabled theft or fraud</t>
        </is>
      </c>
      <c r="C562" s="276" t="inlineStr">
        <is>
          <t>Identity and credential compromise</t>
        </is>
      </c>
      <c r="D562" s="276" t="inlineStr">
        <is>
          <t>T1490</t>
        </is>
      </c>
      <c r="E562" s="276" t="inlineStr">
        <is>
          <t>Inhibit System Recovery</t>
        </is>
      </c>
      <c r="F562" s="276" t="inlineStr">
        <is>
          <t>S5</t>
        </is>
      </c>
      <c r="G562" s="276" t="b">
        <v>1</v>
      </c>
      <c r="H562" s="276" t="b">
        <v>0</v>
      </c>
      <c r="I562" s="276" t="b">
        <v>0</v>
      </c>
      <c r="J562" s="276" t="n">
        <v>0.6</v>
      </c>
      <c r="K562" s="276" t="n">
        <v>0</v>
      </c>
      <c r="L562" s="276" t="n">
        <v>0</v>
      </c>
      <c r="M562" s="276" t="inlineStr">
        <is>
          <t>Windows; Linux; IaaS</t>
        </is>
      </c>
      <c r="N562" s="276" t="inlineStr">
        <is>
          <t>https://attack.mitre.org/techniques/T1490/</t>
        </is>
      </c>
      <c r="O562" s="276" t="n"/>
      <c r="P562" s="277" t="n"/>
    </row>
    <row r="563">
      <c r="A563" s="275" t="inlineStr">
        <is>
          <t>Malicious insider</t>
        </is>
      </c>
      <c r="B563" s="276" t="inlineStr">
        <is>
          <t>Cyber-enabled theft or fraud</t>
        </is>
      </c>
      <c r="C563" s="276" t="inlineStr">
        <is>
          <t>User endpoint and social engineering</t>
        </is>
      </c>
      <c r="D563" s="276" t="inlineStr">
        <is>
          <t>T1566</t>
        </is>
      </c>
      <c r="E563" s="276" t="inlineStr">
        <is>
          <t>Phishing</t>
        </is>
      </c>
      <c r="F563" s="276" t="inlineStr">
        <is>
          <t>S1</t>
        </is>
      </c>
      <c r="G563" s="276" t="b">
        <v>1</v>
      </c>
      <c r="H563" s="276" t="b">
        <v>1</v>
      </c>
      <c r="I563" s="276" t="b">
        <v>1</v>
      </c>
      <c r="J563" s="276" t="n">
        <v>1</v>
      </c>
      <c r="K563" s="276" t="n">
        <v>0.20625</v>
      </c>
      <c r="L563" s="276" t="n">
        <v>0.20625</v>
      </c>
      <c r="M563" s="276" t="inlineStr">
        <is>
          <t>Windows; SaaS; Office Suite</t>
        </is>
      </c>
      <c r="N563" s="276" t="inlineStr">
        <is>
          <t>https://attack.mitre.org/techniques/T1566/</t>
        </is>
      </c>
      <c r="O563" s="276" t="n"/>
      <c r="P563" s="277" t="n"/>
    </row>
    <row r="564">
      <c r="A564" s="275" t="inlineStr">
        <is>
          <t>Malicious insider</t>
        </is>
      </c>
      <c r="B564" s="276" t="inlineStr">
        <is>
          <t>Cyber-enabled theft or fraud</t>
        </is>
      </c>
      <c r="C564" s="276" t="inlineStr">
        <is>
          <t>User endpoint and social engineering</t>
        </is>
      </c>
      <c r="D564" s="276" t="inlineStr">
        <is>
          <t>T1203</t>
        </is>
      </c>
      <c r="E564" s="276" t="inlineStr">
        <is>
          <t>Exploitation for Client Execution</t>
        </is>
      </c>
      <c r="F564" s="276" t="inlineStr">
        <is>
          <t>S2</t>
        </is>
      </c>
      <c r="G564" s="276" t="b">
        <v>0</v>
      </c>
      <c r="H564" s="276" t="b">
        <v>1</v>
      </c>
      <c r="I564" s="276" t="b">
        <v>0</v>
      </c>
      <c r="J564" s="276" t="n">
        <v>0.8</v>
      </c>
      <c r="K564" s="276" t="n">
        <v>0.2404920959472656</v>
      </c>
      <c r="L564" s="276" t="n">
        <v>0.2404920959472656</v>
      </c>
      <c r="M564" s="276" t="inlineStr">
        <is>
          <t>Windows; macOS; Linux</t>
        </is>
      </c>
      <c r="N564" s="276" t="inlineStr">
        <is>
          <t>https://attack.mitre.org/techniques/T1203/</t>
        </is>
      </c>
      <c r="O564" s="276" t="n"/>
      <c r="P564" s="277" t="n"/>
    </row>
    <row r="565">
      <c r="A565" s="275" t="inlineStr">
        <is>
          <t>Malicious insider</t>
        </is>
      </c>
      <c r="B565" s="276" t="inlineStr">
        <is>
          <t>Cyber-enabled theft or fraud</t>
        </is>
      </c>
      <c r="C565" s="276" t="inlineStr">
        <is>
          <t>User endpoint and social engineering</t>
        </is>
      </c>
      <c r="D565" s="276" t="inlineStr">
        <is>
          <t>T1059</t>
        </is>
      </c>
      <c r="E565" s="276" t="inlineStr">
        <is>
          <t>Command and Scripting Interpreter</t>
        </is>
      </c>
      <c r="F565" s="276" t="inlineStr">
        <is>
          <t>S2</t>
        </is>
      </c>
      <c r="G565" s="276" t="b">
        <v>1</v>
      </c>
      <c r="H565" s="276" t="b">
        <v>1</v>
      </c>
      <c r="I565" s="276" t="b">
        <v>1</v>
      </c>
      <c r="J565" s="276" t="n">
        <v>0.9</v>
      </c>
      <c r="K565" s="276" t="n">
        <v>0.1875</v>
      </c>
      <c r="L565" s="276" t="n">
        <v>0.1875</v>
      </c>
      <c r="M565" s="276" t="inlineStr">
        <is>
          <t>Windows; macOS; Linux; IaaS</t>
        </is>
      </c>
      <c r="N565" s="276" t="inlineStr">
        <is>
          <t>https://attack.mitre.org/techniques/T1059/</t>
        </is>
      </c>
      <c r="O565" s="276" t="n"/>
      <c r="P565" s="277" t="n"/>
    </row>
    <row r="566">
      <c r="A566" s="275" t="inlineStr">
        <is>
          <t>Malicious insider</t>
        </is>
      </c>
      <c r="B566" s="276" t="inlineStr">
        <is>
          <t>Cyber-enabled theft or fraud</t>
        </is>
      </c>
      <c r="C566" s="276" t="inlineStr">
        <is>
          <t>User endpoint and social engineering</t>
        </is>
      </c>
      <c r="D566" s="276" t="inlineStr">
        <is>
          <t>T1486</t>
        </is>
      </c>
      <c r="E566" s="276" t="inlineStr">
        <is>
          <t>Data Encrypted for Impact</t>
        </is>
      </c>
      <c r="F566" s="276" t="inlineStr">
        <is>
          <t>S5</t>
        </is>
      </c>
      <c r="G566" s="276" t="b">
        <v>1</v>
      </c>
      <c r="H566" s="276" t="b">
        <v>0</v>
      </c>
      <c r="I566" s="276" t="b">
        <v>0</v>
      </c>
      <c r="J566" s="276" t="n">
        <v>0.8</v>
      </c>
      <c r="K566" s="276" t="n">
        <v>0.16875</v>
      </c>
      <c r="L566" s="276" t="n">
        <v>0.16875</v>
      </c>
      <c r="M566" s="276" t="inlineStr">
        <is>
          <t>Windows; Linux; IaaS</t>
        </is>
      </c>
      <c r="N566" s="276" t="inlineStr">
        <is>
          <t>https://attack.mitre.org/techniques/T1486/</t>
        </is>
      </c>
      <c r="O566" s="276" t="n"/>
      <c r="P566" s="277" t="n"/>
    </row>
    <row r="567">
      <c r="A567" s="275" t="inlineStr">
        <is>
          <t>Malicious insider</t>
        </is>
      </c>
      <c r="B567" s="276" t="inlineStr">
        <is>
          <t>Cyber-enabled theft or fraud</t>
        </is>
      </c>
      <c r="C567" s="276" t="inlineStr">
        <is>
          <t>User endpoint and social engineering</t>
        </is>
      </c>
      <c r="D567" s="276" t="inlineStr">
        <is>
          <t>T1490</t>
        </is>
      </c>
      <c r="E567" s="276" t="inlineStr">
        <is>
          <t>Inhibit System Recovery</t>
        </is>
      </c>
      <c r="F567" s="276" t="inlineStr">
        <is>
          <t>S5</t>
        </is>
      </c>
      <c r="G567" s="276" t="b">
        <v>1</v>
      </c>
      <c r="H567" s="276" t="b">
        <v>0</v>
      </c>
      <c r="I567" s="276" t="b">
        <v>0</v>
      </c>
      <c r="J567" s="276" t="n">
        <v>0.7</v>
      </c>
      <c r="K567" s="276" t="n">
        <v>0</v>
      </c>
      <c r="L567" s="276" t="n">
        <v>0</v>
      </c>
      <c r="M567" s="276" t="inlineStr">
        <is>
          <t>Windows; Linux; IaaS</t>
        </is>
      </c>
      <c r="N567" s="276" t="inlineStr">
        <is>
          <t>https://attack.mitre.org/techniques/T1490/</t>
        </is>
      </c>
      <c r="O567" s="276" t="n"/>
      <c r="P567" s="277" t="n"/>
    </row>
    <row r="568">
      <c r="A568" s="275" t="inlineStr">
        <is>
          <t>Malicious insider</t>
        </is>
      </c>
      <c r="B568" s="276" t="inlineStr">
        <is>
          <t>Cyber-enabled theft or fraud</t>
        </is>
      </c>
      <c r="C568" s="276" t="inlineStr">
        <is>
          <t>User endpoint and social engineering</t>
        </is>
      </c>
      <c r="D568" s="276" t="inlineStr">
        <is>
          <t>T1567</t>
        </is>
      </c>
      <c r="E568" s="276" t="inlineStr">
        <is>
          <t>Exfiltration Over Web Service</t>
        </is>
      </c>
      <c r="F568" s="276" t="inlineStr">
        <is>
          <t>S5</t>
        </is>
      </c>
      <c r="G568" s="276" t="b">
        <v>1</v>
      </c>
      <c r="H568" s="276" t="b">
        <v>0</v>
      </c>
      <c r="I568" s="276" t="b">
        <v>0</v>
      </c>
      <c r="J568" s="276" t="n">
        <v>0.7</v>
      </c>
      <c r="K568" s="276" t="n">
        <v>0.20625</v>
      </c>
      <c r="L568" s="276" t="n">
        <v>0.20625</v>
      </c>
      <c r="M568" s="276" t="inlineStr">
        <is>
          <t>SaaS; Office Suite</t>
        </is>
      </c>
      <c r="N568" s="276" t="inlineStr">
        <is>
          <t>https://attack.mitre.org/techniques/T1567/</t>
        </is>
      </c>
      <c r="O568" s="276" t="n"/>
      <c r="P568" s="277" t="n"/>
    </row>
    <row r="569">
      <c r="A569" s="275" t="inlineStr">
        <is>
          <t>Malicious insider</t>
        </is>
      </c>
      <c r="B569" s="276" t="inlineStr">
        <is>
          <t>Cyber-enabled theft or fraud</t>
        </is>
      </c>
      <c r="C569" s="276" t="inlineStr">
        <is>
          <t>User endpoint and social engineering</t>
        </is>
      </c>
      <c r="D569" s="276" t="inlineStr">
        <is>
          <t>T1657</t>
        </is>
      </c>
      <c r="E569" s="276" t="inlineStr">
        <is>
          <t>Financial Theft</t>
        </is>
      </c>
      <c r="F569" s="276" t="inlineStr">
        <is>
          <t>S5</t>
        </is>
      </c>
      <c r="G569" s="276" t="b">
        <v>1</v>
      </c>
      <c r="H569" s="276" t="b">
        <v>1</v>
      </c>
      <c r="I569" s="276" t="b">
        <v>1</v>
      </c>
      <c r="J569" s="276" t="n">
        <v>0.5</v>
      </c>
      <c r="K569" s="276" t="n">
        <v>0.275654296875</v>
      </c>
      <c r="L569" s="276" t="n">
        <v>0.275654296875</v>
      </c>
      <c r="M569" s="276" t="inlineStr">
        <is>
          <t>SaaS; Office Suite; Identity Provider</t>
        </is>
      </c>
      <c r="N569" s="276" t="inlineStr">
        <is>
          <t>https://attack.mitre.org/techniques/T1657/</t>
        </is>
      </c>
      <c r="O569" s="276" t="n"/>
      <c r="P569" s="277" t="n"/>
    </row>
    <row r="570">
      <c r="A570" s="275" t="inlineStr">
        <is>
          <t>Malicious insider</t>
        </is>
      </c>
      <c r="B570" s="276" t="inlineStr">
        <is>
          <t>Cyber-enabled theft or fraud</t>
        </is>
      </c>
      <c r="C570" s="276" t="inlineStr">
        <is>
          <t>User endpoint and social engineering</t>
        </is>
      </c>
      <c r="D570" s="276" t="inlineStr">
        <is>
          <t>T1565</t>
        </is>
      </c>
      <c r="E570" s="276" t="inlineStr">
        <is>
          <t>Data Manipulation</t>
        </is>
      </c>
      <c r="F570" s="276" t="inlineStr">
        <is>
          <t>S5</t>
        </is>
      </c>
      <c r="G570" s="276" t="b">
        <v>1</v>
      </c>
      <c r="H570" s="276" t="b">
        <v>1</v>
      </c>
      <c r="I570" s="276" t="b">
        <v>1</v>
      </c>
      <c r="J570" s="276" t="n">
        <v>0.5</v>
      </c>
      <c r="K570" s="276" t="n">
        <v>0.2206064987182617</v>
      </c>
      <c r="L570" s="276" t="n">
        <v>0.2206064987182617</v>
      </c>
      <c r="M570" s="276" t="inlineStr">
        <is>
          <t>SaaS; Databases; Windows</t>
        </is>
      </c>
      <c r="N570" s="276" t="inlineStr">
        <is>
          <t>https://attack.mitre.org/techniques/T1565/</t>
        </is>
      </c>
      <c r="O570" s="276" t="n"/>
      <c r="P570" s="277" t="n"/>
    </row>
    <row r="571">
      <c r="A571" s="275" t="inlineStr">
        <is>
          <t>Malicious insider</t>
        </is>
      </c>
      <c r="B571" s="276" t="inlineStr">
        <is>
          <t>Cyber-enabled theft or fraud</t>
        </is>
      </c>
      <c r="C571" s="276" t="inlineStr">
        <is>
          <t>Public-facing application exploitation</t>
        </is>
      </c>
      <c r="D571" s="276" t="inlineStr">
        <is>
          <t>T1190</t>
        </is>
      </c>
      <c r="E571" s="276" t="inlineStr">
        <is>
          <t>Exploit Public-Facing Application</t>
        </is>
      </c>
      <c r="F571" s="276" t="inlineStr">
        <is>
          <t>S1</t>
        </is>
      </c>
      <c r="G571" s="276" t="b">
        <v>0</v>
      </c>
      <c r="H571" s="276" t="b">
        <v>1</v>
      </c>
      <c r="I571" s="276" t="b">
        <v>0</v>
      </c>
      <c r="J571" s="276" t="n">
        <v>1</v>
      </c>
      <c r="K571" s="276" t="n">
        <v>0.2496630477905274</v>
      </c>
      <c r="L571" s="276" t="n">
        <v>0.2496630477905274</v>
      </c>
      <c r="M571" s="276" t="inlineStr">
        <is>
          <t>Network Devices; SaaS; IaaS</t>
        </is>
      </c>
      <c r="N571" s="276" t="inlineStr">
        <is>
          <t>https://attack.mitre.org/techniques/T1190/</t>
        </is>
      </c>
      <c r="O571" s="276" t="n"/>
      <c r="P571" s="277" t="n"/>
    </row>
    <row r="572">
      <c r="A572" s="275" t="inlineStr">
        <is>
          <t>Malicious insider</t>
        </is>
      </c>
      <c r="B572" s="276" t="inlineStr">
        <is>
          <t>Cyber-enabled theft or fraud</t>
        </is>
      </c>
      <c r="C572" s="276" t="inlineStr">
        <is>
          <t>Public-facing application exploitation</t>
        </is>
      </c>
      <c r="D572" s="276" t="inlineStr">
        <is>
          <t>T1059</t>
        </is>
      </c>
      <c r="E572" s="276" t="inlineStr">
        <is>
          <t>Command and Scripting Interpreter</t>
        </is>
      </c>
      <c r="F572" s="276" t="inlineStr">
        <is>
          <t>S2</t>
        </is>
      </c>
      <c r="G572" s="276" t="b">
        <v>1</v>
      </c>
      <c r="H572" s="276" t="b">
        <v>1</v>
      </c>
      <c r="I572" s="276" t="b">
        <v>1</v>
      </c>
      <c r="J572" s="276" t="n">
        <v>0.8</v>
      </c>
      <c r="K572" s="276" t="n">
        <v>0.1875</v>
      </c>
      <c r="L572" s="276" t="n">
        <v>0.1875</v>
      </c>
      <c r="M572" s="276" t="inlineStr">
        <is>
          <t>Windows; macOS; Linux; IaaS</t>
        </is>
      </c>
      <c r="N572" s="276" t="inlineStr">
        <is>
          <t>https://attack.mitre.org/techniques/T1059/</t>
        </is>
      </c>
      <c r="O572" s="276" t="n"/>
      <c r="P572" s="277" t="n"/>
    </row>
    <row r="573">
      <c r="A573" s="275" t="inlineStr">
        <is>
          <t>Malicious insider</t>
        </is>
      </c>
      <c r="B573" s="276" t="inlineStr">
        <is>
          <t>Cyber-enabled theft or fraud</t>
        </is>
      </c>
      <c r="C573" s="276" t="inlineStr">
        <is>
          <t>Public-facing application exploitation</t>
        </is>
      </c>
      <c r="D573" s="276" t="inlineStr">
        <is>
          <t>T1068</t>
        </is>
      </c>
      <c r="E573" s="276" t="inlineStr">
        <is>
          <t>Exploitation for Privilege Escalation</t>
        </is>
      </c>
      <c r="F573" s="276" t="inlineStr">
        <is>
          <t>S3</t>
        </is>
      </c>
      <c r="G573" s="276" t="b">
        <v>1</v>
      </c>
      <c r="H573" s="276" t="b">
        <v>1</v>
      </c>
      <c r="I573" s="276" t="b">
        <v>1</v>
      </c>
      <c r="J573" s="276" t="n">
        <v>0.7</v>
      </c>
      <c r="K573" s="276" t="n">
        <v>0.2094165115356445</v>
      </c>
      <c r="L573" s="276" t="n">
        <v>0.2094165115356445</v>
      </c>
      <c r="M573" s="276" t="inlineStr">
        <is>
          <t>Windows; macOS; Linux</t>
        </is>
      </c>
      <c r="N573" s="276" t="inlineStr">
        <is>
          <t>https://attack.mitre.org/techniques/T1068/</t>
        </is>
      </c>
      <c r="O573" s="276" t="n"/>
      <c r="P573" s="277" t="n"/>
    </row>
    <row r="574">
      <c r="A574" s="275" t="inlineStr">
        <is>
          <t>Malicious insider</t>
        </is>
      </c>
      <c r="B574" s="276" t="inlineStr">
        <is>
          <t>Cyber-enabled theft or fraud</t>
        </is>
      </c>
      <c r="C574" s="276" t="inlineStr">
        <is>
          <t>Public-facing application exploitation</t>
        </is>
      </c>
      <c r="D574" s="276" t="inlineStr">
        <is>
          <t>T1003</t>
        </is>
      </c>
      <c r="E574" s="276" t="inlineStr">
        <is>
          <t>OS Credential Dumping</t>
        </is>
      </c>
      <c r="F574" s="276" t="inlineStr">
        <is>
          <t>S3</t>
        </is>
      </c>
      <c r="G574" s="276" t="b">
        <v>1</v>
      </c>
      <c r="H574" s="276" t="b">
        <v>1</v>
      </c>
      <c r="I574" s="276" t="b">
        <v>1</v>
      </c>
      <c r="J574" s="276" t="n">
        <v>0.6</v>
      </c>
      <c r="K574" s="276" t="n">
        <v>0.232294921875</v>
      </c>
      <c r="L574" s="276" t="n">
        <v>0.232294921875</v>
      </c>
      <c r="M574" s="276" t="inlineStr">
        <is>
          <t>Windows; Linux; macOS</t>
        </is>
      </c>
      <c r="N574" s="276" t="inlineStr">
        <is>
          <t>https://attack.mitre.org/techniques/T1003/</t>
        </is>
      </c>
      <c r="O574" s="276" t="n"/>
      <c r="P574" s="277" t="n"/>
    </row>
    <row r="575">
      <c r="A575" s="275" t="inlineStr">
        <is>
          <t>Malicious insider</t>
        </is>
      </c>
      <c r="B575" s="276" t="inlineStr">
        <is>
          <t>Cyber-enabled theft or fraud</t>
        </is>
      </c>
      <c r="C575" s="276" t="inlineStr">
        <is>
          <t>Public-facing application exploitation</t>
        </is>
      </c>
      <c r="D575" s="276" t="inlineStr">
        <is>
          <t>T1046</t>
        </is>
      </c>
      <c r="E575" s="276" t="inlineStr">
        <is>
          <t>Network Service Discovery</t>
        </is>
      </c>
      <c r="F575" s="276" t="inlineStr">
        <is>
          <t>S4</t>
        </is>
      </c>
      <c r="G575" s="276" t="b">
        <v>1</v>
      </c>
      <c r="H575" s="276" t="b">
        <v>1</v>
      </c>
      <c r="I575" s="276" t="b">
        <v>1</v>
      </c>
      <c r="J575" s="276" t="n">
        <v>0.7</v>
      </c>
      <c r="K575" s="276" t="n">
        <v>0.16875</v>
      </c>
      <c r="L575" s="276" t="n">
        <v>0.16875</v>
      </c>
      <c r="M575" s="276" t="inlineStr">
        <is>
          <t>Network Devices; Windows; Linux</t>
        </is>
      </c>
      <c r="N575" s="276" t="inlineStr">
        <is>
          <t>https://attack.mitre.org/techniques/T1046/</t>
        </is>
      </c>
      <c r="O575" s="276" t="n"/>
      <c r="P575" s="277" t="n"/>
    </row>
    <row r="576">
      <c r="A576" s="275" t="inlineStr">
        <is>
          <t>Malicious insider</t>
        </is>
      </c>
      <c r="B576" s="276" t="inlineStr">
        <is>
          <t>Cyber-enabled theft or fraud</t>
        </is>
      </c>
      <c r="C576" s="276" t="inlineStr">
        <is>
          <t>Public-facing application exploitation</t>
        </is>
      </c>
      <c r="D576" s="276" t="inlineStr">
        <is>
          <t>T1210</t>
        </is>
      </c>
      <c r="E576" s="276" t="inlineStr">
        <is>
          <t>Exploitation of Remote Services</t>
        </is>
      </c>
      <c r="F576" s="276" t="inlineStr">
        <is>
          <t>S4</t>
        </is>
      </c>
      <c r="G576" s="276" t="b">
        <v>1</v>
      </c>
      <c r="H576" s="276" t="b">
        <v>1</v>
      </c>
      <c r="I576" s="276" t="b">
        <v>1</v>
      </c>
      <c r="J576" s="276" t="n">
        <v>0.9</v>
      </c>
      <c r="K576" s="276" t="n">
        <v>0.2103495368957519</v>
      </c>
      <c r="L576" s="276" t="n">
        <v>0.2103495368957519</v>
      </c>
      <c r="M576" s="276" t="inlineStr">
        <is>
          <t>Windows; Linux; Network Devices</t>
        </is>
      </c>
      <c r="N576" s="276" t="inlineStr">
        <is>
          <t>https://attack.mitre.org/techniques/T1210/</t>
        </is>
      </c>
      <c r="O576" s="276" t="n"/>
      <c r="P576" s="277" t="n"/>
    </row>
    <row r="577">
      <c r="A577" s="275" t="inlineStr">
        <is>
          <t>Malicious insider</t>
        </is>
      </c>
      <c r="B577" s="276" t="inlineStr">
        <is>
          <t>Cyber-enabled theft or fraud</t>
        </is>
      </c>
      <c r="C577" s="276" t="inlineStr">
        <is>
          <t>Public-facing application exploitation</t>
        </is>
      </c>
      <c r="D577" s="276" t="inlineStr">
        <is>
          <t>T1021</t>
        </is>
      </c>
      <c r="E577" s="276" t="inlineStr">
        <is>
          <t>Remote Services</t>
        </is>
      </c>
      <c r="F577" s="276" t="inlineStr">
        <is>
          <t>S4</t>
        </is>
      </c>
      <c r="G577" s="276" t="b">
        <v>1</v>
      </c>
      <c r="H577" s="276" t="b">
        <v>1</v>
      </c>
      <c r="I577" s="276" t="b">
        <v>1</v>
      </c>
      <c r="J577" s="276" t="n">
        <v>0.7</v>
      </c>
      <c r="K577" s="276" t="n">
        <v>0.1875</v>
      </c>
      <c r="L577" s="276" t="n">
        <v>0.1875</v>
      </c>
      <c r="M577" s="276" t="inlineStr">
        <is>
          <t>Windows; Linux; Network Devices</t>
        </is>
      </c>
      <c r="N577" s="276" t="inlineStr">
        <is>
          <t>https://attack.mitre.org/techniques/T1021/</t>
        </is>
      </c>
      <c r="O577" s="276" t="n"/>
      <c r="P577" s="277" t="n"/>
    </row>
    <row r="578">
      <c r="A578" s="275" t="inlineStr">
        <is>
          <t>Malicious insider</t>
        </is>
      </c>
      <c r="B578" s="276" t="inlineStr">
        <is>
          <t>Cyber-enabled theft or fraud</t>
        </is>
      </c>
      <c r="C578" s="276" t="inlineStr">
        <is>
          <t>Public-facing application exploitation</t>
        </is>
      </c>
      <c r="D578" s="276" t="inlineStr">
        <is>
          <t>T1486</t>
        </is>
      </c>
      <c r="E578" s="276" t="inlineStr">
        <is>
          <t>Data Encrypted for Impact</t>
        </is>
      </c>
      <c r="F578" s="276" t="inlineStr">
        <is>
          <t>S5</t>
        </is>
      </c>
      <c r="G578" s="276" t="b">
        <v>1</v>
      </c>
      <c r="H578" s="276" t="b">
        <v>0</v>
      </c>
      <c r="I578" s="276" t="b">
        <v>0</v>
      </c>
      <c r="J578" s="276" t="n">
        <v>0.6</v>
      </c>
      <c r="K578" s="276" t="n">
        <v>0.16875</v>
      </c>
      <c r="L578" s="276" t="n">
        <v>0.16875</v>
      </c>
      <c r="M578" s="276" t="inlineStr">
        <is>
          <t>Windows; Linux; IaaS</t>
        </is>
      </c>
      <c r="N578" s="276" t="inlineStr">
        <is>
          <t>https://attack.mitre.org/techniques/T1486/</t>
        </is>
      </c>
      <c r="O578" s="276" t="n"/>
      <c r="P578" s="277" t="n"/>
    </row>
    <row r="579">
      <c r="A579" s="275" t="inlineStr">
        <is>
          <t>Malicious insider</t>
        </is>
      </c>
      <c r="B579" s="276" t="inlineStr">
        <is>
          <t>Cyber-enabled theft or fraud</t>
        </is>
      </c>
      <c r="C579" s="276" t="inlineStr">
        <is>
          <t>Public-facing application exploitation</t>
        </is>
      </c>
      <c r="D579" s="276" t="inlineStr">
        <is>
          <t>T1490</t>
        </is>
      </c>
      <c r="E579" s="276" t="inlineStr">
        <is>
          <t>Inhibit System Recovery</t>
        </is>
      </c>
      <c r="F579" s="276" t="inlineStr">
        <is>
          <t>S5</t>
        </is>
      </c>
      <c r="G579" s="276" t="b">
        <v>1</v>
      </c>
      <c r="H579" s="276" t="b">
        <v>0</v>
      </c>
      <c r="I579" s="276" t="b">
        <v>0</v>
      </c>
      <c r="J579" s="276" t="n">
        <v>0.5</v>
      </c>
      <c r="K579" s="276" t="n">
        <v>0</v>
      </c>
      <c r="L579" s="276" t="n">
        <v>0</v>
      </c>
      <c r="M579" s="276" t="inlineStr">
        <is>
          <t>Windows; Linux; IaaS</t>
        </is>
      </c>
      <c r="N579" s="276" t="inlineStr">
        <is>
          <t>https://attack.mitre.org/techniques/T1490/</t>
        </is>
      </c>
      <c r="O579" s="276" t="n"/>
      <c r="P579" s="277" t="n"/>
    </row>
    <row r="580">
      <c r="A580" s="275" t="inlineStr">
        <is>
          <t>Malicious insider</t>
        </is>
      </c>
      <c r="B580" s="276" t="inlineStr">
        <is>
          <t>Cyber-enabled theft or fraud</t>
        </is>
      </c>
      <c r="C580" s="276" t="inlineStr">
        <is>
          <t>Public-facing application exploitation</t>
        </is>
      </c>
      <c r="D580" s="276" t="inlineStr">
        <is>
          <t>T1567</t>
        </is>
      </c>
      <c r="E580" s="276" t="inlineStr">
        <is>
          <t>Exfiltration Over Web Service</t>
        </is>
      </c>
      <c r="F580" s="276" t="inlineStr">
        <is>
          <t>S5</t>
        </is>
      </c>
      <c r="G580" s="276" t="b">
        <v>1</v>
      </c>
      <c r="H580" s="276" t="b">
        <v>0</v>
      </c>
      <c r="I580" s="276" t="b">
        <v>0</v>
      </c>
      <c r="J580" s="276" t="n">
        <v>0.6</v>
      </c>
      <c r="K580" s="276" t="n">
        <v>0.20625</v>
      </c>
      <c r="L580" s="276" t="n">
        <v>0.20625</v>
      </c>
      <c r="M580" s="276" t="inlineStr">
        <is>
          <t>SaaS; Office Suite</t>
        </is>
      </c>
      <c r="N580" s="276" t="inlineStr">
        <is>
          <t>https://attack.mitre.org/techniques/T1567/</t>
        </is>
      </c>
      <c r="O580" s="276" t="n"/>
      <c r="P580" s="277" t="n"/>
    </row>
    <row r="581">
      <c r="A581" s="275" t="inlineStr">
        <is>
          <t>Malicious insider</t>
        </is>
      </c>
      <c r="B581" s="276" t="inlineStr">
        <is>
          <t>Cyber-enabled theft or fraud</t>
        </is>
      </c>
      <c r="C581" s="276" t="inlineStr">
        <is>
          <t>Public-facing application exploitation</t>
        </is>
      </c>
      <c r="D581" s="276" t="inlineStr">
        <is>
          <t>T1565</t>
        </is>
      </c>
      <c r="E581" s="276" t="inlineStr">
        <is>
          <t>Data Manipulation</t>
        </is>
      </c>
      <c r="F581" s="276" t="inlineStr">
        <is>
          <t>S5</t>
        </is>
      </c>
      <c r="G581" s="276" t="b">
        <v>1</v>
      </c>
      <c r="H581" s="276" t="b">
        <v>1</v>
      </c>
      <c r="I581" s="276" t="b">
        <v>1</v>
      </c>
      <c r="J581" s="276" t="n">
        <v>0.6</v>
      </c>
      <c r="K581" s="276" t="n">
        <v>0.2206064987182617</v>
      </c>
      <c r="L581" s="276" t="n">
        <v>0.2206064987182617</v>
      </c>
      <c r="M581" s="276" t="inlineStr">
        <is>
          <t>SaaS; Databases; Windows</t>
        </is>
      </c>
      <c r="N581" s="276" t="inlineStr">
        <is>
          <t>https://attack.mitre.org/techniques/T1565/</t>
        </is>
      </c>
      <c r="O581" s="276" t="n"/>
      <c r="P581" s="277" t="n"/>
    </row>
    <row r="582">
      <c r="A582" s="275" t="inlineStr">
        <is>
          <t>Malicious insider</t>
        </is>
      </c>
      <c r="B582" s="276" t="inlineStr">
        <is>
          <t>Cyber-enabled theft or fraud</t>
        </is>
      </c>
      <c r="C582" s="276" t="inlineStr">
        <is>
          <t>Public-facing application exploitation</t>
        </is>
      </c>
      <c r="D582" s="276" t="inlineStr">
        <is>
          <t>T1657</t>
        </is>
      </c>
      <c r="E582" s="276" t="inlineStr">
        <is>
          <t>Financial Theft</t>
        </is>
      </c>
      <c r="F582" s="276" t="inlineStr">
        <is>
          <t>S5</t>
        </is>
      </c>
      <c r="G582" s="276" t="b">
        <v>1</v>
      </c>
      <c r="H582" s="276" t="b">
        <v>1</v>
      </c>
      <c r="I582" s="276" t="b">
        <v>1</v>
      </c>
      <c r="J582" s="276" t="n">
        <v>0.4</v>
      </c>
      <c r="K582" s="276" t="n">
        <v>0.275654296875</v>
      </c>
      <c r="L582" s="276" t="n">
        <v>0.275654296875</v>
      </c>
      <c r="M582" s="276" t="inlineStr">
        <is>
          <t>SaaS; Office Suite; Identity Provider</t>
        </is>
      </c>
      <c r="N582" s="276" t="inlineStr">
        <is>
          <t>https://attack.mitre.org/techniques/T1657/</t>
        </is>
      </c>
      <c r="O582" s="276" t="n"/>
      <c r="P582" s="277" t="n"/>
    </row>
    <row r="583">
      <c r="A583" s="275" t="inlineStr">
        <is>
          <t>Malicious insider</t>
        </is>
      </c>
      <c r="B583" s="276" t="inlineStr">
        <is>
          <t>Cyber-enabled theft or fraud</t>
        </is>
      </c>
      <c r="C583" s="276" t="inlineStr">
        <is>
          <t>Third-party or software supply chain</t>
        </is>
      </c>
      <c r="D583" s="276" t="inlineStr">
        <is>
          <t>T1199</t>
        </is>
      </c>
      <c r="E583" s="276" t="inlineStr">
        <is>
          <t>Trusted Relationship</t>
        </is>
      </c>
      <c r="F583" s="276" t="inlineStr">
        <is>
          <t>S3</t>
        </is>
      </c>
      <c r="G583" s="276" t="b">
        <v>1</v>
      </c>
      <c r="H583" s="276" t="b">
        <v>1</v>
      </c>
      <c r="I583" s="276" t="b">
        <v>1</v>
      </c>
      <c r="J583" s="276" t="n">
        <v>1</v>
      </c>
      <c r="K583" s="276" t="n">
        <v>0.20625</v>
      </c>
      <c r="L583" s="276" t="n">
        <v>0.20625</v>
      </c>
      <c r="M583" s="276" t="inlineStr">
        <is>
          <t>SaaS; IaaS; Network Devices</t>
        </is>
      </c>
      <c r="N583" s="276" t="inlineStr">
        <is>
          <t>https://attack.mitre.org/techniques/T1199/</t>
        </is>
      </c>
      <c r="O583" s="276" t="n"/>
      <c r="P583" s="277" t="n"/>
    </row>
    <row r="584">
      <c r="A584" s="275" t="inlineStr">
        <is>
          <t>Malicious insider</t>
        </is>
      </c>
      <c r="B584" s="276" t="inlineStr">
        <is>
          <t>Cyber-enabled theft or fraud</t>
        </is>
      </c>
      <c r="C584" s="276" t="inlineStr">
        <is>
          <t>Third-party or software supply chain</t>
        </is>
      </c>
      <c r="D584" s="276" t="inlineStr">
        <is>
          <t>T1098</t>
        </is>
      </c>
      <c r="E584" s="276" t="inlineStr">
        <is>
          <t>Account Manipulation</t>
        </is>
      </c>
      <c r="F584" s="276" t="inlineStr">
        <is>
          <t>S3</t>
        </is>
      </c>
      <c r="G584" s="276" t="b">
        <v>1</v>
      </c>
      <c r="H584" s="276" t="b">
        <v>1</v>
      </c>
      <c r="I584" s="276" t="b">
        <v>1</v>
      </c>
      <c r="J584" s="276" t="n">
        <v>0.6</v>
      </c>
      <c r="K584" s="276" t="n">
        <v>0.2477547340393066</v>
      </c>
      <c r="L584" s="276" t="n">
        <v>0.2477547340393066</v>
      </c>
      <c r="M584" s="276" t="inlineStr">
        <is>
          <t>Identity Provider; SaaS; Windows</t>
        </is>
      </c>
      <c r="N584" s="276" t="inlineStr">
        <is>
          <t>https://attack.mitre.org/techniques/T1098/</t>
        </is>
      </c>
      <c r="O584" s="276" t="n"/>
      <c r="P584" s="277" t="n"/>
    </row>
    <row r="585">
      <c r="A585" s="275" t="inlineStr">
        <is>
          <t>Malicious insider</t>
        </is>
      </c>
      <c r="B585" s="276" t="inlineStr">
        <is>
          <t>Cyber-enabled theft or fraud</t>
        </is>
      </c>
      <c r="C585" s="276" t="inlineStr">
        <is>
          <t>Third-party or software supply chain</t>
        </is>
      </c>
      <c r="D585" s="276" t="inlineStr">
        <is>
          <t>T1087</t>
        </is>
      </c>
      <c r="E585" s="276" t="inlineStr">
        <is>
          <t>Account Discovery</t>
        </is>
      </c>
      <c r="F585" s="276" t="inlineStr">
        <is>
          <t>S4</t>
        </is>
      </c>
      <c r="G585" s="276" t="b">
        <v>1</v>
      </c>
      <c r="H585" s="276" t="b">
        <v>1</v>
      </c>
      <c r="I585" s="276" t="b">
        <v>1</v>
      </c>
      <c r="J585" s="276" t="n">
        <v>0.5</v>
      </c>
      <c r="K585" s="276" t="n">
        <v>0</v>
      </c>
      <c r="L585" s="276" t="n">
        <v>0</v>
      </c>
      <c r="M585" s="276" t="inlineStr">
        <is>
          <t>Identity Provider; SaaS; Windows</t>
        </is>
      </c>
      <c r="N585" s="276" t="inlineStr">
        <is>
          <t>https://attack.mitre.org/techniques/T1087/</t>
        </is>
      </c>
      <c r="O585" s="276" t="n"/>
      <c r="P585" s="277" t="n"/>
    </row>
    <row r="586">
      <c r="A586" s="275" t="inlineStr">
        <is>
          <t>Malicious insider</t>
        </is>
      </c>
      <c r="B586" s="276" t="inlineStr">
        <is>
          <t>Cyber-enabled theft or fraud</t>
        </is>
      </c>
      <c r="C586" s="276" t="inlineStr">
        <is>
          <t>Third-party or software supply chain</t>
        </is>
      </c>
      <c r="D586" s="276" t="inlineStr">
        <is>
          <t>T1213</t>
        </is>
      </c>
      <c r="E586" s="276" t="inlineStr">
        <is>
          <t>Data from Information Repositories</t>
        </is>
      </c>
      <c r="F586" s="276" t="inlineStr">
        <is>
          <t>S4</t>
        </is>
      </c>
      <c r="G586" s="276" t="b">
        <v>1</v>
      </c>
      <c r="H586" s="276" t="b">
        <v>1</v>
      </c>
      <c r="I586" s="276" t="b">
        <v>1</v>
      </c>
      <c r="J586" s="276" t="n">
        <v>0.7</v>
      </c>
      <c r="K586" s="276" t="n">
        <v>0.177890625</v>
      </c>
      <c r="L586" s="276" t="n">
        <v>0.177890625</v>
      </c>
      <c r="M586" s="276" t="inlineStr">
        <is>
          <t>SaaS; Office Suite; Windows</t>
        </is>
      </c>
      <c r="N586" s="276" t="inlineStr">
        <is>
          <t>https://attack.mitre.org/techniques/T1213/</t>
        </is>
      </c>
      <c r="O586" s="276" t="n"/>
      <c r="P586" s="277" t="n"/>
    </row>
    <row r="587">
      <c r="A587" s="275" t="inlineStr">
        <is>
          <t>Malicious insider</t>
        </is>
      </c>
      <c r="B587" s="276" t="inlineStr">
        <is>
          <t>Cyber-enabled theft or fraud</t>
        </is>
      </c>
      <c r="C587" s="276" t="inlineStr">
        <is>
          <t>Third-party or software supply chain</t>
        </is>
      </c>
      <c r="D587" s="276" t="inlineStr">
        <is>
          <t>T1567</t>
        </is>
      </c>
      <c r="E587" s="276" t="inlineStr">
        <is>
          <t>Exfiltration Over Web Service</t>
        </is>
      </c>
      <c r="F587" s="276" t="inlineStr">
        <is>
          <t>S5</t>
        </is>
      </c>
      <c r="G587" s="276" t="b">
        <v>1</v>
      </c>
      <c r="H587" s="276" t="b">
        <v>0</v>
      </c>
      <c r="I587" s="276" t="b">
        <v>0</v>
      </c>
      <c r="J587" s="276" t="n">
        <v>0.6</v>
      </c>
      <c r="K587" s="276" t="n">
        <v>0.20625</v>
      </c>
      <c r="L587" s="276" t="n">
        <v>0.20625</v>
      </c>
      <c r="M587" s="276" t="inlineStr">
        <is>
          <t>SaaS; Office Suite</t>
        </is>
      </c>
      <c r="N587" s="276" t="inlineStr">
        <is>
          <t>https://attack.mitre.org/techniques/T1567/</t>
        </is>
      </c>
      <c r="O587" s="276" t="n"/>
      <c r="P587" s="277" t="n"/>
    </row>
    <row r="588">
      <c r="A588" s="275" t="inlineStr">
        <is>
          <t>Malicious insider</t>
        </is>
      </c>
      <c r="B588" s="276" t="inlineStr">
        <is>
          <t>Cyber-enabled theft or fraud</t>
        </is>
      </c>
      <c r="C588" s="276" t="inlineStr">
        <is>
          <t>Third-party or software supply chain</t>
        </is>
      </c>
      <c r="D588" s="276" t="inlineStr">
        <is>
          <t>T1486</t>
        </is>
      </c>
      <c r="E588" s="276" t="inlineStr">
        <is>
          <t>Data Encrypted for Impact</t>
        </is>
      </c>
      <c r="F588" s="276" t="inlineStr">
        <is>
          <t>S5</t>
        </is>
      </c>
      <c r="G588" s="276" t="b">
        <v>1</v>
      </c>
      <c r="H588" s="276" t="b">
        <v>0</v>
      </c>
      <c r="I588" s="276" t="b">
        <v>0</v>
      </c>
      <c r="J588" s="276" t="n">
        <v>0.5</v>
      </c>
      <c r="K588" s="276" t="n">
        <v>0.16875</v>
      </c>
      <c r="L588" s="276" t="n">
        <v>0.16875</v>
      </c>
      <c r="M588" s="276" t="inlineStr">
        <is>
          <t>Windows; Linux; IaaS</t>
        </is>
      </c>
      <c r="N588" s="276" t="inlineStr">
        <is>
          <t>https://attack.mitre.org/techniques/T1486/</t>
        </is>
      </c>
      <c r="O588" s="276" t="n"/>
      <c r="P588" s="277" t="n"/>
    </row>
    <row r="589">
      <c r="A589" s="275" t="inlineStr">
        <is>
          <t>Malicious insider</t>
        </is>
      </c>
      <c r="B589" s="276" t="inlineStr">
        <is>
          <t>Cyber-enabled theft or fraud</t>
        </is>
      </c>
      <c r="C589" s="276" t="inlineStr">
        <is>
          <t>Third-party or software supply chain</t>
        </is>
      </c>
      <c r="D589" s="276" t="inlineStr">
        <is>
          <t>T1565</t>
        </is>
      </c>
      <c r="E589" s="276" t="inlineStr">
        <is>
          <t>Data Manipulation</t>
        </is>
      </c>
      <c r="F589" s="276" t="inlineStr">
        <is>
          <t>S5</t>
        </is>
      </c>
      <c r="G589" s="276" t="b">
        <v>1</v>
      </c>
      <c r="H589" s="276" t="b">
        <v>1</v>
      </c>
      <c r="I589" s="276" t="b">
        <v>1</v>
      </c>
      <c r="J589" s="276" t="n">
        <v>0.6</v>
      </c>
      <c r="K589" s="276" t="n">
        <v>0.2206064987182617</v>
      </c>
      <c r="L589" s="276" t="n">
        <v>0.2206064987182617</v>
      </c>
      <c r="M589" s="276" t="inlineStr">
        <is>
          <t>SaaS; Databases; Windows</t>
        </is>
      </c>
      <c r="N589" s="276" t="inlineStr">
        <is>
          <t>https://attack.mitre.org/techniques/T1565/</t>
        </is>
      </c>
      <c r="O589" s="276" t="n"/>
      <c r="P589" s="277" t="n"/>
    </row>
    <row r="590">
      <c r="A590" s="275" t="inlineStr">
        <is>
          <t>Malicious insider</t>
        </is>
      </c>
      <c r="B590" s="276" t="inlineStr">
        <is>
          <t>Cyber-enabled theft or fraud</t>
        </is>
      </c>
      <c r="C590" s="276" t="inlineStr">
        <is>
          <t>Third-party or software supply chain</t>
        </is>
      </c>
      <c r="D590" s="276" t="inlineStr">
        <is>
          <t>T1657</t>
        </is>
      </c>
      <c r="E590" s="276" t="inlineStr">
        <is>
          <t>Financial Theft</t>
        </is>
      </c>
      <c r="F590" s="276" t="inlineStr">
        <is>
          <t>S5</t>
        </is>
      </c>
      <c r="G590" s="276" t="b">
        <v>1</v>
      </c>
      <c r="H590" s="276" t="b">
        <v>1</v>
      </c>
      <c r="I590" s="276" t="b">
        <v>1</v>
      </c>
      <c r="J590" s="276" t="n">
        <v>0.5</v>
      </c>
      <c r="K590" s="276" t="n">
        <v>0.275654296875</v>
      </c>
      <c r="L590" s="276" t="n">
        <v>0.275654296875</v>
      </c>
      <c r="M590" s="276" t="inlineStr">
        <is>
          <t>SaaS; Office Suite; Identity Provider</t>
        </is>
      </c>
      <c r="N590" s="276" t="inlineStr">
        <is>
          <t>https://attack.mitre.org/techniques/T1657/</t>
        </is>
      </c>
      <c r="O590" s="276" t="n"/>
      <c r="P590" s="277" t="n"/>
    </row>
    <row r="591">
      <c r="A591" s="275" t="inlineStr">
        <is>
          <t>Malicious insider</t>
        </is>
      </c>
      <c r="B591" s="276" t="inlineStr">
        <is>
          <t>Cyber-enabled theft or fraud</t>
        </is>
      </c>
      <c r="C591" s="276" t="inlineStr">
        <is>
          <t>Insider or trusted access</t>
        </is>
      </c>
      <c r="D591" s="276" t="inlineStr">
        <is>
          <t>T1098</t>
        </is>
      </c>
      <c r="E591" s="276" t="inlineStr">
        <is>
          <t>Account Manipulation</t>
        </is>
      </c>
      <c r="F591" s="276" t="inlineStr">
        <is>
          <t>S3</t>
        </is>
      </c>
      <c r="G591" s="276" t="b">
        <v>1</v>
      </c>
      <c r="H591" s="276" t="b">
        <v>1</v>
      </c>
      <c r="I591" s="276" t="b">
        <v>1</v>
      </c>
      <c r="J591" s="276" t="n">
        <v>0.8</v>
      </c>
      <c r="K591" s="276" t="n">
        <v>0.2477547340393066</v>
      </c>
      <c r="L591" s="276" t="n">
        <v>0.2477547340393066</v>
      </c>
      <c r="M591" s="276" t="inlineStr">
        <is>
          <t>Identity Provider; SaaS; Windows</t>
        </is>
      </c>
      <c r="N591" s="276" t="inlineStr">
        <is>
          <t>https://attack.mitre.org/techniques/T1098/</t>
        </is>
      </c>
      <c r="O591" s="276" t="n"/>
      <c r="P591" s="277" t="n"/>
    </row>
    <row r="592">
      <c r="A592" s="275" t="inlineStr">
        <is>
          <t>Malicious insider</t>
        </is>
      </c>
      <c r="B592" s="276" t="inlineStr">
        <is>
          <t>Cyber-enabled theft or fraud</t>
        </is>
      </c>
      <c r="C592" s="276" t="inlineStr">
        <is>
          <t>Insider or trusted access</t>
        </is>
      </c>
      <c r="D592" s="276" t="inlineStr">
        <is>
          <t>T1567</t>
        </is>
      </c>
      <c r="E592" s="276" t="inlineStr">
        <is>
          <t>Exfiltration Over Web Service</t>
        </is>
      </c>
      <c r="F592" s="276" t="inlineStr">
        <is>
          <t>S5</t>
        </is>
      </c>
      <c r="G592" s="276" t="b">
        <v>1</v>
      </c>
      <c r="H592" s="276" t="b">
        <v>0</v>
      </c>
      <c r="I592" s="276" t="b">
        <v>0</v>
      </c>
      <c r="J592" s="276" t="n">
        <v>0.8</v>
      </c>
      <c r="K592" s="276" t="n">
        <v>0.20625</v>
      </c>
      <c r="L592" s="276" t="n">
        <v>0.20625</v>
      </c>
      <c r="M592" s="276" t="inlineStr">
        <is>
          <t>SaaS; Office Suite</t>
        </is>
      </c>
      <c r="N592" s="276" t="inlineStr">
        <is>
          <t>https://attack.mitre.org/techniques/T1567/</t>
        </is>
      </c>
      <c r="O592" s="276" t="n"/>
      <c r="P592" s="277" t="n"/>
    </row>
    <row r="593">
      <c r="A593" s="275" t="inlineStr">
        <is>
          <t>Malicious insider</t>
        </is>
      </c>
      <c r="B593" s="276" t="inlineStr">
        <is>
          <t>Cyber-enabled theft or fraud</t>
        </is>
      </c>
      <c r="C593" s="276" t="inlineStr">
        <is>
          <t>Insider or trusted access</t>
        </is>
      </c>
      <c r="D593" s="276" t="inlineStr">
        <is>
          <t>T1565</t>
        </is>
      </c>
      <c r="E593" s="276" t="inlineStr">
        <is>
          <t>Data Manipulation</t>
        </is>
      </c>
      <c r="F593" s="276" t="inlineStr">
        <is>
          <t>S5</t>
        </is>
      </c>
      <c r="G593" s="276" t="b">
        <v>1</v>
      </c>
      <c r="H593" s="276" t="b">
        <v>1</v>
      </c>
      <c r="I593" s="276" t="b">
        <v>1</v>
      </c>
      <c r="J593" s="276" t="n">
        <v>0.9</v>
      </c>
      <c r="K593" s="276" t="n">
        <v>0.2206064987182617</v>
      </c>
      <c r="L593" s="276" t="n">
        <v>0.2206064987182617</v>
      </c>
      <c r="M593" s="276" t="inlineStr">
        <is>
          <t>SaaS; Databases; Windows</t>
        </is>
      </c>
      <c r="N593" s="276" t="inlineStr">
        <is>
          <t>https://attack.mitre.org/techniques/T1565/</t>
        </is>
      </c>
      <c r="O593" s="276" t="n"/>
      <c r="P593" s="277" t="n"/>
    </row>
    <row r="594">
      <c r="A594" s="275" t="inlineStr">
        <is>
          <t>Malicious insider</t>
        </is>
      </c>
      <c r="B594" s="276" t="inlineStr">
        <is>
          <t>Cyber-enabled theft or fraud</t>
        </is>
      </c>
      <c r="C594" s="276" t="inlineStr">
        <is>
          <t>Insider or trusted access</t>
        </is>
      </c>
      <c r="D594" s="276" t="inlineStr">
        <is>
          <t>T1657</t>
        </is>
      </c>
      <c r="E594" s="276" t="inlineStr">
        <is>
          <t>Financial Theft</t>
        </is>
      </c>
      <c r="F594" s="276" t="inlineStr">
        <is>
          <t>S5</t>
        </is>
      </c>
      <c r="G594" s="276" t="b">
        <v>1</v>
      </c>
      <c r="H594" s="276" t="b">
        <v>1</v>
      </c>
      <c r="I594" s="276" t="b">
        <v>1</v>
      </c>
      <c r="J594" s="276" t="n">
        <v>0.9</v>
      </c>
      <c r="K594" s="276" t="n">
        <v>0.275654296875</v>
      </c>
      <c r="L594" s="276" t="n">
        <v>0.275654296875</v>
      </c>
      <c r="M594" s="276" t="inlineStr">
        <is>
          <t>SaaS; Office Suite; Identity Provider</t>
        </is>
      </c>
      <c r="N594" s="276" t="inlineStr">
        <is>
          <t>https://attack.mitre.org/techniques/T1657/</t>
        </is>
      </c>
      <c r="O594" s="276" t="n"/>
      <c r="P594" s="277" t="n"/>
    </row>
    <row r="595">
      <c r="A595" s="275" t="inlineStr">
        <is>
          <t>Hacktivist</t>
        </is>
      </c>
      <c r="B595" s="276" t="inlineStr">
        <is>
          <t>Critical business-service disruption</t>
        </is>
      </c>
      <c r="C595" s="276" t="inlineStr">
        <is>
          <t>Identity and credential compromise</t>
        </is>
      </c>
      <c r="D595" s="276" t="inlineStr">
        <is>
          <t>T1566</t>
        </is>
      </c>
      <c r="E595" s="276" t="inlineStr">
        <is>
          <t>Phishing</t>
        </is>
      </c>
      <c r="F595" s="276" t="inlineStr">
        <is>
          <t>S1</t>
        </is>
      </c>
      <c r="G595" s="276" t="b">
        <v>1</v>
      </c>
      <c r="H595" s="276" t="b">
        <v>1</v>
      </c>
      <c r="I595" s="276" t="b">
        <v>1</v>
      </c>
      <c r="J595" s="276" t="n">
        <v>1</v>
      </c>
      <c r="K595" s="276" t="n">
        <v>0.20625</v>
      </c>
      <c r="L595" s="276" t="n">
        <v>0.20625</v>
      </c>
      <c r="M595" s="276" t="inlineStr">
        <is>
          <t>Windows; SaaS; Office Suite</t>
        </is>
      </c>
      <c r="N595" s="276" t="inlineStr">
        <is>
          <t>https://attack.mitre.org/techniques/T1566/</t>
        </is>
      </c>
      <c r="O595" s="276" t="n"/>
      <c r="P595" s="277" t="n"/>
    </row>
    <row r="596">
      <c r="A596" s="275" t="inlineStr">
        <is>
          <t>Hacktivist</t>
        </is>
      </c>
      <c r="B596" s="276" t="inlineStr">
        <is>
          <t>Critical business-service disruption</t>
        </is>
      </c>
      <c r="C596" s="276" t="inlineStr">
        <is>
          <t>Identity and credential compromise</t>
        </is>
      </c>
      <c r="D596" s="276" t="inlineStr">
        <is>
          <t>T1078</t>
        </is>
      </c>
      <c r="E596" s="276" t="inlineStr">
        <is>
          <t>Valid Accounts</t>
        </is>
      </c>
      <c r="F596" s="276" t="inlineStr">
        <is>
          <t>S1</t>
        </is>
      </c>
      <c r="G596" s="276" t="b">
        <v>1</v>
      </c>
      <c r="H596" s="276" t="b">
        <v>1</v>
      </c>
      <c r="I596" s="276" t="b">
        <v>1</v>
      </c>
      <c r="J596" s="276" t="n">
        <v>1</v>
      </c>
      <c r="K596" s="276" t="n">
        <v>0.272109375</v>
      </c>
      <c r="L596" s="276" t="n">
        <v>0.272109375</v>
      </c>
      <c r="M596" s="276" t="inlineStr">
        <is>
          <t>Identity Provider; SaaS; IaaS; Windows</t>
        </is>
      </c>
      <c r="N596" s="276" t="inlineStr">
        <is>
          <t>https://attack.mitre.org/techniques/T1078/</t>
        </is>
      </c>
      <c r="O596" s="276" t="n"/>
      <c r="P596" s="277" t="n"/>
    </row>
    <row r="597">
      <c r="A597" s="275" t="inlineStr">
        <is>
          <t>Hacktivist</t>
        </is>
      </c>
      <c r="B597" s="276" t="inlineStr">
        <is>
          <t>Critical business-service disruption</t>
        </is>
      </c>
      <c r="C597" s="276" t="inlineStr">
        <is>
          <t>Identity and credential compromise</t>
        </is>
      </c>
      <c r="D597" s="276" t="inlineStr">
        <is>
          <t>T1110</t>
        </is>
      </c>
      <c r="E597" s="276" t="inlineStr">
        <is>
          <t>Brute Force</t>
        </is>
      </c>
      <c r="F597" s="276" t="inlineStr">
        <is>
          <t>S1</t>
        </is>
      </c>
      <c r="G597" s="276" t="b">
        <v>1</v>
      </c>
      <c r="H597" s="276" t="b">
        <v>1</v>
      </c>
      <c r="I597" s="276" t="b">
        <v>1</v>
      </c>
      <c r="J597" s="276" t="n">
        <v>0.7</v>
      </c>
      <c r="K597" s="276" t="n">
        <v>0.24375</v>
      </c>
      <c r="L597" s="276" t="n">
        <v>0.24375</v>
      </c>
      <c r="M597" s="276" t="inlineStr">
        <is>
          <t>Identity Provider; SaaS; Windows</t>
        </is>
      </c>
      <c r="N597" s="276" t="inlineStr">
        <is>
          <t>https://attack.mitre.org/techniques/T1110/</t>
        </is>
      </c>
      <c r="O597" s="276" t="n"/>
      <c r="P597" s="277" t="n"/>
    </row>
    <row r="598">
      <c r="A598" s="275" t="inlineStr">
        <is>
          <t>Hacktivist</t>
        </is>
      </c>
      <c r="B598" s="276" t="inlineStr">
        <is>
          <t>Critical business-service disruption</t>
        </is>
      </c>
      <c r="C598" s="276" t="inlineStr">
        <is>
          <t>Identity and credential compromise</t>
        </is>
      </c>
      <c r="D598" s="276" t="inlineStr">
        <is>
          <t>T1098</t>
        </is>
      </c>
      <c r="E598" s="276" t="inlineStr">
        <is>
          <t>Account Manipulation</t>
        </is>
      </c>
      <c r="F598" s="276" t="inlineStr">
        <is>
          <t>S3</t>
        </is>
      </c>
      <c r="G598" s="276" t="b">
        <v>1</v>
      </c>
      <c r="H598" s="276" t="b">
        <v>1</v>
      </c>
      <c r="I598" s="276" t="b">
        <v>1</v>
      </c>
      <c r="J598" s="276" t="n">
        <v>0.7</v>
      </c>
      <c r="K598" s="276" t="n">
        <v>0.2477547340393066</v>
      </c>
      <c r="L598" s="276" t="n">
        <v>0.2477547340393066</v>
      </c>
      <c r="M598" s="276" t="inlineStr">
        <is>
          <t>Identity Provider; SaaS; Windows</t>
        </is>
      </c>
      <c r="N598" s="276" t="inlineStr">
        <is>
          <t>https://attack.mitre.org/techniques/T1098/</t>
        </is>
      </c>
      <c r="O598" s="276" t="n"/>
      <c r="P598" s="277" t="n"/>
    </row>
    <row r="599">
      <c r="A599" s="275" t="inlineStr">
        <is>
          <t>Hacktivist</t>
        </is>
      </c>
      <c r="B599" s="276" t="inlineStr">
        <is>
          <t>Critical business-service disruption</t>
        </is>
      </c>
      <c r="C599" s="276" t="inlineStr">
        <is>
          <t>Identity and credential compromise</t>
        </is>
      </c>
      <c r="D599" s="276" t="inlineStr">
        <is>
          <t>T1087</t>
        </is>
      </c>
      <c r="E599" s="276" t="inlineStr">
        <is>
          <t>Account Discovery</t>
        </is>
      </c>
      <c r="F599" s="276" t="inlineStr">
        <is>
          <t>S4</t>
        </is>
      </c>
      <c r="G599" s="276" t="b">
        <v>1</v>
      </c>
      <c r="H599" s="276" t="b">
        <v>1</v>
      </c>
      <c r="I599" s="276" t="b">
        <v>1</v>
      </c>
      <c r="J599" s="276" t="n">
        <v>0.6</v>
      </c>
      <c r="K599" s="276" t="n">
        <v>0</v>
      </c>
      <c r="L599" s="276" t="n">
        <v>0</v>
      </c>
      <c r="M599" s="276" t="inlineStr">
        <is>
          <t>Identity Provider; SaaS; Windows</t>
        </is>
      </c>
      <c r="N599" s="276" t="inlineStr">
        <is>
          <t>https://attack.mitre.org/techniques/T1087/</t>
        </is>
      </c>
      <c r="O599" s="276" t="n"/>
      <c r="P599" s="277" t="n"/>
    </row>
    <row r="600">
      <c r="A600" s="275" t="inlineStr">
        <is>
          <t>Hacktivist</t>
        </is>
      </c>
      <c r="B600" s="276" t="inlineStr">
        <is>
          <t>Critical business-service disruption</t>
        </is>
      </c>
      <c r="C600" s="276" t="inlineStr">
        <is>
          <t>Identity and credential compromise</t>
        </is>
      </c>
      <c r="D600" s="276" t="inlineStr">
        <is>
          <t>T1213</t>
        </is>
      </c>
      <c r="E600" s="276" t="inlineStr">
        <is>
          <t>Data from Information Repositories</t>
        </is>
      </c>
      <c r="F600" s="276" t="inlineStr">
        <is>
          <t>S4</t>
        </is>
      </c>
      <c r="G600" s="276" t="b">
        <v>0</v>
      </c>
      <c r="H600" s="276" t="b">
        <v>0</v>
      </c>
      <c r="I600" s="276" t="b">
        <v>0</v>
      </c>
      <c r="J600" s="276" t="n">
        <v>0.8</v>
      </c>
      <c r="K600" s="276" t="n">
        <v>0.177890625</v>
      </c>
      <c r="L600" s="276" t="n">
        <v>0.177890625</v>
      </c>
      <c r="M600" s="276" t="inlineStr">
        <is>
          <t>SaaS; Office Suite; Windows</t>
        </is>
      </c>
      <c r="N600" s="276" t="inlineStr">
        <is>
          <t>https://attack.mitre.org/techniques/T1213/</t>
        </is>
      </c>
      <c r="O600" s="276" t="n"/>
      <c r="P600" s="277" t="n"/>
    </row>
    <row r="601">
      <c r="A601" s="275" t="inlineStr">
        <is>
          <t>Hacktivist</t>
        </is>
      </c>
      <c r="B601" s="276" t="inlineStr">
        <is>
          <t>Critical business-service disruption</t>
        </is>
      </c>
      <c r="C601" s="276" t="inlineStr">
        <is>
          <t>Identity and credential compromise</t>
        </is>
      </c>
      <c r="D601" s="276" t="inlineStr">
        <is>
          <t>T1567</t>
        </is>
      </c>
      <c r="E601" s="276" t="inlineStr">
        <is>
          <t>Exfiltration Over Web Service</t>
        </is>
      </c>
      <c r="F601" s="276" t="inlineStr">
        <is>
          <t>S5</t>
        </is>
      </c>
      <c r="G601" s="276" t="b">
        <v>1</v>
      </c>
      <c r="H601" s="276" t="b">
        <v>0</v>
      </c>
      <c r="I601" s="276" t="b">
        <v>0</v>
      </c>
      <c r="J601" s="276" t="n">
        <v>0.7</v>
      </c>
      <c r="K601" s="276" t="n">
        <v>0.20625</v>
      </c>
      <c r="L601" s="276" t="n">
        <v>0.20625</v>
      </c>
      <c r="M601" s="276" t="inlineStr">
        <is>
          <t>SaaS; Office Suite</t>
        </is>
      </c>
      <c r="N601" s="276" t="inlineStr">
        <is>
          <t>https://attack.mitre.org/techniques/T1567/</t>
        </is>
      </c>
      <c r="O601" s="276" t="n"/>
      <c r="P601" s="277" t="n"/>
    </row>
    <row r="602">
      <c r="A602" s="275" t="inlineStr">
        <is>
          <t>Hacktivist</t>
        </is>
      </c>
      <c r="B602" s="276" t="inlineStr">
        <is>
          <t>Critical business-service disruption</t>
        </is>
      </c>
      <c r="C602" s="276" t="inlineStr">
        <is>
          <t>Identity and credential compromise</t>
        </is>
      </c>
      <c r="D602" s="276" t="inlineStr">
        <is>
          <t>T1657</t>
        </is>
      </c>
      <c r="E602" s="276" t="inlineStr">
        <is>
          <t>Financial Theft</t>
        </is>
      </c>
      <c r="F602" s="276" t="inlineStr">
        <is>
          <t>S5</t>
        </is>
      </c>
      <c r="G602" s="276" t="b">
        <v>0</v>
      </c>
      <c r="H602" s="276" t="b">
        <v>0</v>
      </c>
      <c r="I602" s="276" t="b">
        <v>0</v>
      </c>
      <c r="J602" s="276" t="n">
        <v>0.8</v>
      </c>
      <c r="K602" s="276" t="n">
        <v>0.275654296875</v>
      </c>
      <c r="L602" s="276" t="n">
        <v>0.275654296875</v>
      </c>
      <c r="M602" s="276" t="inlineStr">
        <is>
          <t>SaaS; Office Suite; Identity Provider</t>
        </is>
      </c>
      <c r="N602" s="276" t="inlineStr">
        <is>
          <t>https://attack.mitre.org/techniques/T1657/</t>
        </is>
      </c>
      <c r="O602" s="276" t="n"/>
      <c r="P602" s="277" t="n"/>
    </row>
    <row r="603">
      <c r="A603" s="275" t="inlineStr">
        <is>
          <t>Hacktivist</t>
        </is>
      </c>
      <c r="B603" s="276" t="inlineStr">
        <is>
          <t>Critical business-service disruption</t>
        </is>
      </c>
      <c r="C603" s="276" t="inlineStr">
        <is>
          <t>Identity and credential compromise</t>
        </is>
      </c>
      <c r="D603" s="276" t="inlineStr">
        <is>
          <t>T1565</t>
        </is>
      </c>
      <c r="E603" s="276" t="inlineStr">
        <is>
          <t>Data Manipulation</t>
        </is>
      </c>
      <c r="F603" s="276" t="inlineStr">
        <is>
          <t>S5</t>
        </is>
      </c>
      <c r="G603" s="276" t="b">
        <v>1</v>
      </c>
      <c r="H603" s="276" t="b">
        <v>1</v>
      </c>
      <c r="I603" s="276" t="b">
        <v>1</v>
      </c>
      <c r="J603" s="276" t="n">
        <v>0.5</v>
      </c>
      <c r="K603" s="276" t="n">
        <v>0.2206064987182617</v>
      </c>
      <c r="L603" s="276" t="n">
        <v>0.2206064987182617</v>
      </c>
      <c r="M603" s="276" t="inlineStr">
        <is>
          <t>SaaS; Databases; Windows</t>
        </is>
      </c>
      <c r="N603" s="276" t="inlineStr">
        <is>
          <t>https://attack.mitre.org/techniques/T1565/</t>
        </is>
      </c>
      <c r="O603" s="276" t="n"/>
      <c r="P603" s="277" t="n"/>
    </row>
    <row r="604">
      <c r="A604" s="275" t="inlineStr">
        <is>
          <t>Hacktivist</t>
        </is>
      </c>
      <c r="B604" s="276" t="inlineStr">
        <is>
          <t>Critical business-service disruption</t>
        </is>
      </c>
      <c r="C604" s="276" t="inlineStr">
        <is>
          <t>Identity and credential compromise</t>
        </is>
      </c>
      <c r="D604" s="276" t="inlineStr">
        <is>
          <t>T1486</t>
        </is>
      </c>
      <c r="E604" s="276" t="inlineStr">
        <is>
          <t>Data Encrypted for Impact</t>
        </is>
      </c>
      <c r="F604" s="276" t="inlineStr">
        <is>
          <t>S5</t>
        </is>
      </c>
      <c r="G604" s="276" t="b">
        <v>0</v>
      </c>
      <c r="H604" s="276" t="b">
        <v>1</v>
      </c>
      <c r="I604" s="276" t="b">
        <v>0</v>
      </c>
      <c r="J604" s="276" t="n">
        <v>0.7</v>
      </c>
      <c r="K604" s="276" t="n">
        <v>0.16875</v>
      </c>
      <c r="L604" s="276" t="n">
        <v>0.16875</v>
      </c>
      <c r="M604" s="276" t="inlineStr">
        <is>
          <t>Windows; Linux; IaaS</t>
        </is>
      </c>
      <c r="N604" s="276" t="inlineStr">
        <is>
          <t>https://attack.mitre.org/techniques/T1486/</t>
        </is>
      </c>
      <c r="O604" s="276" t="n"/>
      <c r="P604" s="277" t="n"/>
    </row>
    <row r="605">
      <c r="A605" s="275" t="inlineStr">
        <is>
          <t>Hacktivist</t>
        </is>
      </c>
      <c r="B605" s="276" t="inlineStr">
        <is>
          <t>Critical business-service disruption</t>
        </is>
      </c>
      <c r="C605" s="276" t="inlineStr">
        <is>
          <t>Identity and credential compromise</t>
        </is>
      </c>
      <c r="D605" s="276" t="inlineStr">
        <is>
          <t>T1490</t>
        </is>
      </c>
      <c r="E605" s="276" t="inlineStr">
        <is>
          <t>Inhibit System Recovery</t>
        </is>
      </c>
      <c r="F605" s="276" t="inlineStr">
        <is>
          <t>S5</t>
        </is>
      </c>
      <c r="G605" s="276" t="b">
        <v>0</v>
      </c>
      <c r="H605" s="276" t="b">
        <v>1</v>
      </c>
      <c r="I605" s="276" t="b">
        <v>0</v>
      </c>
      <c r="J605" s="276" t="n">
        <v>0.6</v>
      </c>
      <c r="K605" s="276" t="n">
        <v>0</v>
      </c>
      <c r="L605" s="276" t="n">
        <v>0</v>
      </c>
      <c r="M605" s="276" t="inlineStr">
        <is>
          <t>Windows; Linux; IaaS</t>
        </is>
      </c>
      <c r="N605" s="276" t="inlineStr">
        <is>
          <t>https://attack.mitre.org/techniques/T1490/</t>
        </is>
      </c>
      <c r="O605" s="276" t="n"/>
      <c r="P605" s="277" t="n"/>
    </row>
    <row r="606">
      <c r="A606" s="275" t="inlineStr">
        <is>
          <t>Hacktivist</t>
        </is>
      </c>
      <c r="B606" s="276" t="inlineStr">
        <is>
          <t>Critical business-service disruption</t>
        </is>
      </c>
      <c r="C606" s="276" t="inlineStr">
        <is>
          <t>User endpoint and social engineering</t>
        </is>
      </c>
      <c r="D606" s="276" t="inlineStr">
        <is>
          <t>T1566</t>
        </is>
      </c>
      <c r="E606" s="276" t="inlineStr">
        <is>
          <t>Phishing</t>
        </is>
      </c>
      <c r="F606" s="276" t="inlineStr">
        <is>
          <t>S1</t>
        </is>
      </c>
      <c r="G606" s="276" t="b">
        <v>1</v>
      </c>
      <c r="H606" s="276" t="b">
        <v>1</v>
      </c>
      <c r="I606" s="276" t="b">
        <v>1</v>
      </c>
      <c r="J606" s="276" t="n">
        <v>1</v>
      </c>
      <c r="K606" s="276" t="n">
        <v>0.20625</v>
      </c>
      <c r="L606" s="276" t="n">
        <v>0.20625</v>
      </c>
      <c r="M606" s="276" t="inlineStr">
        <is>
          <t>Windows; SaaS; Office Suite</t>
        </is>
      </c>
      <c r="N606" s="276" t="inlineStr">
        <is>
          <t>https://attack.mitre.org/techniques/T1566/</t>
        </is>
      </c>
      <c r="O606" s="276" t="n"/>
      <c r="P606" s="277" t="n"/>
    </row>
    <row r="607">
      <c r="A607" s="275" t="inlineStr">
        <is>
          <t>Hacktivist</t>
        </is>
      </c>
      <c r="B607" s="276" t="inlineStr">
        <is>
          <t>Critical business-service disruption</t>
        </is>
      </c>
      <c r="C607" s="276" t="inlineStr">
        <is>
          <t>User endpoint and social engineering</t>
        </is>
      </c>
      <c r="D607" s="276" t="inlineStr">
        <is>
          <t>T1203</t>
        </is>
      </c>
      <c r="E607" s="276" t="inlineStr">
        <is>
          <t>Exploitation for Client Execution</t>
        </is>
      </c>
      <c r="F607" s="276" t="inlineStr">
        <is>
          <t>S2</t>
        </is>
      </c>
      <c r="G607" s="276" t="b">
        <v>0</v>
      </c>
      <c r="H607" s="276" t="b">
        <v>1</v>
      </c>
      <c r="I607" s="276" t="b">
        <v>0</v>
      </c>
      <c r="J607" s="276" t="n">
        <v>0.8</v>
      </c>
      <c r="K607" s="276" t="n">
        <v>0.2404920959472656</v>
      </c>
      <c r="L607" s="276" t="n">
        <v>0.2404920959472656</v>
      </c>
      <c r="M607" s="276" t="inlineStr">
        <is>
          <t>Windows; macOS; Linux</t>
        </is>
      </c>
      <c r="N607" s="276" t="inlineStr">
        <is>
          <t>https://attack.mitre.org/techniques/T1203/</t>
        </is>
      </c>
      <c r="O607" s="276" t="n"/>
      <c r="P607" s="277" t="n"/>
    </row>
    <row r="608">
      <c r="A608" s="275" t="inlineStr">
        <is>
          <t>Hacktivist</t>
        </is>
      </c>
      <c r="B608" s="276" t="inlineStr">
        <is>
          <t>Critical business-service disruption</t>
        </is>
      </c>
      <c r="C608" s="276" t="inlineStr">
        <is>
          <t>User endpoint and social engineering</t>
        </is>
      </c>
      <c r="D608" s="276" t="inlineStr">
        <is>
          <t>T1059</t>
        </is>
      </c>
      <c r="E608" s="276" t="inlineStr">
        <is>
          <t>Command and Scripting Interpreter</t>
        </is>
      </c>
      <c r="F608" s="276" t="inlineStr">
        <is>
          <t>S2</t>
        </is>
      </c>
      <c r="G608" s="276" t="b">
        <v>1</v>
      </c>
      <c r="H608" s="276" t="b">
        <v>1</v>
      </c>
      <c r="I608" s="276" t="b">
        <v>1</v>
      </c>
      <c r="J608" s="276" t="n">
        <v>0.9</v>
      </c>
      <c r="K608" s="276" t="n">
        <v>0.1875</v>
      </c>
      <c r="L608" s="276" t="n">
        <v>0.1875</v>
      </c>
      <c r="M608" s="276" t="inlineStr">
        <is>
          <t>Windows; macOS; Linux; IaaS</t>
        </is>
      </c>
      <c r="N608" s="276" t="inlineStr">
        <is>
          <t>https://attack.mitre.org/techniques/T1059/</t>
        </is>
      </c>
      <c r="O608" s="276" t="n"/>
      <c r="P608" s="277" t="n"/>
    </row>
    <row r="609">
      <c r="A609" s="275" t="inlineStr">
        <is>
          <t>Hacktivist</t>
        </is>
      </c>
      <c r="B609" s="276" t="inlineStr">
        <is>
          <t>Critical business-service disruption</t>
        </is>
      </c>
      <c r="C609" s="276" t="inlineStr">
        <is>
          <t>User endpoint and social engineering</t>
        </is>
      </c>
      <c r="D609" s="276" t="inlineStr">
        <is>
          <t>T1068</t>
        </is>
      </c>
      <c r="E609" s="276" t="inlineStr">
        <is>
          <t>Exploitation for Privilege Escalation</t>
        </is>
      </c>
      <c r="F609" s="276" t="inlineStr">
        <is>
          <t>S3</t>
        </is>
      </c>
      <c r="G609" s="276" t="b">
        <v>1</v>
      </c>
      <c r="H609" s="276" t="b">
        <v>1</v>
      </c>
      <c r="I609" s="276" t="b">
        <v>1</v>
      </c>
      <c r="J609" s="276" t="n">
        <v>0.7</v>
      </c>
      <c r="K609" s="276" t="n">
        <v>0.2094165115356445</v>
      </c>
      <c r="L609" s="276" t="n">
        <v>0.2094165115356445</v>
      </c>
      <c r="M609" s="276" t="inlineStr">
        <is>
          <t>Windows; macOS; Linux</t>
        </is>
      </c>
      <c r="N609" s="276" t="inlineStr">
        <is>
          <t>https://attack.mitre.org/techniques/T1068/</t>
        </is>
      </c>
      <c r="O609" s="276" t="n"/>
      <c r="P609" s="277" t="n"/>
    </row>
    <row r="610">
      <c r="A610" s="275" t="inlineStr">
        <is>
          <t>Hacktivist</t>
        </is>
      </c>
      <c r="B610" s="276" t="inlineStr">
        <is>
          <t>Critical business-service disruption</t>
        </is>
      </c>
      <c r="C610" s="276" t="inlineStr">
        <is>
          <t>User endpoint and social engineering</t>
        </is>
      </c>
      <c r="D610" s="276" t="inlineStr">
        <is>
          <t>T1003</t>
        </is>
      </c>
      <c r="E610" s="276" t="inlineStr">
        <is>
          <t>OS Credential Dumping</t>
        </is>
      </c>
      <c r="F610" s="276" t="inlineStr">
        <is>
          <t>S3</t>
        </is>
      </c>
      <c r="G610" s="276" t="b">
        <v>1</v>
      </c>
      <c r="H610" s="276" t="b">
        <v>1</v>
      </c>
      <c r="I610" s="276" t="b">
        <v>1</v>
      </c>
      <c r="J610" s="276" t="n">
        <v>0.8</v>
      </c>
      <c r="K610" s="276" t="n">
        <v>0.232294921875</v>
      </c>
      <c r="L610" s="276" t="n">
        <v>0.232294921875</v>
      </c>
      <c r="M610" s="276" t="inlineStr">
        <is>
          <t>Windows; Linux; macOS</t>
        </is>
      </c>
      <c r="N610" s="276" t="inlineStr">
        <is>
          <t>https://attack.mitre.org/techniques/T1003/</t>
        </is>
      </c>
      <c r="O610" s="276" t="n"/>
      <c r="P610" s="277" t="n"/>
    </row>
    <row r="611">
      <c r="A611" s="275" t="inlineStr">
        <is>
          <t>Hacktivist</t>
        </is>
      </c>
      <c r="B611" s="276" t="inlineStr">
        <is>
          <t>Critical business-service disruption</t>
        </is>
      </c>
      <c r="C611" s="276" t="inlineStr">
        <is>
          <t>User endpoint and social engineering</t>
        </is>
      </c>
      <c r="D611" s="276" t="inlineStr">
        <is>
          <t>T1046</t>
        </is>
      </c>
      <c r="E611" s="276" t="inlineStr">
        <is>
          <t>Network Service Discovery</t>
        </is>
      </c>
      <c r="F611" s="276" t="inlineStr">
        <is>
          <t>S4</t>
        </is>
      </c>
      <c r="G611" s="276" t="b">
        <v>1</v>
      </c>
      <c r="H611" s="276" t="b">
        <v>1</v>
      </c>
      <c r="I611" s="276" t="b">
        <v>1</v>
      </c>
      <c r="J611" s="276" t="n">
        <v>0.6</v>
      </c>
      <c r="K611" s="276" t="n">
        <v>0.16875</v>
      </c>
      <c r="L611" s="276" t="n">
        <v>0.16875</v>
      </c>
      <c r="M611" s="276" t="inlineStr">
        <is>
          <t>Network Devices; Windows; Linux</t>
        </is>
      </c>
      <c r="N611" s="276" t="inlineStr">
        <is>
          <t>https://attack.mitre.org/techniques/T1046/</t>
        </is>
      </c>
      <c r="O611" s="276" t="n"/>
      <c r="P611" s="277" t="n"/>
    </row>
    <row r="612">
      <c r="A612" s="275" t="inlineStr">
        <is>
          <t>Hacktivist</t>
        </is>
      </c>
      <c r="B612" s="276" t="inlineStr">
        <is>
          <t>Critical business-service disruption</t>
        </is>
      </c>
      <c r="C612" s="276" t="inlineStr">
        <is>
          <t>User endpoint and social engineering</t>
        </is>
      </c>
      <c r="D612" s="276" t="inlineStr">
        <is>
          <t>T1021</t>
        </is>
      </c>
      <c r="E612" s="276" t="inlineStr">
        <is>
          <t>Remote Services</t>
        </is>
      </c>
      <c r="F612" s="276" t="inlineStr">
        <is>
          <t>S4</t>
        </is>
      </c>
      <c r="G612" s="276" t="b">
        <v>1</v>
      </c>
      <c r="H612" s="276" t="b">
        <v>1</v>
      </c>
      <c r="I612" s="276" t="b">
        <v>1</v>
      </c>
      <c r="J612" s="276" t="n">
        <v>0.8</v>
      </c>
      <c r="K612" s="276" t="n">
        <v>0.1875</v>
      </c>
      <c r="L612" s="276" t="n">
        <v>0.1875</v>
      </c>
      <c r="M612" s="276" t="inlineStr">
        <is>
          <t>Windows; Linux; Network Devices</t>
        </is>
      </c>
      <c r="N612" s="276" t="inlineStr">
        <is>
          <t>https://attack.mitre.org/techniques/T1021/</t>
        </is>
      </c>
      <c r="O612" s="276" t="n"/>
      <c r="P612" s="277" t="n"/>
    </row>
    <row r="613">
      <c r="A613" s="275" t="inlineStr">
        <is>
          <t>Hacktivist</t>
        </is>
      </c>
      <c r="B613" s="276" t="inlineStr">
        <is>
          <t>Critical business-service disruption</t>
        </is>
      </c>
      <c r="C613" s="276" t="inlineStr">
        <is>
          <t>User endpoint and social engineering</t>
        </is>
      </c>
      <c r="D613" s="276" t="inlineStr">
        <is>
          <t>T1213</t>
        </is>
      </c>
      <c r="E613" s="276" t="inlineStr">
        <is>
          <t>Data from Information Repositories</t>
        </is>
      </c>
      <c r="F613" s="276" t="inlineStr">
        <is>
          <t>S4</t>
        </is>
      </c>
      <c r="G613" s="276" t="b">
        <v>0</v>
      </c>
      <c r="H613" s="276" t="b">
        <v>0</v>
      </c>
      <c r="I613" s="276" t="b">
        <v>0</v>
      </c>
      <c r="J613" s="276" t="n">
        <v>0.7</v>
      </c>
      <c r="K613" s="276" t="n">
        <v>0.177890625</v>
      </c>
      <c r="L613" s="276" t="n">
        <v>0.177890625</v>
      </c>
      <c r="M613" s="276" t="inlineStr">
        <is>
          <t>SaaS; Office Suite; Windows</t>
        </is>
      </c>
      <c r="N613" s="276" t="inlineStr">
        <is>
          <t>https://attack.mitre.org/techniques/T1213/</t>
        </is>
      </c>
      <c r="O613" s="276" t="n"/>
      <c r="P613" s="277" t="n"/>
    </row>
    <row r="614">
      <c r="A614" s="275" t="inlineStr">
        <is>
          <t>Hacktivist</t>
        </is>
      </c>
      <c r="B614" s="276" t="inlineStr">
        <is>
          <t>Critical business-service disruption</t>
        </is>
      </c>
      <c r="C614" s="276" t="inlineStr">
        <is>
          <t>User endpoint and social engineering</t>
        </is>
      </c>
      <c r="D614" s="276" t="inlineStr">
        <is>
          <t>T1486</t>
        </is>
      </c>
      <c r="E614" s="276" t="inlineStr">
        <is>
          <t>Data Encrypted for Impact</t>
        </is>
      </c>
      <c r="F614" s="276" t="inlineStr">
        <is>
          <t>S5</t>
        </is>
      </c>
      <c r="G614" s="276" t="b">
        <v>0</v>
      </c>
      <c r="H614" s="276" t="b">
        <v>1</v>
      </c>
      <c r="I614" s="276" t="b">
        <v>0</v>
      </c>
      <c r="J614" s="276" t="n">
        <v>0.8</v>
      </c>
      <c r="K614" s="276" t="n">
        <v>0.16875</v>
      </c>
      <c r="L614" s="276" t="n">
        <v>0.16875</v>
      </c>
      <c r="M614" s="276" t="inlineStr">
        <is>
          <t>Windows; Linux; IaaS</t>
        </is>
      </c>
      <c r="N614" s="276" t="inlineStr">
        <is>
          <t>https://attack.mitre.org/techniques/T1486/</t>
        </is>
      </c>
      <c r="O614" s="276" t="n"/>
      <c r="P614" s="277" t="n"/>
    </row>
    <row r="615">
      <c r="A615" s="275" t="inlineStr">
        <is>
          <t>Hacktivist</t>
        </is>
      </c>
      <c r="B615" s="276" t="inlineStr">
        <is>
          <t>Critical business-service disruption</t>
        </is>
      </c>
      <c r="C615" s="276" t="inlineStr">
        <is>
          <t>User endpoint and social engineering</t>
        </is>
      </c>
      <c r="D615" s="276" t="inlineStr">
        <is>
          <t>T1490</t>
        </is>
      </c>
      <c r="E615" s="276" t="inlineStr">
        <is>
          <t>Inhibit System Recovery</t>
        </is>
      </c>
      <c r="F615" s="276" t="inlineStr">
        <is>
          <t>S5</t>
        </is>
      </c>
      <c r="G615" s="276" t="b">
        <v>0</v>
      </c>
      <c r="H615" s="276" t="b">
        <v>1</v>
      </c>
      <c r="I615" s="276" t="b">
        <v>0</v>
      </c>
      <c r="J615" s="276" t="n">
        <v>0.7</v>
      </c>
      <c r="K615" s="276" t="n">
        <v>0</v>
      </c>
      <c r="L615" s="276" t="n">
        <v>0</v>
      </c>
      <c r="M615" s="276" t="inlineStr">
        <is>
          <t>Windows; Linux; IaaS</t>
        </is>
      </c>
      <c r="N615" s="276" t="inlineStr">
        <is>
          <t>https://attack.mitre.org/techniques/T1490/</t>
        </is>
      </c>
      <c r="O615" s="276" t="n"/>
      <c r="P615" s="277" t="n"/>
    </row>
    <row r="616">
      <c r="A616" s="275" t="inlineStr">
        <is>
          <t>Hacktivist</t>
        </is>
      </c>
      <c r="B616" s="276" t="inlineStr">
        <is>
          <t>Critical business-service disruption</t>
        </is>
      </c>
      <c r="C616" s="276" t="inlineStr">
        <is>
          <t>User endpoint and social engineering</t>
        </is>
      </c>
      <c r="D616" s="276" t="inlineStr">
        <is>
          <t>T1567</t>
        </is>
      </c>
      <c r="E616" s="276" t="inlineStr">
        <is>
          <t>Exfiltration Over Web Service</t>
        </is>
      </c>
      <c r="F616" s="276" t="inlineStr">
        <is>
          <t>S5</t>
        </is>
      </c>
      <c r="G616" s="276" t="b">
        <v>1</v>
      </c>
      <c r="H616" s="276" t="b">
        <v>0</v>
      </c>
      <c r="I616" s="276" t="b">
        <v>0</v>
      </c>
      <c r="J616" s="276" t="n">
        <v>0.7</v>
      </c>
      <c r="K616" s="276" t="n">
        <v>0.20625</v>
      </c>
      <c r="L616" s="276" t="n">
        <v>0.20625</v>
      </c>
      <c r="M616" s="276" t="inlineStr">
        <is>
          <t>SaaS; Office Suite</t>
        </is>
      </c>
      <c r="N616" s="276" t="inlineStr">
        <is>
          <t>https://attack.mitre.org/techniques/T1567/</t>
        </is>
      </c>
      <c r="O616" s="276" t="n"/>
      <c r="P616" s="277" t="n"/>
    </row>
    <row r="617">
      <c r="A617" s="275" t="inlineStr">
        <is>
          <t>Hacktivist</t>
        </is>
      </c>
      <c r="B617" s="276" t="inlineStr">
        <is>
          <t>Critical business-service disruption</t>
        </is>
      </c>
      <c r="C617" s="276" t="inlineStr">
        <is>
          <t>User endpoint and social engineering</t>
        </is>
      </c>
      <c r="D617" s="276" t="inlineStr">
        <is>
          <t>T1657</t>
        </is>
      </c>
      <c r="E617" s="276" t="inlineStr">
        <is>
          <t>Financial Theft</t>
        </is>
      </c>
      <c r="F617" s="276" t="inlineStr">
        <is>
          <t>S5</t>
        </is>
      </c>
      <c r="G617" s="276" t="b">
        <v>0</v>
      </c>
      <c r="H617" s="276" t="b">
        <v>0</v>
      </c>
      <c r="I617" s="276" t="b">
        <v>0</v>
      </c>
      <c r="J617" s="276" t="n">
        <v>0.5</v>
      </c>
      <c r="K617" s="276" t="n">
        <v>0.275654296875</v>
      </c>
      <c r="L617" s="276" t="n">
        <v>0.275654296875</v>
      </c>
      <c r="M617" s="276" t="inlineStr">
        <is>
          <t>SaaS; Office Suite; Identity Provider</t>
        </is>
      </c>
      <c r="N617" s="276" t="inlineStr">
        <is>
          <t>https://attack.mitre.org/techniques/T1657/</t>
        </is>
      </c>
      <c r="O617" s="276" t="n"/>
      <c r="P617" s="277" t="n"/>
    </row>
    <row r="618">
      <c r="A618" s="275" t="inlineStr">
        <is>
          <t>Hacktivist</t>
        </is>
      </c>
      <c r="B618" s="276" t="inlineStr">
        <is>
          <t>Critical business-service disruption</t>
        </is>
      </c>
      <c r="C618" s="276" t="inlineStr">
        <is>
          <t>User endpoint and social engineering</t>
        </is>
      </c>
      <c r="D618" s="276" t="inlineStr">
        <is>
          <t>T1565</t>
        </is>
      </c>
      <c r="E618" s="276" t="inlineStr">
        <is>
          <t>Data Manipulation</t>
        </is>
      </c>
      <c r="F618" s="276" t="inlineStr">
        <is>
          <t>S5</t>
        </is>
      </c>
      <c r="G618" s="276" t="b">
        <v>1</v>
      </c>
      <c r="H618" s="276" t="b">
        <v>1</v>
      </c>
      <c r="I618" s="276" t="b">
        <v>1</v>
      </c>
      <c r="J618" s="276" t="n">
        <v>0.5</v>
      </c>
      <c r="K618" s="276" t="n">
        <v>0.2206064987182617</v>
      </c>
      <c r="L618" s="276" t="n">
        <v>0.2206064987182617</v>
      </c>
      <c r="M618" s="276" t="inlineStr">
        <is>
          <t>SaaS; Databases; Windows</t>
        </is>
      </c>
      <c r="N618" s="276" t="inlineStr">
        <is>
          <t>https://attack.mitre.org/techniques/T1565/</t>
        </is>
      </c>
      <c r="O618" s="276" t="n"/>
      <c r="P618" s="277" t="n"/>
    </row>
    <row r="619">
      <c r="A619" s="275" t="inlineStr">
        <is>
          <t>Hacktivist</t>
        </is>
      </c>
      <c r="B619" s="276" t="inlineStr">
        <is>
          <t>Critical business-service disruption</t>
        </is>
      </c>
      <c r="C619" s="276" t="inlineStr">
        <is>
          <t>Public-facing application exploitation</t>
        </is>
      </c>
      <c r="D619" s="276" t="inlineStr">
        <is>
          <t>T1190</t>
        </is>
      </c>
      <c r="E619" s="276" t="inlineStr">
        <is>
          <t>Exploit Public-Facing Application</t>
        </is>
      </c>
      <c r="F619" s="276" t="inlineStr">
        <is>
          <t>S1</t>
        </is>
      </c>
      <c r="G619" s="276" t="b">
        <v>1</v>
      </c>
      <c r="H619" s="276" t="b">
        <v>1</v>
      </c>
      <c r="I619" s="276" t="b">
        <v>1</v>
      </c>
      <c r="J619" s="276" t="n">
        <v>1</v>
      </c>
      <c r="K619" s="276" t="n">
        <v>0.2496630477905274</v>
      </c>
      <c r="L619" s="276" t="n">
        <v>0.2496630477905274</v>
      </c>
      <c r="M619" s="276" t="inlineStr">
        <is>
          <t>Network Devices; SaaS; IaaS</t>
        </is>
      </c>
      <c r="N619" s="276" t="inlineStr">
        <is>
          <t>https://attack.mitre.org/techniques/T1190/</t>
        </is>
      </c>
      <c r="O619" s="276" t="n"/>
      <c r="P619" s="277" t="n"/>
    </row>
    <row r="620">
      <c r="A620" s="275" t="inlineStr">
        <is>
          <t>Hacktivist</t>
        </is>
      </c>
      <c r="B620" s="276" t="inlineStr">
        <is>
          <t>Critical business-service disruption</t>
        </is>
      </c>
      <c r="C620" s="276" t="inlineStr">
        <is>
          <t>Public-facing application exploitation</t>
        </is>
      </c>
      <c r="D620" s="276" t="inlineStr">
        <is>
          <t>T1059</t>
        </is>
      </c>
      <c r="E620" s="276" t="inlineStr">
        <is>
          <t>Command and Scripting Interpreter</t>
        </is>
      </c>
      <c r="F620" s="276" t="inlineStr">
        <is>
          <t>S2</t>
        </is>
      </c>
      <c r="G620" s="276" t="b">
        <v>1</v>
      </c>
      <c r="H620" s="276" t="b">
        <v>1</v>
      </c>
      <c r="I620" s="276" t="b">
        <v>1</v>
      </c>
      <c r="J620" s="276" t="n">
        <v>0.8</v>
      </c>
      <c r="K620" s="276" t="n">
        <v>0.1875</v>
      </c>
      <c r="L620" s="276" t="n">
        <v>0.1875</v>
      </c>
      <c r="M620" s="276" t="inlineStr">
        <is>
          <t>Windows; macOS; Linux; IaaS</t>
        </is>
      </c>
      <c r="N620" s="276" t="inlineStr">
        <is>
          <t>https://attack.mitre.org/techniques/T1059/</t>
        </is>
      </c>
      <c r="O620" s="276" t="n"/>
      <c r="P620" s="277" t="n"/>
    </row>
    <row r="621">
      <c r="A621" s="275" t="inlineStr">
        <is>
          <t>Hacktivist</t>
        </is>
      </c>
      <c r="B621" s="276" t="inlineStr">
        <is>
          <t>Critical business-service disruption</t>
        </is>
      </c>
      <c r="C621" s="276" t="inlineStr">
        <is>
          <t>Public-facing application exploitation</t>
        </is>
      </c>
      <c r="D621" s="276" t="inlineStr">
        <is>
          <t>T1068</t>
        </is>
      </c>
      <c r="E621" s="276" t="inlineStr">
        <is>
          <t>Exploitation for Privilege Escalation</t>
        </is>
      </c>
      <c r="F621" s="276" t="inlineStr">
        <is>
          <t>S3</t>
        </is>
      </c>
      <c r="G621" s="276" t="b">
        <v>1</v>
      </c>
      <c r="H621" s="276" t="b">
        <v>1</v>
      </c>
      <c r="I621" s="276" t="b">
        <v>1</v>
      </c>
      <c r="J621" s="276" t="n">
        <v>0.7</v>
      </c>
      <c r="K621" s="276" t="n">
        <v>0.2094165115356445</v>
      </c>
      <c r="L621" s="276" t="n">
        <v>0.2094165115356445</v>
      </c>
      <c r="M621" s="276" t="inlineStr">
        <is>
          <t>Windows; macOS; Linux</t>
        </is>
      </c>
      <c r="N621" s="276" t="inlineStr">
        <is>
          <t>https://attack.mitre.org/techniques/T1068/</t>
        </is>
      </c>
      <c r="O621" s="276" t="n"/>
      <c r="P621" s="277" t="n"/>
    </row>
    <row r="622">
      <c r="A622" s="275" t="inlineStr">
        <is>
          <t>Hacktivist</t>
        </is>
      </c>
      <c r="B622" s="276" t="inlineStr">
        <is>
          <t>Critical business-service disruption</t>
        </is>
      </c>
      <c r="C622" s="276" t="inlineStr">
        <is>
          <t>Public-facing application exploitation</t>
        </is>
      </c>
      <c r="D622" s="276" t="inlineStr">
        <is>
          <t>T1003</t>
        </is>
      </c>
      <c r="E622" s="276" t="inlineStr">
        <is>
          <t>OS Credential Dumping</t>
        </is>
      </c>
      <c r="F622" s="276" t="inlineStr">
        <is>
          <t>S3</t>
        </is>
      </c>
      <c r="G622" s="276" t="b">
        <v>1</v>
      </c>
      <c r="H622" s="276" t="b">
        <v>1</v>
      </c>
      <c r="I622" s="276" t="b">
        <v>1</v>
      </c>
      <c r="J622" s="276" t="n">
        <v>0.6</v>
      </c>
      <c r="K622" s="276" t="n">
        <v>0.232294921875</v>
      </c>
      <c r="L622" s="276" t="n">
        <v>0.232294921875</v>
      </c>
      <c r="M622" s="276" t="inlineStr">
        <is>
          <t>Windows; Linux; macOS</t>
        </is>
      </c>
      <c r="N622" s="276" t="inlineStr">
        <is>
          <t>https://attack.mitre.org/techniques/T1003/</t>
        </is>
      </c>
      <c r="O622" s="276" t="n"/>
      <c r="P622" s="277" t="n"/>
    </row>
    <row r="623">
      <c r="A623" s="275" t="inlineStr">
        <is>
          <t>Hacktivist</t>
        </is>
      </c>
      <c r="B623" s="276" t="inlineStr">
        <is>
          <t>Critical business-service disruption</t>
        </is>
      </c>
      <c r="C623" s="276" t="inlineStr">
        <is>
          <t>Public-facing application exploitation</t>
        </is>
      </c>
      <c r="D623" s="276" t="inlineStr">
        <is>
          <t>T1046</t>
        </is>
      </c>
      <c r="E623" s="276" t="inlineStr">
        <is>
          <t>Network Service Discovery</t>
        </is>
      </c>
      <c r="F623" s="276" t="inlineStr">
        <is>
          <t>S4</t>
        </is>
      </c>
      <c r="G623" s="276" t="b">
        <v>1</v>
      </c>
      <c r="H623" s="276" t="b">
        <v>1</v>
      </c>
      <c r="I623" s="276" t="b">
        <v>1</v>
      </c>
      <c r="J623" s="276" t="n">
        <v>0.7</v>
      </c>
      <c r="K623" s="276" t="n">
        <v>0.16875</v>
      </c>
      <c r="L623" s="276" t="n">
        <v>0.16875</v>
      </c>
      <c r="M623" s="276" t="inlineStr">
        <is>
          <t>Network Devices; Windows; Linux</t>
        </is>
      </c>
      <c r="N623" s="276" t="inlineStr">
        <is>
          <t>https://attack.mitre.org/techniques/T1046/</t>
        </is>
      </c>
      <c r="O623" s="276" t="n"/>
      <c r="P623" s="277" t="n"/>
    </row>
    <row r="624">
      <c r="A624" s="275" t="inlineStr">
        <is>
          <t>Hacktivist</t>
        </is>
      </c>
      <c r="B624" s="276" t="inlineStr">
        <is>
          <t>Critical business-service disruption</t>
        </is>
      </c>
      <c r="C624" s="276" t="inlineStr">
        <is>
          <t>Public-facing application exploitation</t>
        </is>
      </c>
      <c r="D624" s="276" t="inlineStr">
        <is>
          <t>T1210</t>
        </is>
      </c>
      <c r="E624" s="276" t="inlineStr">
        <is>
          <t>Exploitation of Remote Services</t>
        </is>
      </c>
      <c r="F624" s="276" t="inlineStr">
        <is>
          <t>S4</t>
        </is>
      </c>
      <c r="G624" s="276" t="b">
        <v>1</v>
      </c>
      <c r="H624" s="276" t="b">
        <v>1</v>
      </c>
      <c r="I624" s="276" t="b">
        <v>1</v>
      </c>
      <c r="J624" s="276" t="n">
        <v>0.9</v>
      </c>
      <c r="K624" s="276" t="n">
        <v>0.2103495368957519</v>
      </c>
      <c r="L624" s="276" t="n">
        <v>0.2103495368957519</v>
      </c>
      <c r="M624" s="276" t="inlineStr">
        <is>
          <t>Windows; Linux; Network Devices</t>
        </is>
      </c>
      <c r="N624" s="276" t="inlineStr">
        <is>
          <t>https://attack.mitre.org/techniques/T1210/</t>
        </is>
      </c>
      <c r="O624" s="276" t="n"/>
      <c r="P624" s="277" t="n"/>
    </row>
    <row r="625">
      <c r="A625" s="275" t="inlineStr">
        <is>
          <t>Hacktivist</t>
        </is>
      </c>
      <c r="B625" s="276" t="inlineStr">
        <is>
          <t>Critical business-service disruption</t>
        </is>
      </c>
      <c r="C625" s="276" t="inlineStr">
        <is>
          <t>Public-facing application exploitation</t>
        </is>
      </c>
      <c r="D625" s="276" t="inlineStr">
        <is>
          <t>T1021</t>
        </is>
      </c>
      <c r="E625" s="276" t="inlineStr">
        <is>
          <t>Remote Services</t>
        </is>
      </c>
      <c r="F625" s="276" t="inlineStr">
        <is>
          <t>S4</t>
        </is>
      </c>
      <c r="G625" s="276" t="b">
        <v>1</v>
      </c>
      <c r="H625" s="276" t="b">
        <v>1</v>
      </c>
      <c r="I625" s="276" t="b">
        <v>1</v>
      </c>
      <c r="J625" s="276" t="n">
        <v>0.7</v>
      </c>
      <c r="K625" s="276" t="n">
        <v>0.1875</v>
      </c>
      <c r="L625" s="276" t="n">
        <v>0.1875</v>
      </c>
      <c r="M625" s="276" t="inlineStr">
        <is>
          <t>Windows; Linux; Network Devices</t>
        </is>
      </c>
      <c r="N625" s="276" t="inlineStr">
        <is>
          <t>https://attack.mitre.org/techniques/T1021/</t>
        </is>
      </c>
      <c r="O625" s="276" t="n"/>
      <c r="P625" s="277" t="n"/>
    </row>
    <row r="626">
      <c r="A626" s="275" t="inlineStr">
        <is>
          <t>Hacktivist</t>
        </is>
      </c>
      <c r="B626" s="276" t="inlineStr">
        <is>
          <t>Critical business-service disruption</t>
        </is>
      </c>
      <c r="C626" s="276" t="inlineStr">
        <is>
          <t>Public-facing application exploitation</t>
        </is>
      </c>
      <c r="D626" s="276" t="inlineStr">
        <is>
          <t>T1486</t>
        </is>
      </c>
      <c r="E626" s="276" t="inlineStr">
        <is>
          <t>Data Encrypted for Impact</t>
        </is>
      </c>
      <c r="F626" s="276" t="inlineStr">
        <is>
          <t>S5</t>
        </is>
      </c>
      <c r="G626" s="276" t="b">
        <v>0</v>
      </c>
      <c r="H626" s="276" t="b">
        <v>1</v>
      </c>
      <c r="I626" s="276" t="b">
        <v>0</v>
      </c>
      <c r="J626" s="276" t="n">
        <v>0.6</v>
      </c>
      <c r="K626" s="276" t="n">
        <v>0.16875</v>
      </c>
      <c r="L626" s="276" t="n">
        <v>0.16875</v>
      </c>
      <c r="M626" s="276" t="inlineStr">
        <is>
          <t>Windows; Linux; IaaS</t>
        </is>
      </c>
      <c r="N626" s="276" t="inlineStr">
        <is>
          <t>https://attack.mitre.org/techniques/T1486/</t>
        </is>
      </c>
      <c r="O626" s="276" t="n"/>
      <c r="P626" s="277" t="n"/>
    </row>
    <row r="627">
      <c r="A627" s="275" t="inlineStr">
        <is>
          <t>Hacktivist</t>
        </is>
      </c>
      <c r="B627" s="276" t="inlineStr">
        <is>
          <t>Critical business-service disruption</t>
        </is>
      </c>
      <c r="C627" s="276" t="inlineStr">
        <is>
          <t>Public-facing application exploitation</t>
        </is>
      </c>
      <c r="D627" s="276" t="inlineStr">
        <is>
          <t>T1490</t>
        </is>
      </c>
      <c r="E627" s="276" t="inlineStr">
        <is>
          <t>Inhibit System Recovery</t>
        </is>
      </c>
      <c r="F627" s="276" t="inlineStr">
        <is>
          <t>S5</t>
        </is>
      </c>
      <c r="G627" s="276" t="b">
        <v>0</v>
      </c>
      <c r="H627" s="276" t="b">
        <v>1</v>
      </c>
      <c r="I627" s="276" t="b">
        <v>0</v>
      </c>
      <c r="J627" s="276" t="n">
        <v>0.5</v>
      </c>
      <c r="K627" s="276" t="n">
        <v>0</v>
      </c>
      <c r="L627" s="276" t="n">
        <v>0</v>
      </c>
      <c r="M627" s="276" t="inlineStr">
        <is>
          <t>Windows; Linux; IaaS</t>
        </is>
      </c>
      <c r="N627" s="276" t="inlineStr">
        <is>
          <t>https://attack.mitre.org/techniques/T1490/</t>
        </is>
      </c>
      <c r="O627" s="276" t="n"/>
      <c r="P627" s="277" t="n"/>
    </row>
    <row r="628">
      <c r="A628" s="275" t="inlineStr">
        <is>
          <t>Hacktivist</t>
        </is>
      </c>
      <c r="B628" s="276" t="inlineStr">
        <is>
          <t>Critical business-service disruption</t>
        </is>
      </c>
      <c r="C628" s="276" t="inlineStr">
        <is>
          <t>Public-facing application exploitation</t>
        </is>
      </c>
      <c r="D628" s="276" t="inlineStr">
        <is>
          <t>T1567</t>
        </is>
      </c>
      <c r="E628" s="276" t="inlineStr">
        <is>
          <t>Exfiltration Over Web Service</t>
        </is>
      </c>
      <c r="F628" s="276" t="inlineStr">
        <is>
          <t>S5</t>
        </is>
      </c>
      <c r="G628" s="276" t="b">
        <v>1</v>
      </c>
      <c r="H628" s="276" t="b">
        <v>0</v>
      </c>
      <c r="I628" s="276" t="b">
        <v>0</v>
      </c>
      <c r="J628" s="276" t="n">
        <v>0.6</v>
      </c>
      <c r="K628" s="276" t="n">
        <v>0.20625</v>
      </c>
      <c r="L628" s="276" t="n">
        <v>0.20625</v>
      </c>
      <c r="M628" s="276" t="inlineStr">
        <is>
          <t>SaaS; Office Suite</t>
        </is>
      </c>
      <c r="N628" s="276" t="inlineStr">
        <is>
          <t>https://attack.mitre.org/techniques/T1567/</t>
        </is>
      </c>
      <c r="O628" s="276" t="n"/>
      <c r="P628" s="277" t="n"/>
    </row>
    <row r="629">
      <c r="A629" s="275" t="inlineStr">
        <is>
          <t>Hacktivist</t>
        </is>
      </c>
      <c r="B629" s="276" t="inlineStr">
        <is>
          <t>Critical business-service disruption</t>
        </is>
      </c>
      <c r="C629" s="276" t="inlineStr">
        <is>
          <t>Public-facing application exploitation</t>
        </is>
      </c>
      <c r="D629" s="276" t="inlineStr">
        <is>
          <t>T1565</t>
        </is>
      </c>
      <c r="E629" s="276" t="inlineStr">
        <is>
          <t>Data Manipulation</t>
        </is>
      </c>
      <c r="F629" s="276" t="inlineStr">
        <is>
          <t>S5</t>
        </is>
      </c>
      <c r="G629" s="276" t="b">
        <v>1</v>
      </c>
      <c r="H629" s="276" t="b">
        <v>1</v>
      </c>
      <c r="I629" s="276" t="b">
        <v>1</v>
      </c>
      <c r="J629" s="276" t="n">
        <v>0.6</v>
      </c>
      <c r="K629" s="276" t="n">
        <v>0.2206064987182617</v>
      </c>
      <c r="L629" s="276" t="n">
        <v>0.2206064987182617</v>
      </c>
      <c r="M629" s="276" t="inlineStr">
        <is>
          <t>SaaS; Databases; Windows</t>
        </is>
      </c>
      <c r="N629" s="276" t="inlineStr">
        <is>
          <t>https://attack.mitre.org/techniques/T1565/</t>
        </is>
      </c>
      <c r="O629" s="276" t="n"/>
      <c r="P629" s="277" t="n"/>
    </row>
    <row r="630">
      <c r="A630" s="275" t="inlineStr">
        <is>
          <t>Hacktivist</t>
        </is>
      </c>
      <c r="B630" s="276" t="inlineStr">
        <is>
          <t>Critical business-service disruption</t>
        </is>
      </c>
      <c r="C630" s="276" t="inlineStr">
        <is>
          <t>Public-facing application exploitation</t>
        </is>
      </c>
      <c r="D630" s="276" t="inlineStr">
        <is>
          <t>T1657</t>
        </is>
      </c>
      <c r="E630" s="276" t="inlineStr">
        <is>
          <t>Financial Theft</t>
        </is>
      </c>
      <c r="F630" s="276" t="inlineStr">
        <is>
          <t>S5</t>
        </is>
      </c>
      <c r="G630" s="276" t="b">
        <v>0</v>
      </c>
      <c r="H630" s="276" t="b">
        <v>0</v>
      </c>
      <c r="I630" s="276" t="b">
        <v>0</v>
      </c>
      <c r="J630" s="276" t="n">
        <v>0.4</v>
      </c>
      <c r="K630" s="276" t="n">
        <v>0.275654296875</v>
      </c>
      <c r="L630" s="276" t="n">
        <v>0.275654296875</v>
      </c>
      <c r="M630" s="276" t="inlineStr">
        <is>
          <t>SaaS; Office Suite; Identity Provider</t>
        </is>
      </c>
      <c r="N630" s="276" t="inlineStr">
        <is>
          <t>https://attack.mitre.org/techniques/T1657/</t>
        </is>
      </c>
      <c r="O630" s="276" t="n"/>
      <c r="P630" s="277" t="n"/>
    </row>
    <row r="631">
      <c r="A631" s="275" t="inlineStr">
        <is>
          <t>Hacktivist</t>
        </is>
      </c>
      <c r="B631" s="276" t="inlineStr">
        <is>
          <t>Critical business-service disruption</t>
        </is>
      </c>
      <c r="C631" s="276" t="inlineStr">
        <is>
          <t>Third-party or software supply chain</t>
        </is>
      </c>
      <c r="D631" s="276" t="inlineStr">
        <is>
          <t>T1199</t>
        </is>
      </c>
      <c r="E631" s="276" t="inlineStr">
        <is>
          <t>Trusted Relationship</t>
        </is>
      </c>
      <c r="F631" s="276" t="inlineStr">
        <is>
          <t>S3</t>
        </is>
      </c>
      <c r="G631" s="276" t="b">
        <v>1</v>
      </c>
      <c r="H631" s="276" t="b">
        <v>1</v>
      </c>
      <c r="I631" s="276" t="b">
        <v>1</v>
      </c>
      <c r="J631" s="276" t="n">
        <v>1</v>
      </c>
      <c r="K631" s="276" t="n">
        <v>0.20625</v>
      </c>
      <c r="L631" s="276" t="n">
        <v>0.20625</v>
      </c>
      <c r="M631" s="276" t="inlineStr">
        <is>
          <t>SaaS; IaaS; Network Devices</t>
        </is>
      </c>
      <c r="N631" s="276" t="inlineStr">
        <is>
          <t>https://attack.mitre.org/techniques/T1199/</t>
        </is>
      </c>
      <c r="O631" s="276" t="n"/>
      <c r="P631" s="277" t="n"/>
    </row>
    <row r="632">
      <c r="A632" s="275" t="inlineStr">
        <is>
          <t>Hacktivist</t>
        </is>
      </c>
      <c r="B632" s="276" t="inlineStr">
        <is>
          <t>Critical business-service disruption</t>
        </is>
      </c>
      <c r="C632" s="276" t="inlineStr">
        <is>
          <t>Third-party or software supply chain</t>
        </is>
      </c>
      <c r="D632" s="276" t="inlineStr">
        <is>
          <t>T1098</t>
        </is>
      </c>
      <c r="E632" s="276" t="inlineStr">
        <is>
          <t>Account Manipulation</t>
        </is>
      </c>
      <c r="F632" s="276" t="inlineStr">
        <is>
          <t>S3</t>
        </is>
      </c>
      <c r="G632" s="276" t="b">
        <v>1</v>
      </c>
      <c r="H632" s="276" t="b">
        <v>1</v>
      </c>
      <c r="I632" s="276" t="b">
        <v>1</v>
      </c>
      <c r="J632" s="276" t="n">
        <v>0.6</v>
      </c>
      <c r="K632" s="276" t="n">
        <v>0.2477547340393066</v>
      </c>
      <c r="L632" s="276" t="n">
        <v>0.2477547340393066</v>
      </c>
      <c r="M632" s="276" t="inlineStr">
        <is>
          <t>Identity Provider; SaaS; Windows</t>
        </is>
      </c>
      <c r="N632" s="276" t="inlineStr">
        <is>
          <t>https://attack.mitre.org/techniques/T1098/</t>
        </is>
      </c>
      <c r="O632" s="276" t="n"/>
      <c r="P632" s="277" t="n"/>
    </row>
    <row r="633">
      <c r="A633" s="275" t="inlineStr">
        <is>
          <t>Hacktivist</t>
        </is>
      </c>
      <c r="B633" s="276" t="inlineStr">
        <is>
          <t>Critical business-service disruption</t>
        </is>
      </c>
      <c r="C633" s="276" t="inlineStr">
        <is>
          <t>Third-party or software supply chain</t>
        </is>
      </c>
      <c r="D633" s="276" t="inlineStr">
        <is>
          <t>T1087</t>
        </is>
      </c>
      <c r="E633" s="276" t="inlineStr">
        <is>
          <t>Account Discovery</t>
        </is>
      </c>
      <c r="F633" s="276" t="inlineStr">
        <is>
          <t>S4</t>
        </is>
      </c>
      <c r="G633" s="276" t="b">
        <v>1</v>
      </c>
      <c r="H633" s="276" t="b">
        <v>1</v>
      </c>
      <c r="I633" s="276" t="b">
        <v>1</v>
      </c>
      <c r="J633" s="276" t="n">
        <v>0.5</v>
      </c>
      <c r="K633" s="276" t="n">
        <v>0</v>
      </c>
      <c r="L633" s="276" t="n">
        <v>0</v>
      </c>
      <c r="M633" s="276" t="inlineStr">
        <is>
          <t>Identity Provider; SaaS; Windows</t>
        </is>
      </c>
      <c r="N633" s="276" t="inlineStr">
        <is>
          <t>https://attack.mitre.org/techniques/T1087/</t>
        </is>
      </c>
      <c r="O633" s="276" t="n"/>
      <c r="P633" s="277" t="n"/>
    </row>
    <row r="634">
      <c r="A634" s="275" t="inlineStr">
        <is>
          <t>Hacktivist</t>
        </is>
      </c>
      <c r="B634" s="276" t="inlineStr">
        <is>
          <t>Critical business-service disruption</t>
        </is>
      </c>
      <c r="C634" s="276" t="inlineStr">
        <is>
          <t>Third-party or software supply chain</t>
        </is>
      </c>
      <c r="D634" s="276" t="inlineStr">
        <is>
          <t>T1213</t>
        </is>
      </c>
      <c r="E634" s="276" t="inlineStr">
        <is>
          <t>Data from Information Repositories</t>
        </is>
      </c>
      <c r="F634" s="276" t="inlineStr">
        <is>
          <t>S4</t>
        </is>
      </c>
      <c r="G634" s="276" t="b">
        <v>0</v>
      </c>
      <c r="H634" s="276" t="b">
        <v>0</v>
      </c>
      <c r="I634" s="276" t="b">
        <v>0</v>
      </c>
      <c r="J634" s="276" t="n">
        <v>0.7</v>
      </c>
      <c r="K634" s="276" t="n">
        <v>0.177890625</v>
      </c>
      <c r="L634" s="276" t="n">
        <v>0.177890625</v>
      </c>
      <c r="M634" s="276" t="inlineStr">
        <is>
          <t>SaaS; Office Suite; Windows</t>
        </is>
      </c>
      <c r="N634" s="276" t="inlineStr">
        <is>
          <t>https://attack.mitre.org/techniques/T1213/</t>
        </is>
      </c>
      <c r="O634" s="276" t="n"/>
      <c r="P634" s="277" t="n"/>
    </row>
    <row r="635">
      <c r="A635" s="275" t="inlineStr">
        <is>
          <t>Hacktivist</t>
        </is>
      </c>
      <c r="B635" s="276" t="inlineStr">
        <is>
          <t>Critical business-service disruption</t>
        </is>
      </c>
      <c r="C635" s="276" t="inlineStr">
        <is>
          <t>Third-party or software supply chain</t>
        </is>
      </c>
      <c r="D635" s="276" t="inlineStr">
        <is>
          <t>T1567</t>
        </is>
      </c>
      <c r="E635" s="276" t="inlineStr">
        <is>
          <t>Exfiltration Over Web Service</t>
        </is>
      </c>
      <c r="F635" s="276" t="inlineStr">
        <is>
          <t>S5</t>
        </is>
      </c>
      <c r="G635" s="276" t="b">
        <v>1</v>
      </c>
      <c r="H635" s="276" t="b">
        <v>0</v>
      </c>
      <c r="I635" s="276" t="b">
        <v>0</v>
      </c>
      <c r="J635" s="276" t="n">
        <v>0.6</v>
      </c>
      <c r="K635" s="276" t="n">
        <v>0.20625</v>
      </c>
      <c r="L635" s="276" t="n">
        <v>0.20625</v>
      </c>
      <c r="M635" s="276" t="inlineStr">
        <is>
          <t>SaaS; Office Suite</t>
        </is>
      </c>
      <c r="N635" s="276" t="inlineStr">
        <is>
          <t>https://attack.mitre.org/techniques/T1567/</t>
        </is>
      </c>
      <c r="O635" s="276" t="n"/>
      <c r="P635" s="277" t="n"/>
    </row>
    <row r="636">
      <c r="A636" s="275" t="inlineStr">
        <is>
          <t>Hacktivist</t>
        </is>
      </c>
      <c r="B636" s="276" t="inlineStr">
        <is>
          <t>Critical business-service disruption</t>
        </is>
      </c>
      <c r="C636" s="276" t="inlineStr">
        <is>
          <t>Third-party or software supply chain</t>
        </is>
      </c>
      <c r="D636" s="276" t="inlineStr">
        <is>
          <t>T1486</t>
        </is>
      </c>
      <c r="E636" s="276" t="inlineStr">
        <is>
          <t>Data Encrypted for Impact</t>
        </is>
      </c>
      <c r="F636" s="276" t="inlineStr">
        <is>
          <t>S5</t>
        </is>
      </c>
      <c r="G636" s="276" t="b">
        <v>0</v>
      </c>
      <c r="H636" s="276" t="b">
        <v>1</v>
      </c>
      <c r="I636" s="276" t="b">
        <v>0</v>
      </c>
      <c r="J636" s="276" t="n">
        <v>0.5</v>
      </c>
      <c r="K636" s="276" t="n">
        <v>0.16875</v>
      </c>
      <c r="L636" s="276" t="n">
        <v>0.16875</v>
      </c>
      <c r="M636" s="276" t="inlineStr">
        <is>
          <t>Windows; Linux; IaaS</t>
        </is>
      </c>
      <c r="N636" s="276" t="inlineStr">
        <is>
          <t>https://attack.mitre.org/techniques/T1486/</t>
        </is>
      </c>
      <c r="O636" s="276" t="n"/>
      <c r="P636" s="277" t="n"/>
    </row>
    <row r="637">
      <c r="A637" s="275" t="inlineStr">
        <is>
          <t>Hacktivist</t>
        </is>
      </c>
      <c r="B637" s="276" t="inlineStr">
        <is>
          <t>Critical business-service disruption</t>
        </is>
      </c>
      <c r="C637" s="276" t="inlineStr">
        <is>
          <t>Third-party or software supply chain</t>
        </is>
      </c>
      <c r="D637" s="276" t="inlineStr">
        <is>
          <t>T1565</t>
        </is>
      </c>
      <c r="E637" s="276" t="inlineStr">
        <is>
          <t>Data Manipulation</t>
        </is>
      </c>
      <c r="F637" s="276" t="inlineStr">
        <is>
          <t>S5</t>
        </is>
      </c>
      <c r="G637" s="276" t="b">
        <v>1</v>
      </c>
      <c r="H637" s="276" t="b">
        <v>1</v>
      </c>
      <c r="I637" s="276" t="b">
        <v>1</v>
      </c>
      <c r="J637" s="276" t="n">
        <v>0.6</v>
      </c>
      <c r="K637" s="276" t="n">
        <v>0.2206064987182617</v>
      </c>
      <c r="L637" s="276" t="n">
        <v>0.2206064987182617</v>
      </c>
      <c r="M637" s="276" t="inlineStr">
        <is>
          <t>SaaS; Databases; Windows</t>
        </is>
      </c>
      <c r="N637" s="276" t="inlineStr">
        <is>
          <t>https://attack.mitre.org/techniques/T1565/</t>
        </is>
      </c>
      <c r="O637" s="276" t="n"/>
      <c r="P637" s="277" t="n"/>
    </row>
    <row r="638">
      <c r="A638" s="275" t="inlineStr">
        <is>
          <t>Hacktivist</t>
        </is>
      </c>
      <c r="B638" s="276" t="inlineStr">
        <is>
          <t>Critical business-service disruption</t>
        </is>
      </c>
      <c r="C638" s="276" t="inlineStr">
        <is>
          <t>Third-party or software supply chain</t>
        </is>
      </c>
      <c r="D638" s="276" t="inlineStr">
        <is>
          <t>T1657</t>
        </is>
      </c>
      <c r="E638" s="276" t="inlineStr">
        <is>
          <t>Financial Theft</t>
        </is>
      </c>
      <c r="F638" s="276" t="inlineStr">
        <is>
          <t>S5</t>
        </is>
      </c>
      <c r="G638" s="276" t="b">
        <v>0</v>
      </c>
      <c r="H638" s="276" t="b">
        <v>0</v>
      </c>
      <c r="I638" s="276" t="b">
        <v>0</v>
      </c>
      <c r="J638" s="276" t="n">
        <v>0.5</v>
      </c>
      <c r="K638" s="276" t="n">
        <v>0.275654296875</v>
      </c>
      <c r="L638" s="276" t="n">
        <v>0.275654296875</v>
      </c>
      <c r="M638" s="276" t="inlineStr">
        <is>
          <t>SaaS; Office Suite; Identity Provider</t>
        </is>
      </c>
      <c r="N638" s="276" t="inlineStr">
        <is>
          <t>https://attack.mitre.org/techniques/T1657/</t>
        </is>
      </c>
      <c r="O638" s="276" t="n"/>
      <c r="P638" s="277" t="n"/>
    </row>
    <row r="639">
      <c r="A639" s="275" t="inlineStr">
        <is>
          <t>Hacktivist</t>
        </is>
      </c>
      <c r="B639" s="276" t="inlineStr">
        <is>
          <t>Critical business-service disruption</t>
        </is>
      </c>
      <c r="C639" s="276" t="inlineStr">
        <is>
          <t>Direct availability or DDoS</t>
        </is>
      </c>
      <c r="D639" s="276" t="inlineStr">
        <is>
          <t>T1498</t>
        </is>
      </c>
      <c r="E639" s="276" t="inlineStr">
        <is>
          <t>Network Denial of Service</t>
        </is>
      </c>
      <c r="F639" s="276" t="inlineStr">
        <is>
          <t>S1</t>
        </is>
      </c>
      <c r="G639" s="276" t="b">
        <v>1</v>
      </c>
      <c r="H639" s="276" t="b">
        <v>1</v>
      </c>
      <c r="I639" s="276" t="b">
        <v>1</v>
      </c>
      <c r="J639" s="276" t="n">
        <v>1</v>
      </c>
      <c r="K639" s="276" t="n">
        <v>0.2866992187499999</v>
      </c>
      <c r="L639" s="276" t="n">
        <v>0.2866992187499999</v>
      </c>
      <c r="M639" s="276" t="inlineStr">
        <is>
          <t>Network Devices</t>
        </is>
      </c>
      <c r="N639" s="276" t="inlineStr">
        <is>
          <t>https://attack.mitre.org/techniques/T1498/</t>
        </is>
      </c>
      <c r="O639" s="276" t="n"/>
      <c r="P639" s="277" t="n"/>
    </row>
    <row r="640">
      <c r="A640" s="275" t="inlineStr">
        <is>
          <t>Hacktivist</t>
        </is>
      </c>
      <c r="B640" s="276" t="inlineStr">
        <is>
          <t>Critical business-service disruption</t>
        </is>
      </c>
      <c r="C640" s="276" t="inlineStr">
        <is>
          <t>Direct availability or DDoS</t>
        </is>
      </c>
      <c r="D640" s="276" t="inlineStr">
        <is>
          <t>T1499</t>
        </is>
      </c>
      <c r="E640" s="276" t="inlineStr">
        <is>
          <t>Endpoint Denial of Service</t>
        </is>
      </c>
      <c r="F640" s="276" t="inlineStr">
        <is>
          <t>S5</t>
        </is>
      </c>
      <c r="G640" s="276" t="b">
        <v>1</v>
      </c>
      <c r="H640" s="276" t="b">
        <v>1</v>
      </c>
      <c r="I640" s="276" t="b">
        <v>1</v>
      </c>
      <c r="J640" s="276" t="n">
        <v>1</v>
      </c>
      <c r="K640" s="276" t="n">
        <v>0.225</v>
      </c>
      <c r="L640" s="276" t="n">
        <v>0.225</v>
      </c>
      <c r="M640" s="276" t="inlineStr">
        <is>
          <t>Windows; Linux; Network Devices</t>
        </is>
      </c>
      <c r="N640" s="276" t="inlineStr">
        <is>
          <t>https://attack.mitre.org/techniques/T1499/</t>
        </is>
      </c>
      <c r="O640" s="276" t="n"/>
      <c r="P640" s="277" t="n"/>
    </row>
    <row r="641">
      <c r="A641" s="275" t="inlineStr">
        <is>
          <t>Hacktivist</t>
        </is>
      </c>
      <c r="B641" s="276" t="inlineStr">
        <is>
          <t>Critical business-service disruption</t>
        </is>
      </c>
      <c r="C641" s="276" t="inlineStr">
        <is>
          <t>Insider or trusted access</t>
        </is>
      </c>
      <c r="D641" s="276" t="inlineStr">
        <is>
          <t>T1098</t>
        </is>
      </c>
      <c r="E641" s="276" t="inlineStr">
        <is>
          <t>Account Manipulation</t>
        </is>
      </c>
      <c r="F641" s="276" t="inlineStr">
        <is>
          <t>S3</t>
        </is>
      </c>
      <c r="G641" s="276" t="b">
        <v>1</v>
      </c>
      <c r="H641" s="276" t="b">
        <v>1</v>
      </c>
      <c r="I641" s="276" t="b">
        <v>1</v>
      </c>
      <c r="J641" s="276" t="n">
        <v>0.8</v>
      </c>
      <c r="K641" s="276" t="n">
        <v>0.2477547340393066</v>
      </c>
      <c r="L641" s="276" t="n">
        <v>0.2477547340393066</v>
      </c>
      <c r="M641" s="276" t="inlineStr">
        <is>
          <t>Identity Provider; SaaS; Windows</t>
        </is>
      </c>
      <c r="N641" s="276" t="inlineStr">
        <is>
          <t>https://attack.mitre.org/techniques/T1098/</t>
        </is>
      </c>
      <c r="O641" s="276" t="n"/>
      <c r="P641" s="277" t="n"/>
    </row>
    <row r="642">
      <c r="A642" s="275" t="inlineStr">
        <is>
          <t>Hacktivist</t>
        </is>
      </c>
      <c r="B642" s="276" t="inlineStr">
        <is>
          <t>Critical business-service disruption</t>
        </is>
      </c>
      <c r="C642" s="276" t="inlineStr">
        <is>
          <t>Insider or trusted access</t>
        </is>
      </c>
      <c r="D642" s="276" t="inlineStr">
        <is>
          <t>T1087</t>
        </is>
      </c>
      <c r="E642" s="276" t="inlineStr">
        <is>
          <t>Account Discovery</t>
        </is>
      </c>
      <c r="F642" s="276" t="inlineStr">
        <is>
          <t>S4</t>
        </is>
      </c>
      <c r="G642" s="276" t="b">
        <v>1</v>
      </c>
      <c r="H642" s="276" t="b">
        <v>1</v>
      </c>
      <c r="I642" s="276" t="b">
        <v>1</v>
      </c>
      <c r="J642" s="276" t="n">
        <v>0.6</v>
      </c>
      <c r="K642" s="276" t="n">
        <v>0</v>
      </c>
      <c r="L642" s="276" t="n">
        <v>0</v>
      </c>
      <c r="M642" s="276" t="inlineStr">
        <is>
          <t>Identity Provider; SaaS; Windows</t>
        </is>
      </c>
      <c r="N642" s="276" t="inlineStr">
        <is>
          <t>https://attack.mitre.org/techniques/T1087/</t>
        </is>
      </c>
      <c r="O642" s="276" t="n"/>
      <c r="P642" s="277" t="n"/>
    </row>
    <row r="643">
      <c r="A643" s="275" t="inlineStr">
        <is>
          <t>Hacktivist</t>
        </is>
      </c>
      <c r="B643" s="276" t="inlineStr">
        <is>
          <t>Critical business-service disruption</t>
        </is>
      </c>
      <c r="C643" s="276" t="inlineStr">
        <is>
          <t>Insider or trusted access</t>
        </is>
      </c>
      <c r="D643" s="276" t="inlineStr">
        <is>
          <t>T1213</t>
        </is>
      </c>
      <c r="E643" s="276" t="inlineStr">
        <is>
          <t>Data from Information Repositories</t>
        </is>
      </c>
      <c r="F643" s="276" t="inlineStr">
        <is>
          <t>S4</t>
        </is>
      </c>
      <c r="G643" s="276" t="b">
        <v>0</v>
      </c>
      <c r="H643" s="276" t="b">
        <v>0</v>
      </c>
      <c r="I643" s="276" t="b">
        <v>0</v>
      </c>
      <c r="J643" s="276" t="n">
        <v>0.9</v>
      </c>
      <c r="K643" s="276" t="n">
        <v>0.177890625</v>
      </c>
      <c r="L643" s="276" t="n">
        <v>0.177890625</v>
      </c>
      <c r="M643" s="276" t="inlineStr">
        <is>
          <t>SaaS; Office Suite; Windows</t>
        </is>
      </c>
      <c r="N643" s="276" t="inlineStr">
        <is>
          <t>https://attack.mitre.org/techniques/T1213/</t>
        </is>
      </c>
      <c r="O643" s="276" t="n"/>
      <c r="P643" s="277" t="n"/>
    </row>
    <row r="644">
      <c r="A644" s="275" t="inlineStr">
        <is>
          <t>Hacktivist</t>
        </is>
      </c>
      <c r="B644" s="276" t="inlineStr">
        <is>
          <t>Critical business-service disruption</t>
        </is>
      </c>
      <c r="C644" s="276" t="inlineStr">
        <is>
          <t>Insider or trusted access</t>
        </is>
      </c>
      <c r="D644" s="276" t="inlineStr">
        <is>
          <t>T1567</t>
        </is>
      </c>
      <c r="E644" s="276" t="inlineStr">
        <is>
          <t>Exfiltration Over Web Service</t>
        </is>
      </c>
      <c r="F644" s="276" t="inlineStr">
        <is>
          <t>S5</t>
        </is>
      </c>
      <c r="G644" s="276" t="b">
        <v>1</v>
      </c>
      <c r="H644" s="276" t="b">
        <v>0</v>
      </c>
      <c r="I644" s="276" t="b">
        <v>0</v>
      </c>
      <c r="J644" s="276" t="n">
        <v>0.8</v>
      </c>
      <c r="K644" s="276" t="n">
        <v>0.20625</v>
      </c>
      <c r="L644" s="276" t="n">
        <v>0.20625</v>
      </c>
      <c r="M644" s="276" t="inlineStr">
        <is>
          <t>SaaS; Office Suite</t>
        </is>
      </c>
      <c r="N644" s="276" t="inlineStr">
        <is>
          <t>https://attack.mitre.org/techniques/T1567/</t>
        </is>
      </c>
      <c r="O644" s="276" t="n"/>
      <c r="P644" s="277" t="n"/>
    </row>
    <row r="645">
      <c r="A645" s="275" t="inlineStr">
        <is>
          <t>Hacktivist</t>
        </is>
      </c>
      <c r="B645" s="276" t="inlineStr">
        <is>
          <t>Critical business-service disruption</t>
        </is>
      </c>
      <c r="C645" s="276" t="inlineStr">
        <is>
          <t>Insider or trusted access</t>
        </is>
      </c>
      <c r="D645" s="276" t="inlineStr">
        <is>
          <t>T1565</t>
        </is>
      </c>
      <c r="E645" s="276" t="inlineStr">
        <is>
          <t>Data Manipulation</t>
        </is>
      </c>
      <c r="F645" s="276" t="inlineStr">
        <is>
          <t>S5</t>
        </is>
      </c>
      <c r="G645" s="276" t="b">
        <v>1</v>
      </c>
      <c r="H645" s="276" t="b">
        <v>1</v>
      </c>
      <c r="I645" s="276" t="b">
        <v>1</v>
      </c>
      <c r="J645" s="276" t="n">
        <v>0.9</v>
      </c>
      <c r="K645" s="276" t="n">
        <v>0.2206064987182617</v>
      </c>
      <c r="L645" s="276" t="n">
        <v>0.2206064987182617</v>
      </c>
      <c r="M645" s="276" t="inlineStr">
        <is>
          <t>SaaS; Databases; Windows</t>
        </is>
      </c>
      <c r="N645" s="276" t="inlineStr">
        <is>
          <t>https://attack.mitre.org/techniques/T1565/</t>
        </is>
      </c>
      <c r="O645" s="276" t="n"/>
      <c r="P645" s="277" t="n"/>
    </row>
    <row r="646">
      <c r="A646" s="275" t="inlineStr">
        <is>
          <t>Hacktivist</t>
        </is>
      </c>
      <c r="B646" s="276" t="inlineStr">
        <is>
          <t>Critical business-service disruption</t>
        </is>
      </c>
      <c r="C646" s="276" t="inlineStr">
        <is>
          <t>Insider or trusted access</t>
        </is>
      </c>
      <c r="D646" s="276" t="inlineStr">
        <is>
          <t>T1657</t>
        </is>
      </c>
      <c r="E646" s="276" t="inlineStr">
        <is>
          <t>Financial Theft</t>
        </is>
      </c>
      <c r="F646" s="276" t="inlineStr">
        <is>
          <t>S5</t>
        </is>
      </c>
      <c r="G646" s="276" t="b">
        <v>0</v>
      </c>
      <c r="H646" s="276" t="b">
        <v>0</v>
      </c>
      <c r="I646" s="276" t="b">
        <v>0</v>
      </c>
      <c r="J646" s="276" t="n">
        <v>0.9</v>
      </c>
      <c r="K646" s="276" t="n">
        <v>0.275654296875</v>
      </c>
      <c r="L646" s="276" t="n">
        <v>0.275654296875</v>
      </c>
      <c r="M646" s="276" t="inlineStr">
        <is>
          <t>SaaS; Office Suite; Identity Provider</t>
        </is>
      </c>
      <c r="N646" s="276" t="inlineStr">
        <is>
          <t>https://attack.mitre.org/techniques/T1657/</t>
        </is>
      </c>
      <c r="O646" s="276" t="n"/>
      <c r="P646" s="277" t="n"/>
    </row>
    <row r="647">
      <c r="A647" s="275" t="inlineStr">
        <is>
          <t>Hacktivist</t>
        </is>
      </c>
      <c r="B647" s="276" t="inlineStr">
        <is>
          <t>Sensitive-data compromise</t>
        </is>
      </c>
      <c r="C647" s="276" t="inlineStr">
        <is>
          <t>Identity and credential compromise</t>
        </is>
      </c>
      <c r="D647" s="276" t="inlineStr">
        <is>
          <t>T1566</t>
        </is>
      </c>
      <c r="E647" s="276" t="inlineStr">
        <is>
          <t>Phishing</t>
        </is>
      </c>
      <c r="F647" s="276" t="inlineStr">
        <is>
          <t>S1</t>
        </is>
      </c>
      <c r="G647" s="276" t="b">
        <v>1</v>
      </c>
      <c r="H647" s="276" t="b">
        <v>1</v>
      </c>
      <c r="I647" s="276" t="b">
        <v>1</v>
      </c>
      <c r="J647" s="276" t="n">
        <v>1</v>
      </c>
      <c r="K647" s="276" t="n">
        <v>0.20625</v>
      </c>
      <c r="L647" s="276" t="n">
        <v>0.20625</v>
      </c>
      <c r="M647" s="276" t="inlineStr">
        <is>
          <t>Windows; SaaS; Office Suite</t>
        </is>
      </c>
      <c r="N647" s="276" t="inlineStr">
        <is>
          <t>https://attack.mitre.org/techniques/T1566/</t>
        </is>
      </c>
      <c r="O647" s="276" t="n"/>
      <c r="P647" s="277" t="n"/>
    </row>
    <row r="648">
      <c r="A648" s="275" t="inlineStr">
        <is>
          <t>Hacktivist</t>
        </is>
      </c>
      <c r="B648" s="276" t="inlineStr">
        <is>
          <t>Sensitive-data compromise</t>
        </is>
      </c>
      <c r="C648" s="276" t="inlineStr">
        <is>
          <t>Identity and credential compromise</t>
        </is>
      </c>
      <c r="D648" s="276" t="inlineStr">
        <is>
          <t>T1078</t>
        </is>
      </c>
      <c r="E648" s="276" t="inlineStr">
        <is>
          <t>Valid Accounts</t>
        </is>
      </c>
      <c r="F648" s="276" t="inlineStr">
        <is>
          <t>S1</t>
        </is>
      </c>
      <c r="G648" s="276" t="b">
        <v>1</v>
      </c>
      <c r="H648" s="276" t="b">
        <v>1</v>
      </c>
      <c r="I648" s="276" t="b">
        <v>1</v>
      </c>
      <c r="J648" s="276" t="n">
        <v>1</v>
      </c>
      <c r="K648" s="276" t="n">
        <v>0.272109375</v>
      </c>
      <c r="L648" s="276" t="n">
        <v>0.272109375</v>
      </c>
      <c r="M648" s="276" t="inlineStr">
        <is>
          <t>Identity Provider; SaaS; IaaS; Windows</t>
        </is>
      </c>
      <c r="N648" s="276" t="inlineStr">
        <is>
          <t>https://attack.mitre.org/techniques/T1078/</t>
        </is>
      </c>
      <c r="O648" s="276" t="n"/>
      <c r="P648" s="277" t="n"/>
    </row>
    <row r="649">
      <c r="A649" s="275" t="inlineStr">
        <is>
          <t>Hacktivist</t>
        </is>
      </c>
      <c r="B649" s="276" t="inlineStr">
        <is>
          <t>Sensitive-data compromise</t>
        </is>
      </c>
      <c r="C649" s="276" t="inlineStr">
        <is>
          <t>Identity and credential compromise</t>
        </is>
      </c>
      <c r="D649" s="276" t="inlineStr">
        <is>
          <t>T1110</t>
        </is>
      </c>
      <c r="E649" s="276" t="inlineStr">
        <is>
          <t>Brute Force</t>
        </is>
      </c>
      <c r="F649" s="276" t="inlineStr">
        <is>
          <t>S1</t>
        </is>
      </c>
      <c r="G649" s="276" t="b">
        <v>1</v>
      </c>
      <c r="H649" s="276" t="b">
        <v>1</v>
      </c>
      <c r="I649" s="276" t="b">
        <v>1</v>
      </c>
      <c r="J649" s="276" t="n">
        <v>0.7</v>
      </c>
      <c r="K649" s="276" t="n">
        <v>0.24375</v>
      </c>
      <c r="L649" s="276" t="n">
        <v>0.24375</v>
      </c>
      <c r="M649" s="276" t="inlineStr">
        <is>
          <t>Identity Provider; SaaS; Windows</t>
        </is>
      </c>
      <c r="N649" s="276" t="inlineStr">
        <is>
          <t>https://attack.mitre.org/techniques/T1110/</t>
        </is>
      </c>
      <c r="O649" s="276" t="n"/>
      <c r="P649" s="277" t="n"/>
    </row>
    <row r="650">
      <c r="A650" s="275" t="inlineStr">
        <is>
          <t>Hacktivist</t>
        </is>
      </c>
      <c r="B650" s="276" t="inlineStr">
        <is>
          <t>Sensitive-data compromise</t>
        </is>
      </c>
      <c r="C650" s="276" t="inlineStr">
        <is>
          <t>Identity and credential compromise</t>
        </is>
      </c>
      <c r="D650" s="276" t="inlineStr">
        <is>
          <t>T1098</t>
        </is>
      </c>
      <c r="E650" s="276" t="inlineStr">
        <is>
          <t>Account Manipulation</t>
        </is>
      </c>
      <c r="F650" s="276" t="inlineStr">
        <is>
          <t>S3</t>
        </is>
      </c>
      <c r="G650" s="276" t="b">
        <v>1</v>
      </c>
      <c r="H650" s="276" t="b">
        <v>1</v>
      </c>
      <c r="I650" s="276" t="b">
        <v>1</v>
      </c>
      <c r="J650" s="276" t="n">
        <v>0.7</v>
      </c>
      <c r="K650" s="276" t="n">
        <v>0.2477547340393066</v>
      </c>
      <c r="L650" s="276" t="n">
        <v>0.2477547340393066</v>
      </c>
      <c r="M650" s="276" t="inlineStr">
        <is>
          <t>Identity Provider; SaaS; Windows</t>
        </is>
      </c>
      <c r="N650" s="276" t="inlineStr">
        <is>
          <t>https://attack.mitre.org/techniques/T1098/</t>
        </is>
      </c>
      <c r="O650" s="276" t="n"/>
      <c r="P650" s="277" t="n"/>
    </row>
    <row r="651">
      <c r="A651" s="275" t="inlineStr">
        <is>
          <t>Hacktivist</t>
        </is>
      </c>
      <c r="B651" s="276" t="inlineStr">
        <is>
          <t>Sensitive-data compromise</t>
        </is>
      </c>
      <c r="C651" s="276" t="inlineStr">
        <is>
          <t>Identity and credential compromise</t>
        </is>
      </c>
      <c r="D651" s="276" t="inlineStr">
        <is>
          <t>T1087</t>
        </is>
      </c>
      <c r="E651" s="276" t="inlineStr">
        <is>
          <t>Account Discovery</t>
        </is>
      </c>
      <c r="F651" s="276" t="inlineStr">
        <is>
          <t>S4</t>
        </is>
      </c>
      <c r="G651" s="276" t="b">
        <v>1</v>
      </c>
      <c r="H651" s="276" t="b">
        <v>1</v>
      </c>
      <c r="I651" s="276" t="b">
        <v>1</v>
      </c>
      <c r="J651" s="276" t="n">
        <v>0.6</v>
      </c>
      <c r="K651" s="276" t="n">
        <v>0</v>
      </c>
      <c r="L651" s="276" t="n">
        <v>0</v>
      </c>
      <c r="M651" s="276" t="inlineStr">
        <is>
          <t>Identity Provider; SaaS; Windows</t>
        </is>
      </c>
      <c r="N651" s="276" t="inlineStr">
        <is>
          <t>https://attack.mitre.org/techniques/T1087/</t>
        </is>
      </c>
      <c r="O651" s="276" t="n"/>
      <c r="P651" s="277" t="n"/>
    </row>
    <row r="652">
      <c r="A652" s="275" t="inlineStr">
        <is>
          <t>Hacktivist</t>
        </is>
      </c>
      <c r="B652" s="276" t="inlineStr">
        <is>
          <t>Sensitive-data compromise</t>
        </is>
      </c>
      <c r="C652" s="276" t="inlineStr">
        <is>
          <t>Identity and credential compromise</t>
        </is>
      </c>
      <c r="D652" s="276" t="inlineStr">
        <is>
          <t>T1213</t>
        </is>
      </c>
      <c r="E652" s="276" t="inlineStr">
        <is>
          <t>Data from Information Repositories</t>
        </is>
      </c>
      <c r="F652" s="276" t="inlineStr">
        <is>
          <t>S4</t>
        </is>
      </c>
      <c r="G652" s="276" t="b">
        <v>0</v>
      </c>
      <c r="H652" s="276" t="b">
        <v>1</v>
      </c>
      <c r="I652" s="276" t="b">
        <v>0</v>
      </c>
      <c r="J652" s="276" t="n">
        <v>0.8</v>
      </c>
      <c r="K652" s="276" t="n">
        <v>0.177890625</v>
      </c>
      <c r="L652" s="276" t="n">
        <v>0.177890625</v>
      </c>
      <c r="M652" s="276" t="inlineStr">
        <is>
          <t>SaaS; Office Suite; Windows</t>
        </is>
      </c>
      <c r="N652" s="276" t="inlineStr">
        <is>
          <t>https://attack.mitre.org/techniques/T1213/</t>
        </is>
      </c>
      <c r="O652" s="276" t="n"/>
      <c r="P652" s="277" t="n"/>
    </row>
    <row r="653">
      <c r="A653" s="275" t="inlineStr">
        <is>
          <t>Hacktivist</t>
        </is>
      </c>
      <c r="B653" s="276" t="inlineStr">
        <is>
          <t>Sensitive-data compromise</t>
        </is>
      </c>
      <c r="C653" s="276" t="inlineStr">
        <is>
          <t>Identity and credential compromise</t>
        </is>
      </c>
      <c r="D653" s="276" t="inlineStr">
        <is>
          <t>T1567</t>
        </is>
      </c>
      <c r="E653" s="276" t="inlineStr">
        <is>
          <t>Exfiltration Over Web Service</t>
        </is>
      </c>
      <c r="F653" s="276" t="inlineStr">
        <is>
          <t>S5</t>
        </is>
      </c>
      <c r="G653" s="276" t="b">
        <v>1</v>
      </c>
      <c r="H653" s="276" t="b">
        <v>1</v>
      </c>
      <c r="I653" s="276" t="b">
        <v>1</v>
      </c>
      <c r="J653" s="276" t="n">
        <v>0.7</v>
      </c>
      <c r="K653" s="276" t="n">
        <v>0.20625</v>
      </c>
      <c r="L653" s="276" t="n">
        <v>0.20625</v>
      </c>
      <c r="M653" s="276" t="inlineStr">
        <is>
          <t>SaaS; Office Suite</t>
        </is>
      </c>
      <c r="N653" s="276" t="inlineStr">
        <is>
          <t>https://attack.mitre.org/techniques/T1567/</t>
        </is>
      </c>
      <c r="O653" s="276" t="n"/>
      <c r="P653" s="277" t="n"/>
    </row>
    <row r="654">
      <c r="A654" s="275" t="inlineStr">
        <is>
          <t>Hacktivist</t>
        </is>
      </c>
      <c r="B654" s="276" t="inlineStr">
        <is>
          <t>Sensitive-data compromise</t>
        </is>
      </c>
      <c r="C654" s="276" t="inlineStr">
        <is>
          <t>Identity and credential compromise</t>
        </is>
      </c>
      <c r="D654" s="276" t="inlineStr">
        <is>
          <t>T1657</t>
        </is>
      </c>
      <c r="E654" s="276" t="inlineStr">
        <is>
          <t>Financial Theft</t>
        </is>
      </c>
      <c r="F654" s="276" t="inlineStr">
        <is>
          <t>S5</t>
        </is>
      </c>
      <c r="G654" s="276" t="b">
        <v>0</v>
      </c>
      <c r="H654" s="276" t="b">
        <v>0</v>
      </c>
      <c r="I654" s="276" t="b">
        <v>0</v>
      </c>
      <c r="J654" s="276" t="n">
        <v>0.8</v>
      </c>
      <c r="K654" s="276" t="n">
        <v>0.275654296875</v>
      </c>
      <c r="L654" s="276" t="n">
        <v>0.275654296875</v>
      </c>
      <c r="M654" s="276" t="inlineStr">
        <is>
          <t>SaaS; Office Suite; Identity Provider</t>
        </is>
      </c>
      <c r="N654" s="276" t="inlineStr">
        <is>
          <t>https://attack.mitre.org/techniques/T1657/</t>
        </is>
      </c>
      <c r="O654" s="276" t="n"/>
      <c r="P654" s="277" t="n"/>
    </row>
    <row r="655">
      <c r="A655" s="275" t="inlineStr">
        <is>
          <t>Hacktivist</t>
        </is>
      </c>
      <c r="B655" s="276" t="inlineStr">
        <is>
          <t>Sensitive-data compromise</t>
        </is>
      </c>
      <c r="C655" s="276" t="inlineStr">
        <is>
          <t>Identity and credential compromise</t>
        </is>
      </c>
      <c r="D655" s="276" t="inlineStr">
        <is>
          <t>T1565</t>
        </is>
      </c>
      <c r="E655" s="276" t="inlineStr">
        <is>
          <t>Data Manipulation</t>
        </is>
      </c>
      <c r="F655" s="276" t="inlineStr">
        <is>
          <t>S5</t>
        </is>
      </c>
      <c r="G655" s="276" t="b">
        <v>1</v>
      </c>
      <c r="H655" s="276" t="b">
        <v>0</v>
      </c>
      <c r="I655" s="276" t="b">
        <v>0</v>
      </c>
      <c r="J655" s="276" t="n">
        <v>0.5</v>
      </c>
      <c r="K655" s="276" t="n">
        <v>0.2206064987182617</v>
      </c>
      <c r="L655" s="276" t="n">
        <v>0.2206064987182617</v>
      </c>
      <c r="M655" s="276" t="inlineStr">
        <is>
          <t>SaaS; Databases; Windows</t>
        </is>
      </c>
      <c r="N655" s="276" t="inlineStr">
        <is>
          <t>https://attack.mitre.org/techniques/T1565/</t>
        </is>
      </c>
      <c r="O655" s="276" t="n"/>
      <c r="P655" s="277" t="n"/>
    </row>
    <row r="656">
      <c r="A656" s="275" t="inlineStr">
        <is>
          <t>Hacktivist</t>
        </is>
      </c>
      <c r="B656" s="276" t="inlineStr">
        <is>
          <t>Sensitive-data compromise</t>
        </is>
      </c>
      <c r="C656" s="276" t="inlineStr">
        <is>
          <t>Identity and credential compromise</t>
        </is>
      </c>
      <c r="D656" s="276" t="inlineStr">
        <is>
          <t>T1486</t>
        </is>
      </c>
      <c r="E656" s="276" t="inlineStr">
        <is>
          <t>Data Encrypted for Impact</t>
        </is>
      </c>
      <c r="F656" s="276" t="inlineStr">
        <is>
          <t>S5</t>
        </is>
      </c>
      <c r="G656" s="276" t="b">
        <v>0</v>
      </c>
      <c r="H656" s="276" t="b">
        <v>0</v>
      </c>
      <c r="I656" s="276" t="b">
        <v>0</v>
      </c>
      <c r="J656" s="276" t="n">
        <v>0.7</v>
      </c>
      <c r="K656" s="276" t="n">
        <v>0.16875</v>
      </c>
      <c r="L656" s="276" t="n">
        <v>0.16875</v>
      </c>
      <c r="M656" s="276" t="inlineStr">
        <is>
          <t>Windows; Linux; IaaS</t>
        </is>
      </c>
      <c r="N656" s="276" t="inlineStr">
        <is>
          <t>https://attack.mitre.org/techniques/T1486/</t>
        </is>
      </c>
      <c r="O656" s="276" t="n"/>
      <c r="P656" s="277" t="n"/>
    </row>
    <row r="657">
      <c r="A657" s="275" t="inlineStr">
        <is>
          <t>Hacktivist</t>
        </is>
      </c>
      <c r="B657" s="276" t="inlineStr">
        <is>
          <t>Sensitive-data compromise</t>
        </is>
      </c>
      <c r="C657" s="276" t="inlineStr">
        <is>
          <t>Identity and credential compromise</t>
        </is>
      </c>
      <c r="D657" s="276" t="inlineStr">
        <is>
          <t>T1490</t>
        </is>
      </c>
      <c r="E657" s="276" t="inlineStr">
        <is>
          <t>Inhibit System Recovery</t>
        </is>
      </c>
      <c r="F657" s="276" t="inlineStr">
        <is>
          <t>S5</t>
        </is>
      </c>
      <c r="G657" s="276" t="b">
        <v>0</v>
      </c>
      <c r="H657" s="276" t="b">
        <v>0</v>
      </c>
      <c r="I657" s="276" t="b">
        <v>0</v>
      </c>
      <c r="J657" s="276" t="n">
        <v>0.6</v>
      </c>
      <c r="K657" s="276" t="n">
        <v>0</v>
      </c>
      <c r="L657" s="276" t="n">
        <v>0</v>
      </c>
      <c r="M657" s="276" t="inlineStr">
        <is>
          <t>Windows; Linux; IaaS</t>
        </is>
      </c>
      <c r="N657" s="276" t="inlineStr">
        <is>
          <t>https://attack.mitre.org/techniques/T1490/</t>
        </is>
      </c>
      <c r="O657" s="276" t="n"/>
      <c r="P657" s="277" t="n"/>
    </row>
    <row r="658">
      <c r="A658" s="275" t="inlineStr">
        <is>
          <t>Hacktivist</t>
        </is>
      </c>
      <c r="B658" s="276" t="inlineStr">
        <is>
          <t>Sensitive-data compromise</t>
        </is>
      </c>
      <c r="C658" s="276" t="inlineStr">
        <is>
          <t>User endpoint and social engineering</t>
        </is>
      </c>
      <c r="D658" s="276" t="inlineStr">
        <is>
          <t>T1566</t>
        </is>
      </c>
      <c r="E658" s="276" t="inlineStr">
        <is>
          <t>Phishing</t>
        </is>
      </c>
      <c r="F658" s="276" t="inlineStr">
        <is>
          <t>S1</t>
        </is>
      </c>
      <c r="G658" s="276" t="b">
        <v>1</v>
      </c>
      <c r="H658" s="276" t="b">
        <v>1</v>
      </c>
      <c r="I658" s="276" t="b">
        <v>1</v>
      </c>
      <c r="J658" s="276" t="n">
        <v>1</v>
      </c>
      <c r="K658" s="276" t="n">
        <v>0.20625</v>
      </c>
      <c r="L658" s="276" t="n">
        <v>0.20625</v>
      </c>
      <c r="M658" s="276" t="inlineStr">
        <is>
          <t>Windows; SaaS; Office Suite</t>
        </is>
      </c>
      <c r="N658" s="276" t="inlineStr">
        <is>
          <t>https://attack.mitre.org/techniques/T1566/</t>
        </is>
      </c>
      <c r="O658" s="276" t="n"/>
      <c r="P658" s="277" t="n"/>
    </row>
    <row r="659">
      <c r="A659" s="275" t="inlineStr">
        <is>
          <t>Hacktivist</t>
        </is>
      </c>
      <c r="B659" s="276" t="inlineStr">
        <is>
          <t>Sensitive-data compromise</t>
        </is>
      </c>
      <c r="C659" s="276" t="inlineStr">
        <is>
          <t>User endpoint and social engineering</t>
        </is>
      </c>
      <c r="D659" s="276" t="inlineStr">
        <is>
          <t>T1203</t>
        </is>
      </c>
      <c r="E659" s="276" t="inlineStr">
        <is>
          <t>Exploitation for Client Execution</t>
        </is>
      </c>
      <c r="F659" s="276" t="inlineStr">
        <is>
          <t>S2</t>
        </is>
      </c>
      <c r="G659" s="276" t="b">
        <v>0</v>
      </c>
      <c r="H659" s="276" t="b">
        <v>1</v>
      </c>
      <c r="I659" s="276" t="b">
        <v>0</v>
      </c>
      <c r="J659" s="276" t="n">
        <v>0.8</v>
      </c>
      <c r="K659" s="276" t="n">
        <v>0.2404920959472656</v>
      </c>
      <c r="L659" s="276" t="n">
        <v>0.2404920959472656</v>
      </c>
      <c r="M659" s="276" t="inlineStr">
        <is>
          <t>Windows; macOS; Linux</t>
        </is>
      </c>
      <c r="N659" s="276" t="inlineStr">
        <is>
          <t>https://attack.mitre.org/techniques/T1203/</t>
        </is>
      </c>
      <c r="O659" s="276" t="n"/>
      <c r="P659" s="277" t="n"/>
    </row>
    <row r="660">
      <c r="A660" s="275" t="inlineStr">
        <is>
          <t>Hacktivist</t>
        </is>
      </c>
      <c r="B660" s="276" t="inlineStr">
        <is>
          <t>Sensitive-data compromise</t>
        </is>
      </c>
      <c r="C660" s="276" t="inlineStr">
        <is>
          <t>User endpoint and social engineering</t>
        </is>
      </c>
      <c r="D660" s="276" t="inlineStr">
        <is>
          <t>T1059</t>
        </is>
      </c>
      <c r="E660" s="276" t="inlineStr">
        <is>
          <t>Command and Scripting Interpreter</t>
        </is>
      </c>
      <c r="F660" s="276" t="inlineStr">
        <is>
          <t>S2</t>
        </is>
      </c>
      <c r="G660" s="276" t="b">
        <v>1</v>
      </c>
      <c r="H660" s="276" t="b">
        <v>1</v>
      </c>
      <c r="I660" s="276" t="b">
        <v>1</v>
      </c>
      <c r="J660" s="276" t="n">
        <v>0.9</v>
      </c>
      <c r="K660" s="276" t="n">
        <v>0.1875</v>
      </c>
      <c r="L660" s="276" t="n">
        <v>0.1875</v>
      </c>
      <c r="M660" s="276" t="inlineStr">
        <is>
          <t>Windows; macOS; Linux; IaaS</t>
        </is>
      </c>
      <c r="N660" s="276" t="inlineStr">
        <is>
          <t>https://attack.mitre.org/techniques/T1059/</t>
        </is>
      </c>
      <c r="O660" s="276" t="n"/>
      <c r="P660" s="277" t="n"/>
    </row>
    <row r="661">
      <c r="A661" s="275" t="inlineStr">
        <is>
          <t>Hacktivist</t>
        </is>
      </c>
      <c r="B661" s="276" t="inlineStr">
        <is>
          <t>Sensitive-data compromise</t>
        </is>
      </c>
      <c r="C661" s="276" t="inlineStr">
        <is>
          <t>User endpoint and social engineering</t>
        </is>
      </c>
      <c r="D661" s="276" t="inlineStr">
        <is>
          <t>T1068</t>
        </is>
      </c>
      <c r="E661" s="276" t="inlineStr">
        <is>
          <t>Exploitation for Privilege Escalation</t>
        </is>
      </c>
      <c r="F661" s="276" t="inlineStr">
        <is>
          <t>S3</t>
        </is>
      </c>
      <c r="G661" s="276" t="b">
        <v>1</v>
      </c>
      <c r="H661" s="276" t="b">
        <v>1</v>
      </c>
      <c r="I661" s="276" t="b">
        <v>1</v>
      </c>
      <c r="J661" s="276" t="n">
        <v>0.7</v>
      </c>
      <c r="K661" s="276" t="n">
        <v>0.2094165115356445</v>
      </c>
      <c r="L661" s="276" t="n">
        <v>0.2094165115356445</v>
      </c>
      <c r="M661" s="276" t="inlineStr">
        <is>
          <t>Windows; macOS; Linux</t>
        </is>
      </c>
      <c r="N661" s="276" t="inlineStr">
        <is>
          <t>https://attack.mitre.org/techniques/T1068/</t>
        </is>
      </c>
      <c r="O661" s="276" t="n"/>
      <c r="P661" s="277" t="n"/>
    </row>
    <row r="662">
      <c r="A662" s="275" t="inlineStr">
        <is>
          <t>Hacktivist</t>
        </is>
      </c>
      <c r="B662" s="276" t="inlineStr">
        <is>
          <t>Sensitive-data compromise</t>
        </is>
      </c>
      <c r="C662" s="276" t="inlineStr">
        <is>
          <t>User endpoint and social engineering</t>
        </is>
      </c>
      <c r="D662" s="276" t="inlineStr">
        <is>
          <t>T1003</t>
        </is>
      </c>
      <c r="E662" s="276" t="inlineStr">
        <is>
          <t>OS Credential Dumping</t>
        </is>
      </c>
      <c r="F662" s="276" t="inlineStr">
        <is>
          <t>S3</t>
        </is>
      </c>
      <c r="G662" s="276" t="b">
        <v>1</v>
      </c>
      <c r="H662" s="276" t="b">
        <v>1</v>
      </c>
      <c r="I662" s="276" t="b">
        <v>1</v>
      </c>
      <c r="J662" s="276" t="n">
        <v>0.8</v>
      </c>
      <c r="K662" s="276" t="n">
        <v>0.232294921875</v>
      </c>
      <c r="L662" s="276" t="n">
        <v>0.232294921875</v>
      </c>
      <c r="M662" s="276" t="inlineStr">
        <is>
          <t>Windows; Linux; macOS</t>
        </is>
      </c>
      <c r="N662" s="276" t="inlineStr">
        <is>
          <t>https://attack.mitre.org/techniques/T1003/</t>
        </is>
      </c>
      <c r="O662" s="276" t="n"/>
      <c r="P662" s="277" t="n"/>
    </row>
    <row r="663">
      <c r="A663" s="275" t="inlineStr">
        <is>
          <t>Hacktivist</t>
        </is>
      </c>
      <c r="B663" s="276" t="inlineStr">
        <is>
          <t>Sensitive-data compromise</t>
        </is>
      </c>
      <c r="C663" s="276" t="inlineStr">
        <is>
          <t>User endpoint and social engineering</t>
        </is>
      </c>
      <c r="D663" s="276" t="inlineStr">
        <is>
          <t>T1046</t>
        </is>
      </c>
      <c r="E663" s="276" t="inlineStr">
        <is>
          <t>Network Service Discovery</t>
        </is>
      </c>
      <c r="F663" s="276" t="inlineStr">
        <is>
          <t>S4</t>
        </is>
      </c>
      <c r="G663" s="276" t="b">
        <v>1</v>
      </c>
      <c r="H663" s="276" t="b">
        <v>1</v>
      </c>
      <c r="I663" s="276" t="b">
        <v>1</v>
      </c>
      <c r="J663" s="276" t="n">
        <v>0.6</v>
      </c>
      <c r="K663" s="276" t="n">
        <v>0.16875</v>
      </c>
      <c r="L663" s="276" t="n">
        <v>0.16875</v>
      </c>
      <c r="M663" s="276" t="inlineStr">
        <is>
          <t>Network Devices; Windows; Linux</t>
        </is>
      </c>
      <c r="N663" s="276" t="inlineStr">
        <is>
          <t>https://attack.mitre.org/techniques/T1046/</t>
        </is>
      </c>
      <c r="O663" s="276" t="n"/>
      <c r="P663" s="277" t="n"/>
    </row>
    <row r="664">
      <c r="A664" s="275" t="inlineStr">
        <is>
          <t>Hacktivist</t>
        </is>
      </c>
      <c r="B664" s="276" t="inlineStr">
        <is>
          <t>Sensitive-data compromise</t>
        </is>
      </c>
      <c r="C664" s="276" t="inlineStr">
        <is>
          <t>User endpoint and social engineering</t>
        </is>
      </c>
      <c r="D664" s="276" t="inlineStr">
        <is>
          <t>T1021</t>
        </is>
      </c>
      <c r="E664" s="276" t="inlineStr">
        <is>
          <t>Remote Services</t>
        </is>
      </c>
      <c r="F664" s="276" t="inlineStr">
        <is>
          <t>S4</t>
        </is>
      </c>
      <c r="G664" s="276" t="b">
        <v>1</v>
      </c>
      <c r="H664" s="276" t="b">
        <v>1</v>
      </c>
      <c r="I664" s="276" t="b">
        <v>1</v>
      </c>
      <c r="J664" s="276" t="n">
        <v>0.8</v>
      </c>
      <c r="K664" s="276" t="n">
        <v>0.1875</v>
      </c>
      <c r="L664" s="276" t="n">
        <v>0.1875</v>
      </c>
      <c r="M664" s="276" t="inlineStr">
        <is>
          <t>Windows; Linux; Network Devices</t>
        </is>
      </c>
      <c r="N664" s="276" t="inlineStr">
        <is>
          <t>https://attack.mitre.org/techniques/T1021/</t>
        </is>
      </c>
      <c r="O664" s="276" t="n"/>
      <c r="P664" s="277" t="n"/>
    </row>
    <row r="665">
      <c r="A665" s="275" t="inlineStr">
        <is>
          <t>Hacktivist</t>
        </is>
      </c>
      <c r="B665" s="276" t="inlineStr">
        <is>
          <t>Sensitive-data compromise</t>
        </is>
      </c>
      <c r="C665" s="276" t="inlineStr">
        <is>
          <t>User endpoint and social engineering</t>
        </is>
      </c>
      <c r="D665" s="276" t="inlineStr">
        <is>
          <t>T1213</t>
        </is>
      </c>
      <c r="E665" s="276" t="inlineStr">
        <is>
          <t>Data from Information Repositories</t>
        </is>
      </c>
      <c r="F665" s="276" t="inlineStr">
        <is>
          <t>S4</t>
        </is>
      </c>
      <c r="G665" s="276" t="b">
        <v>0</v>
      </c>
      <c r="H665" s="276" t="b">
        <v>1</v>
      </c>
      <c r="I665" s="276" t="b">
        <v>0</v>
      </c>
      <c r="J665" s="276" t="n">
        <v>0.7</v>
      </c>
      <c r="K665" s="276" t="n">
        <v>0.177890625</v>
      </c>
      <c r="L665" s="276" t="n">
        <v>0.177890625</v>
      </c>
      <c r="M665" s="276" t="inlineStr">
        <is>
          <t>SaaS; Office Suite; Windows</t>
        </is>
      </c>
      <c r="N665" s="276" t="inlineStr">
        <is>
          <t>https://attack.mitre.org/techniques/T1213/</t>
        </is>
      </c>
      <c r="O665" s="276" t="n"/>
      <c r="P665" s="277" t="n"/>
    </row>
    <row r="666">
      <c r="A666" s="275" t="inlineStr">
        <is>
          <t>Hacktivist</t>
        </is>
      </c>
      <c r="B666" s="276" t="inlineStr">
        <is>
          <t>Sensitive-data compromise</t>
        </is>
      </c>
      <c r="C666" s="276" t="inlineStr">
        <is>
          <t>User endpoint and social engineering</t>
        </is>
      </c>
      <c r="D666" s="276" t="inlineStr">
        <is>
          <t>T1486</t>
        </is>
      </c>
      <c r="E666" s="276" t="inlineStr">
        <is>
          <t>Data Encrypted for Impact</t>
        </is>
      </c>
      <c r="F666" s="276" t="inlineStr">
        <is>
          <t>S5</t>
        </is>
      </c>
      <c r="G666" s="276" t="b">
        <v>0</v>
      </c>
      <c r="H666" s="276" t="b">
        <v>0</v>
      </c>
      <c r="I666" s="276" t="b">
        <v>0</v>
      </c>
      <c r="J666" s="276" t="n">
        <v>0.8</v>
      </c>
      <c r="K666" s="276" t="n">
        <v>0.16875</v>
      </c>
      <c r="L666" s="276" t="n">
        <v>0.16875</v>
      </c>
      <c r="M666" s="276" t="inlineStr">
        <is>
          <t>Windows; Linux; IaaS</t>
        </is>
      </c>
      <c r="N666" s="276" t="inlineStr">
        <is>
          <t>https://attack.mitre.org/techniques/T1486/</t>
        </is>
      </c>
      <c r="O666" s="276" t="n"/>
      <c r="P666" s="277" t="n"/>
    </row>
    <row r="667">
      <c r="A667" s="275" t="inlineStr">
        <is>
          <t>Hacktivist</t>
        </is>
      </c>
      <c r="B667" s="276" t="inlineStr">
        <is>
          <t>Sensitive-data compromise</t>
        </is>
      </c>
      <c r="C667" s="276" t="inlineStr">
        <is>
          <t>User endpoint and social engineering</t>
        </is>
      </c>
      <c r="D667" s="276" t="inlineStr">
        <is>
          <t>T1490</t>
        </is>
      </c>
      <c r="E667" s="276" t="inlineStr">
        <is>
          <t>Inhibit System Recovery</t>
        </is>
      </c>
      <c r="F667" s="276" t="inlineStr">
        <is>
          <t>S5</t>
        </is>
      </c>
      <c r="G667" s="276" t="b">
        <v>0</v>
      </c>
      <c r="H667" s="276" t="b">
        <v>0</v>
      </c>
      <c r="I667" s="276" t="b">
        <v>0</v>
      </c>
      <c r="J667" s="276" t="n">
        <v>0.7</v>
      </c>
      <c r="K667" s="276" t="n">
        <v>0</v>
      </c>
      <c r="L667" s="276" t="n">
        <v>0</v>
      </c>
      <c r="M667" s="276" t="inlineStr">
        <is>
          <t>Windows; Linux; IaaS</t>
        </is>
      </c>
      <c r="N667" s="276" t="inlineStr">
        <is>
          <t>https://attack.mitre.org/techniques/T1490/</t>
        </is>
      </c>
      <c r="O667" s="276" t="n"/>
      <c r="P667" s="277" t="n"/>
    </row>
    <row r="668">
      <c r="A668" s="275" t="inlineStr">
        <is>
          <t>Hacktivist</t>
        </is>
      </c>
      <c r="B668" s="276" t="inlineStr">
        <is>
          <t>Sensitive-data compromise</t>
        </is>
      </c>
      <c r="C668" s="276" t="inlineStr">
        <is>
          <t>User endpoint and social engineering</t>
        </is>
      </c>
      <c r="D668" s="276" t="inlineStr">
        <is>
          <t>T1567</t>
        </is>
      </c>
      <c r="E668" s="276" t="inlineStr">
        <is>
          <t>Exfiltration Over Web Service</t>
        </is>
      </c>
      <c r="F668" s="276" t="inlineStr">
        <is>
          <t>S5</t>
        </is>
      </c>
      <c r="G668" s="276" t="b">
        <v>1</v>
      </c>
      <c r="H668" s="276" t="b">
        <v>1</v>
      </c>
      <c r="I668" s="276" t="b">
        <v>1</v>
      </c>
      <c r="J668" s="276" t="n">
        <v>0.7</v>
      </c>
      <c r="K668" s="276" t="n">
        <v>0.20625</v>
      </c>
      <c r="L668" s="276" t="n">
        <v>0.20625</v>
      </c>
      <c r="M668" s="276" t="inlineStr">
        <is>
          <t>SaaS; Office Suite</t>
        </is>
      </c>
      <c r="N668" s="276" t="inlineStr">
        <is>
          <t>https://attack.mitre.org/techniques/T1567/</t>
        </is>
      </c>
      <c r="O668" s="276" t="n"/>
      <c r="P668" s="277" t="n"/>
    </row>
    <row r="669">
      <c r="A669" s="275" t="inlineStr">
        <is>
          <t>Hacktivist</t>
        </is>
      </c>
      <c r="B669" s="276" t="inlineStr">
        <is>
          <t>Sensitive-data compromise</t>
        </is>
      </c>
      <c r="C669" s="276" t="inlineStr">
        <is>
          <t>User endpoint and social engineering</t>
        </is>
      </c>
      <c r="D669" s="276" t="inlineStr">
        <is>
          <t>T1657</t>
        </is>
      </c>
      <c r="E669" s="276" t="inlineStr">
        <is>
          <t>Financial Theft</t>
        </is>
      </c>
      <c r="F669" s="276" t="inlineStr">
        <is>
          <t>S5</t>
        </is>
      </c>
      <c r="G669" s="276" t="b">
        <v>0</v>
      </c>
      <c r="H669" s="276" t="b">
        <v>0</v>
      </c>
      <c r="I669" s="276" t="b">
        <v>0</v>
      </c>
      <c r="J669" s="276" t="n">
        <v>0.5</v>
      </c>
      <c r="K669" s="276" t="n">
        <v>0.275654296875</v>
      </c>
      <c r="L669" s="276" t="n">
        <v>0.275654296875</v>
      </c>
      <c r="M669" s="276" t="inlineStr">
        <is>
          <t>SaaS; Office Suite; Identity Provider</t>
        </is>
      </c>
      <c r="N669" s="276" t="inlineStr">
        <is>
          <t>https://attack.mitre.org/techniques/T1657/</t>
        </is>
      </c>
      <c r="O669" s="276" t="n"/>
      <c r="P669" s="277" t="n"/>
    </row>
    <row r="670">
      <c r="A670" s="275" t="inlineStr">
        <is>
          <t>Hacktivist</t>
        </is>
      </c>
      <c r="B670" s="276" t="inlineStr">
        <is>
          <t>Sensitive-data compromise</t>
        </is>
      </c>
      <c r="C670" s="276" t="inlineStr">
        <is>
          <t>User endpoint and social engineering</t>
        </is>
      </c>
      <c r="D670" s="276" t="inlineStr">
        <is>
          <t>T1565</t>
        </is>
      </c>
      <c r="E670" s="276" t="inlineStr">
        <is>
          <t>Data Manipulation</t>
        </is>
      </c>
      <c r="F670" s="276" t="inlineStr">
        <is>
          <t>S5</t>
        </is>
      </c>
      <c r="G670" s="276" t="b">
        <v>1</v>
      </c>
      <c r="H670" s="276" t="b">
        <v>0</v>
      </c>
      <c r="I670" s="276" t="b">
        <v>0</v>
      </c>
      <c r="J670" s="276" t="n">
        <v>0.5</v>
      </c>
      <c r="K670" s="276" t="n">
        <v>0.2206064987182617</v>
      </c>
      <c r="L670" s="276" t="n">
        <v>0.2206064987182617</v>
      </c>
      <c r="M670" s="276" t="inlineStr">
        <is>
          <t>SaaS; Databases; Windows</t>
        </is>
      </c>
      <c r="N670" s="276" t="inlineStr">
        <is>
          <t>https://attack.mitre.org/techniques/T1565/</t>
        </is>
      </c>
      <c r="O670" s="276" t="n"/>
      <c r="P670" s="277" t="n"/>
    </row>
    <row r="671">
      <c r="A671" s="275" t="inlineStr">
        <is>
          <t>Hacktivist</t>
        </is>
      </c>
      <c r="B671" s="276" t="inlineStr">
        <is>
          <t>Sensitive-data compromise</t>
        </is>
      </c>
      <c r="C671" s="276" t="inlineStr">
        <is>
          <t>Public-facing application exploitation</t>
        </is>
      </c>
      <c r="D671" s="276" t="inlineStr">
        <is>
          <t>T1190</t>
        </is>
      </c>
      <c r="E671" s="276" t="inlineStr">
        <is>
          <t>Exploit Public-Facing Application</t>
        </is>
      </c>
      <c r="F671" s="276" t="inlineStr">
        <is>
          <t>S1</t>
        </is>
      </c>
      <c r="G671" s="276" t="b">
        <v>1</v>
      </c>
      <c r="H671" s="276" t="b">
        <v>1</v>
      </c>
      <c r="I671" s="276" t="b">
        <v>1</v>
      </c>
      <c r="J671" s="276" t="n">
        <v>1</v>
      </c>
      <c r="K671" s="276" t="n">
        <v>0.2496630477905274</v>
      </c>
      <c r="L671" s="276" t="n">
        <v>0.2496630477905274</v>
      </c>
      <c r="M671" s="276" t="inlineStr">
        <is>
          <t>Network Devices; SaaS; IaaS</t>
        </is>
      </c>
      <c r="N671" s="276" t="inlineStr">
        <is>
          <t>https://attack.mitre.org/techniques/T1190/</t>
        </is>
      </c>
      <c r="O671" s="276" t="n"/>
      <c r="P671" s="277" t="n"/>
    </row>
    <row r="672">
      <c r="A672" s="275" t="inlineStr">
        <is>
          <t>Hacktivist</t>
        </is>
      </c>
      <c r="B672" s="276" t="inlineStr">
        <is>
          <t>Sensitive-data compromise</t>
        </is>
      </c>
      <c r="C672" s="276" t="inlineStr">
        <is>
          <t>Public-facing application exploitation</t>
        </is>
      </c>
      <c r="D672" s="276" t="inlineStr">
        <is>
          <t>T1059</t>
        </is>
      </c>
      <c r="E672" s="276" t="inlineStr">
        <is>
          <t>Command and Scripting Interpreter</t>
        </is>
      </c>
      <c r="F672" s="276" t="inlineStr">
        <is>
          <t>S2</t>
        </is>
      </c>
      <c r="G672" s="276" t="b">
        <v>1</v>
      </c>
      <c r="H672" s="276" t="b">
        <v>1</v>
      </c>
      <c r="I672" s="276" t="b">
        <v>1</v>
      </c>
      <c r="J672" s="276" t="n">
        <v>0.8</v>
      </c>
      <c r="K672" s="276" t="n">
        <v>0.1875</v>
      </c>
      <c r="L672" s="276" t="n">
        <v>0.1875</v>
      </c>
      <c r="M672" s="276" t="inlineStr">
        <is>
          <t>Windows; macOS; Linux; IaaS</t>
        </is>
      </c>
      <c r="N672" s="276" t="inlineStr">
        <is>
          <t>https://attack.mitre.org/techniques/T1059/</t>
        </is>
      </c>
      <c r="O672" s="276" t="n"/>
      <c r="P672" s="277" t="n"/>
    </row>
    <row r="673">
      <c r="A673" s="275" t="inlineStr">
        <is>
          <t>Hacktivist</t>
        </is>
      </c>
      <c r="B673" s="276" t="inlineStr">
        <is>
          <t>Sensitive-data compromise</t>
        </is>
      </c>
      <c r="C673" s="276" t="inlineStr">
        <is>
          <t>Public-facing application exploitation</t>
        </is>
      </c>
      <c r="D673" s="276" t="inlineStr">
        <is>
          <t>T1068</t>
        </is>
      </c>
      <c r="E673" s="276" t="inlineStr">
        <is>
          <t>Exploitation for Privilege Escalation</t>
        </is>
      </c>
      <c r="F673" s="276" t="inlineStr">
        <is>
          <t>S3</t>
        </is>
      </c>
      <c r="G673" s="276" t="b">
        <v>1</v>
      </c>
      <c r="H673" s="276" t="b">
        <v>1</v>
      </c>
      <c r="I673" s="276" t="b">
        <v>1</v>
      </c>
      <c r="J673" s="276" t="n">
        <v>0.7</v>
      </c>
      <c r="K673" s="276" t="n">
        <v>0.2094165115356445</v>
      </c>
      <c r="L673" s="276" t="n">
        <v>0.2094165115356445</v>
      </c>
      <c r="M673" s="276" t="inlineStr">
        <is>
          <t>Windows; macOS; Linux</t>
        </is>
      </c>
      <c r="N673" s="276" t="inlineStr">
        <is>
          <t>https://attack.mitre.org/techniques/T1068/</t>
        </is>
      </c>
      <c r="O673" s="276" t="n"/>
      <c r="P673" s="277" t="n"/>
    </row>
    <row r="674">
      <c r="A674" s="275" t="inlineStr">
        <is>
          <t>Hacktivist</t>
        </is>
      </c>
      <c r="B674" s="276" t="inlineStr">
        <is>
          <t>Sensitive-data compromise</t>
        </is>
      </c>
      <c r="C674" s="276" t="inlineStr">
        <is>
          <t>Public-facing application exploitation</t>
        </is>
      </c>
      <c r="D674" s="276" t="inlineStr">
        <is>
          <t>T1003</t>
        </is>
      </c>
      <c r="E674" s="276" t="inlineStr">
        <is>
          <t>OS Credential Dumping</t>
        </is>
      </c>
      <c r="F674" s="276" t="inlineStr">
        <is>
          <t>S3</t>
        </is>
      </c>
      <c r="G674" s="276" t="b">
        <v>1</v>
      </c>
      <c r="H674" s="276" t="b">
        <v>1</v>
      </c>
      <c r="I674" s="276" t="b">
        <v>1</v>
      </c>
      <c r="J674" s="276" t="n">
        <v>0.6</v>
      </c>
      <c r="K674" s="276" t="n">
        <v>0.232294921875</v>
      </c>
      <c r="L674" s="276" t="n">
        <v>0.232294921875</v>
      </c>
      <c r="M674" s="276" t="inlineStr">
        <is>
          <t>Windows; Linux; macOS</t>
        </is>
      </c>
      <c r="N674" s="276" t="inlineStr">
        <is>
          <t>https://attack.mitre.org/techniques/T1003/</t>
        </is>
      </c>
      <c r="O674" s="276" t="n"/>
      <c r="P674" s="277" t="n"/>
    </row>
    <row r="675">
      <c r="A675" s="275" t="inlineStr">
        <is>
          <t>Hacktivist</t>
        </is>
      </c>
      <c r="B675" s="276" t="inlineStr">
        <is>
          <t>Sensitive-data compromise</t>
        </is>
      </c>
      <c r="C675" s="276" t="inlineStr">
        <is>
          <t>Public-facing application exploitation</t>
        </is>
      </c>
      <c r="D675" s="276" t="inlineStr">
        <is>
          <t>T1046</t>
        </is>
      </c>
      <c r="E675" s="276" t="inlineStr">
        <is>
          <t>Network Service Discovery</t>
        </is>
      </c>
      <c r="F675" s="276" t="inlineStr">
        <is>
          <t>S4</t>
        </is>
      </c>
      <c r="G675" s="276" t="b">
        <v>1</v>
      </c>
      <c r="H675" s="276" t="b">
        <v>1</v>
      </c>
      <c r="I675" s="276" t="b">
        <v>1</v>
      </c>
      <c r="J675" s="276" t="n">
        <v>0.7</v>
      </c>
      <c r="K675" s="276" t="n">
        <v>0.16875</v>
      </c>
      <c r="L675" s="276" t="n">
        <v>0.16875</v>
      </c>
      <c r="M675" s="276" t="inlineStr">
        <is>
          <t>Network Devices; Windows; Linux</t>
        </is>
      </c>
      <c r="N675" s="276" t="inlineStr">
        <is>
          <t>https://attack.mitre.org/techniques/T1046/</t>
        </is>
      </c>
      <c r="O675" s="276" t="n"/>
      <c r="P675" s="277" t="n"/>
    </row>
    <row r="676">
      <c r="A676" s="275" t="inlineStr">
        <is>
          <t>Hacktivist</t>
        </is>
      </c>
      <c r="B676" s="276" t="inlineStr">
        <is>
          <t>Sensitive-data compromise</t>
        </is>
      </c>
      <c r="C676" s="276" t="inlineStr">
        <is>
          <t>Public-facing application exploitation</t>
        </is>
      </c>
      <c r="D676" s="276" t="inlineStr">
        <is>
          <t>T1210</t>
        </is>
      </c>
      <c r="E676" s="276" t="inlineStr">
        <is>
          <t>Exploitation of Remote Services</t>
        </is>
      </c>
      <c r="F676" s="276" t="inlineStr">
        <is>
          <t>S4</t>
        </is>
      </c>
      <c r="G676" s="276" t="b">
        <v>1</v>
      </c>
      <c r="H676" s="276" t="b">
        <v>1</v>
      </c>
      <c r="I676" s="276" t="b">
        <v>1</v>
      </c>
      <c r="J676" s="276" t="n">
        <v>0.9</v>
      </c>
      <c r="K676" s="276" t="n">
        <v>0.2103495368957519</v>
      </c>
      <c r="L676" s="276" t="n">
        <v>0.2103495368957519</v>
      </c>
      <c r="M676" s="276" t="inlineStr">
        <is>
          <t>Windows; Linux; Network Devices</t>
        </is>
      </c>
      <c r="N676" s="276" t="inlineStr">
        <is>
          <t>https://attack.mitre.org/techniques/T1210/</t>
        </is>
      </c>
      <c r="O676" s="276" t="n"/>
      <c r="P676" s="277" t="n"/>
    </row>
    <row r="677">
      <c r="A677" s="275" t="inlineStr">
        <is>
          <t>Hacktivist</t>
        </is>
      </c>
      <c r="B677" s="276" t="inlineStr">
        <is>
          <t>Sensitive-data compromise</t>
        </is>
      </c>
      <c r="C677" s="276" t="inlineStr">
        <is>
          <t>Public-facing application exploitation</t>
        </is>
      </c>
      <c r="D677" s="276" t="inlineStr">
        <is>
          <t>T1021</t>
        </is>
      </c>
      <c r="E677" s="276" t="inlineStr">
        <is>
          <t>Remote Services</t>
        </is>
      </c>
      <c r="F677" s="276" t="inlineStr">
        <is>
          <t>S4</t>
        </is>
      </c>
      <c r="G677" s="276" t="b">
        <v>1</v>
      </c>
      <c r="H677" s="276" t="b">
        <v>1</v>
      </c>
      <c r="I677" s="276" t="b">
        <v>1</v>
      </c>
      <c r="J677" s="276" t="n">
        <v>0.7</v>
      </c>
      <c r="K677" s="276" t="n">
        <v>0.1875</v>
      </c>
      <c r="L677" s="276" t="n">
        <v>0.1875</v>
      </c>
      <c r="M677" s="276" t="inlineStr">
        <is>
          <t>Windows; Linux; Network Devices</t>
        </is>
      </c>
      <c r="N677" s="276" t="inlineStr">
        <is>
          <t>https://attack.mitre.org/techniques/T1021/</t>
        </is>
      </c>
      <c r="O677" s="276" t="n"/>
      <c r="P677" s="277" t="n"/>
    </row>
    <row r="678">
      <c r="A678" s="275" t="inlineStr">
        <is>
          <t>Hacktivist</t>
        </is>
      </c>
      <c r="B678" s="276" t="inlineStr">
        <is>
          <t>Sensitive-data compromise</t>
        </is>
      </c>
      <c r="C678" s="276" t="inlineStr">
        <is>
          <t>Public-facing application exploitation</t>
        </is>
      </c>
      <c r="D678" s="276" t="inlineStr">
        <is>
          <t>T1486</t>
        </is>
      </c>
      <c r="E678" s="276" t="inlineStr">
        <is>
          <t>Data Encrypted for Impact</t>
        </is>
      </c>
      <c r="F678" s="276" t="inlineStr">
        <is>
          <t>S5</t>
        </is>
      </c>
      <c r="G678" s="276" t="b">
        <v>0</v>
      </c>
      <c r="H678" s="276" t="b">
        <v>0</v>
      </c>
      <c r="I678" s="276" t="b">
        <v>0</v>
      </c>
      <c r="J678" s="276" t="n">
        <v>0.6</v>
      </c>
      <c r="K678" s="276" t="n">
        <v>0.16875</v>
      </c>
      <c r="L678" s="276" t="n">
        <v>0.16875</v>
      </c>
      <c r="M678" s="276" t="inlineStr">
        <is>
          <t>Windows; Linux; IaaS</t>
        </is>
      </c>
      <c r="N678" s="276" t="inlineStr">
        <is>
          <t>https://attack.mitre.org/techniques/T1486/</t>
        </is>
      </c>
      <c r="O678" s="276" t="n"/>
      <c r="P678" s="277" t="n"/>
    </row>
    <row r="679">
      <c r="A679" s="275" t="inlineStr">
        <is>
          <t>Hacktivist</t>
        </is>
      </c>
      <c r="B679" s="276" t="inlineStr">
        <is>
          <t>Sensitive-data compromise</t>
        </is>
      </c>
      <c r="C679" s="276" t="inlineStr">
        <is>
          <t>Public-facing application exploitation</t>
        </is>
      </c>
      <c r="D679" s="276" t="inlineStr">
        <is>
          <t>T1490</t>
        </is>
      </c>
      <c r="E679" s="276" t="inlineStr">
        <is>
          <t>Inhibit System Recovery</t>
        </is>
      </c>
      <c r="F679" s="276" t="inlineStr">
        <is>
          <t>S5</t>
        </is>
      </c>
      <c r="G679" s="276" t="b">
        <v>0</v>
      </c>
      <c r="H679" s="276" t="b">
        <v>0</v>
      </c>
      <c r="I679" s="276" t="b">
        <v>0</v>
      </c>
      <c r="J679" s="276" t="n">
        <v>0.5</v>
      </c>
      <c r="K679" s="276" t="n">
        <v>0</v>
      </c>
      <c r="L679" s="276" t="n">
        <v>0</v>
      </c>
      <c r="M679" s="276" t="inlineStr">
        <is>
          <t>Windows; Linux; IaaS</t>
        </is>
      </c>
      <c r="N679" s="276" t="inlineStr">
        <is>
          <t>https://attack.mitre.org/techniques/T1490/</t>
        </is>
      </c>
      <c r="O679" s="276" t="n"/>
      <c r="P679" s="277" t="n"/>
    </row>
    <row r="680">
      <c r="A680" s="275" t="inlineStr">
        <is>
          <t>Hacktivist</t>
        </is>
      </c>
      <c r="B680" s="276" t="inlineStr">
        <is>
          <t>Sensitive-data compromise</t>
        </is>
      </c>
      <c r="C680" s="276" t="inlineStr">
        <is>
          <t>Public-facing application exploitation</t>
        </is>
      </c>
      <c r="D680" s="276" t="inlineStr">
        <is>
          <t>T1567</t>
        </is>
      </c>
      <c r="E680" s="276" t="inlineStr">
        <is>
          <t>Exfiltration Over Web Service</t>
        </is>
      </c>
      <c r="F680" s="276" t="inlineStr">
        <is>
          <t>S5</t>
        </is>
      </c>
      <c r="G680" s="276" t="b">
        <v>1</v>
      </c>
      <c r="H680" s="276" t="b">
        <v>1</v>
      </c>
      <c r="I680" s="276" t="b">
        <v>1</v>
      </c>
      <c r="J680" s="276" t="n">
        <v>0.6</v>
      </c>
      <c r="K680" s="276" t="n">
        <v>0.20625</v>
      </c>
      <c r="L680" s="276" t="n">
        <v>0.20625</v>
      </c>
      <c r="M680" s="276" t="inlineStr">
        <is>
          <t>SaaS; Office Suite</t>
        </is>
      </c>
      <c r="N680" s="276" t="inlineStr">
        <is>
          <t>https://attack.mitre.org/techniques/T1567/</t>
        </is>
      </c>
      <c r="O680" s="276" t="n"/>
      <c r="P680" s="277" t="n"/>
    </row>
    <row r="681">
      <c r="A681" s="275" t="inlineStr">
        <is>
          <t>Hacktivist</t>
        </is>
      </c>
      <c r="B681" s="276" t="inlineStr">
        <is>
          <t>Sensitive-data compromise</t>
        </is>
      </c>
      <c r="C681" s="276" t="inlineStr">
        <is>
          <t>Public-facing application exploitation</t>
        </is>
      </c>
      <c r="D681" s="276" t="inlineStr">
        <is>
          <t>T1565</t>
        </is>
      </c>
      <c r="E681" s="276" t="inlineStr">
        <is>
          <t>Data Manipulation</t>
        </is>
      </c>
      <c r="F681" s="276" t="inlineStr">
        <is>
          <t>S5</t>
        </is>
      </c>
      <c r="G681" s="276" t="b">
        <v>1</v>
      </c>
      <c r="H681" s="276" t="b">
        <v>0</v>
      </c>
      <c r="I681" s="276" t="b">
        <v>0</v>
      </c>
      <c r="J681" s="276" t="n">
        <v>0.6</v>
      </c>
      <c r="K681" s="276" t="n">
        <v>0.2206064987182617</v>
      </c>
      <c r="L681" s="276" t="n">
        <v>0.2206064987182617</v>
      </c>
      <c r="M681" s="276" t="inlineStr">
        <is>
          <t>SaaS; Databases; Windows</t>
        </is>
      </c>
      <c r="N681" s="276" t="inlineStr">
        <is>
          <t>https://attack.mitre.org/techniques/T1565/</t>
        </is>
      </c>
      <c r="O681" s="276" t="n"/>
      <c r="P681" s="277" t="n"/>
    </row>
    <row r="682">
      <c r="A682" s="275" t="inlineStr">
        <is>
          <t>Hacktivist</t>
        </is>
      </c>
      <c r="B682" s="276" t="inlineStr">
        <is>
          <t>Sensitive-data compromise</t>
        </is>
      </c>
      <c r="C682" s="276" t="inlineStr">
        <is>
          <t>Public-facing application exploitation</t>
        </is>
      </c>
      <c r="D682" s="276" t="inlineStr">
        <is>
          <t>T1657</t>
        </is>
      </c>
      <c r="E682" s="276" t="inlineStr">
        <is>
          <t>Financial Theft</t>
        </is>
      </c>
      <c r="F682" s="276" t="inlineStr">
        <is>
          <t>S5</t>
        </is>
      </c>
      <c r="G682" s="276" t="b">
        <v>0</v>
      </c>
      <c r="H682" s="276" t="b">
        <v>0</v>
      </c>
      <c r="I682" s="276" t="b">
        <v>0</v>
      </c>
      <c r="J682" s="276" t="n">
        <v>0.4</v>
      </c>
      <c r="K682" s="276" t="n">
        <v>0.275654296875</v>
      </c>
      <c r="L682" s="276" t="n">
        <v>0.275654296875</v>
      </c>
      <c r="M682" s="276" t="inlineStr">
        <is>
          <t>SaaS; Office Suite; Identity Provider</t>
        </is>
      </c>
      <c r="N682" s="276" t="inlineStr">
        <is>
          <t>https://attack.mitre.org/techniques/T1657/</t>
        </is>
      </c>
      <c r="O682" s="276" t="n"/>
      <c r="P682" s="277" t="n"/>
    </row>
    <row r="683">
      <c r="A683" s="275" t="inlineStr">
        <is>
          <t>Hacktivist</t>
        </is>
      </c>
      <c r="B683" s="276" t="inlineStr">
        <is>
          <t>Sensitive-data compromise</t>
        </is>
      </c>
      <c r="C683" s="276" t="inlineStr">
        <is>
          <t>Third-party or software supply chain</t>
        </is>
      </c>
      <c r="D683" s="276" t="inlineStr">
        <is>
          <t>T1199</t>
        </is>
      </c>
      <c r="E683" s="276" t="inlineStr">
        <is>
          <t>Trusted Relationship</t>
        </is>
      </c>
      <c r="F683" s="276" t="inlineStr">
        <is>
          <t>S3</t>
        </is>
      </c>
      <c r="G683" s="276" t="b">
        <v>1</v>
      </c>
      <c r="H683" s="276" t="b">
        <v>1</v>
      </c>
      <c r="I683" s="276" t="b">
        <v>1</v>
      </c>
      <c r="J683" s="276" t="n">
        <v>1</v>
      </c>
      <c r="K683" s="276" t="n">
        <v>0.20625</v>
      </c>
      <c r="L683" s="276" t="n">
        <v>0.20625</v>
      </c>
      <c r="M683" s="276" t="inlineStr">
        <is>
          <t>SaaS; IaaS; Network Devices</t>
        </is>
      </c>
      <c r="N683" s="276" t="inlineStr">
        <is>
          <t>https://attack.mitre.org/techniques/T1199/</t>
        </is>
      </c>
      <c r="O683" s="276" t="n"/>
      <c r="P683" s="277" t="n"/>
    </row>
    <row r="684">
      <c r="A684" s="275" t="inlineStr">
        <is>
          <t>Hacktivist</t>
        </is>
      </c>
      <c r="B684" s="276" t="inlineStr">
        <is>
          <t>Sensitive-data compromise</t>
        </is>
      </c>
      <c r="C684" s="276" t="inlineStr">
        <is>
          <t>Third-party or software supply chain</t>
        </is>
      </c>
      <c r="D684" s="276" t="inlineStr">
        <is>
          <t>T1098</t>
        </is>
      </c>
      <c r="E684" s="276" t="inlineStr">
        <is>
          <t>Account Manipulation</t>
        </is>
      </c>
      <c r="F684" s="276" t="inlineStr">
        <is>
          <t>S3</t>
        </is>
      </c>
      <c r="G684" s="276" t="b">
        <v>1</v>
      </c>
      <c r="H684" s="276" t="b">
        <v>1</v>
      </c>
      <c r="I684" s="276" t="b">
        <v>1</v>
      </c>
      <c r="J684" s="276" t="n">
        <v>0.6</v>
      </c>
      <c r="K684" s="276" t="n">
        <v>0.2477547340393066</v>
      </c>
      <c r="L684" s="276" t="n">
        <v>0.2477547340393066</v>
      </c>
      <c r="M684" s="276" t="inlineStr">
        <is>
          <t>Identity Provider; SaaS; Windows</t>
        </is>
      </c>
      <c r="N684" s="276" t="inlineStr">
        <is>
          <t>https://attack.mitre.org/techniques/T1098/</t>
        </is>
      </c>
      <c r="O684" s="276" t="n"/>
      <c r="P684" s="277" t="n"/>
    </row>
    <row r="685">
      <c r="A685" s="275" t="inlineStr">
        <is>
          <t>Hacktivist</t>
        </is>
      </c>
      <c r="B685" s="276" t="inlineStr">
        <is>
          <t>Sensitive-data compromise</t>
        </is>
      </c>
      <c r="C685" s="276" t="inlineStr">
        <is>
          <t>Third-party or software supply chain</t>
        </is>
      </c>
      <c r="D685" s="276" t="inlineStr">
        <is>
          <t>T1087</t>
        </is>
      </c>
      <c r="E685" s="276" t="inlineStr">
        <is>
          <t>Account Discovery</t>
        </is>
      </c>
      <c r="F685" s="276" t="inlineStr">
        <is>
          <t>S4</t>
        </is>
      </c>
      <c r="G685" s="276" t="b">
        <v>1</v>
      </c>
      <c r="H685" s="276" t="b">
        <v>1</v>
      </c>
      <c r="I685" s="276" t="b">
        <v>1</v>
      </c>
      <c r="J685" s="276" t="n">
        <v>0.5</v>
      </c>
      <c r="K685" s="276" t="n">
        <v>0</v>
      </c>
      <c r="L685" s="276" t="n">
        <v>0</v>
      </c>
      <c r="M685" s="276" t="inlineStr">
        <is>
          <t>Identity Provider; SaaS; Windows</t>
        </is>
      </c>
      <c r="N685" s="276" t="inlineStr">
        <is>
          <t>https://attack.mitre.org/techniques/T1087/</t>
        </is>
      </c>
      <c r="O685" s="276" t="n"/>
      <c r="P685" s="277" t="n"/>
    </row>
    <row r="686">
      <c r="A686" s="275" t="inlineStr">
        <is>
          <t>Hacktivist</t>
        </is>
      </c>
      <c r="B686" s="276" t="inlineStr">
        <is>
          <t>Sensitive-data compromise</t>
        </is>
      </c>
      <c r="C686" s="276" t="inlineStr">
        <is>
          <t>Third-party or software supply chain</t>
        </is>
      </c>
      <c r="D686" s="276" t="inlineStr">
        <is>
          <t>T1213</t>
        </is>
      </c>
      <c r="E686" s="276" t="inlineStr">
        <is>
          <t>Data from Information Repositories</t>
        </is>
      </c>
      <c r="F686" s="276" t="inlineStr">
        <is>
          <t>S4</t>
        </is>
      </c>
      <c r="G686" s="276" t="b">
        <v>0</v>
      </c>
      <c r="H686" s="276" t="b">
        <v>1</v>
      </c>
      <c r="I686" s="276" t="b">
        <v>0</v>
      </c>
      <c r="J686" s="276" t="n">
        <v>0.7</v>
      </c>
      <c r="K686" s="276" t="n">
        <v>0.177890625</v>
      </c>
      <c r="L686" s="276" t="n">
        <v>0.177890625</v>
      </c>
      <c r="M686" s="276" t="inlineStr">
        <is>
          <t>SaaS; Office Suite; Windows</t>
        </is>
      </c>
      <c r="N686" s="276" t="inlineStr">
        <is>
          <t>https://attack.mitre.org/techniques/T1213/</t>
        </is>
      </c>
      <c r="O686" s="276" t="n"/>
      <c r="P686" s="277" t="n"/>
    </row>
    <row r="687">
      <c r="A687" s="275" t="inlineStr">
        <is>
          <t>Hacktivist</t>
        </is>
      </c>
      <c r="B687" s="276" t="inlineStr">
        <is>
          <t>Sensitive-data compromise</t>
        </is>
      </c>
      <c r="C687" s="276" t="inlineStr">
        <is>
          <t>Third-party or software supply chain</t>
        </is>
      </c>
      <c r="D687" s="276" t="inlineStr">
        <is>
          <t>T1567</t>
        </is>
      </c>
      <c r="E687" s="276" t="inlineStr">
        <is>
          <t>Exfiltration Over Web Service</t>
        </is>
      </c>
      <c r="F687" s="276" t="inlineStr">
        <is>
          <t>S5</t>
        </is>
      </c>
      <c r="G687" s="276" t="b">
        <v>1</v>
      </c>
      <c r="H687" s="276" t="b">
        <v>1</v>
      </c>
      <c r="I687" s="276" t="b">
        <v>1</v>
      </c>
      <c r="J687" s="276" t="n">
        <v>0.6</v>
      </c>
      <c r="K687" s="276" t="n">
        <v>0.20625</v>
      </c>
      <c r="L687" s="276" t="n">
        <v>0.20625</v>
      </c>
      <c r="M687" s="276" t="inlineStr">
        <is>
          <t>SaaS; Office Suite</t>
        </is>
      </c>
      <c r="N687" s="276" t="inlineStr">
        <is>
          <t>https://attack.mitre.org/techniques/T1567/</t>
        </is>
      </c>
      <c r="O687" s="276" t="n"/>
      <c r="P687" s="277" t="n"/>
    </row>
    <row r="688">
      <c r="A688" s="275" t="inlineStr">
        <is>
          <t>Hacktivist</t>
        </is>
      </c>
      <c r="B688" s="276" t="inlineStr">
        <is>
          <t>Sensitive-data compromise</t>
        </is>
      </c>
      <c r="C688" s="276" t="inlineStr">
        <is>
          <t>Third-party or software supply chain</t>
        </is>
      </c>
      <c r="D688" s="276" t="inlineStr">
        <is>
          <t>T1486</t>
        </is>
      </c>
      <c r="E688" s="276" t="inlineStr">
        <is>
          <t>Data Encrypted for Impact</t>
        </is>
      </c>
      <c r="F688" s="276" t="inlineStr">
        <is>
          <t>S5</t>
        </is>
      </c>
      <c r="G688" s="276" t="b">
        <v>0</v>
      </c>
      <c r="H688" s="276" t="b">
        <v>0</v>
      </c>
      <c r="I688" s="276" t="b">
        <v>0</v>
      </c>
      <c r="J688" s="276" t="n">
        <v>0.5</v>
      </c>
      <c r="K688" s="276" t="n">
        <v>0.16875</v>
      </c>
      <c r="L688" s="276" t="n">
        <v>0.16875</v>
      </c>
      <c r="M688" s="276" t="inlineStr">
        <is>
          <t>Windows; Linux; IaaS</t>
        </is>
      </c>
      <c r="N688" s="276" t="inlineStr">
        <is>
          <t>https://attack.mitre.org/techniques/T1486/</t>
        </is>
      </c>
      <c r="O688" s="276" t="n"/>
      <c r="P688" s="277" t="n"/>
    </row>
    <row r="689">
      <c r="A689" s="275" t="inlineStr">
        <is>
          <t>Hacktivist</t>
        </is>
      </c>
      <c r="B689" s="276" t="inlineStr">
        <is>
          <t>Sensitive-data compromise</t>
        </is>
      </c>
      <c r="C689" s="276" t="inlineStr">
        <is>
          <t>Third-party or software supply chain</t>
        </is>
      </c>
      <c r="D689" s="276" t="inlineStr">
        <is>
          <t>T1565</t>
        </is>
      </c>
      <c r="E689" s="276" t="inlineStr">
        <is>
          <t>Data Manipulation</t>
        </is>
      </c>
      <c r="F689" s="276" t="inlineStr">
        <is>
          <t>S5</t>
        </is>
      </c>
      <c r="G689" s="276" t="b">
        <v>1</v>
      </c>
      <c r="H689" s="276" t="b">
        <v>0</v>
      </c>
      <c r="I689" s="276" t="b">
        <v>0</v>
      </c>
      <c r="J689" s="276" t="n">
        <v>0.6</v>
      </c>
      <c r="K689" s="276" t="n">
        <v>0.2206064987182617</v>
      </c>
      <c r="L689" s="276" t="n">
        <v>0.2206064987182617</v>
      </c>
      <c r="M689" s="276" t="inlineStr">
        <is>
          <t>SaaS; Databases; Windows</t>
        </is>
      </c>
      <c r="N689" s="276" t="inlineStr">
        <is>
          <t>https://attack.mitre.org/techniques/T1565/</t>
        </is>
      </c>
      <c r="O689" s="276" t="n"/>
      <c r="P689" s="277" t="n"/>
    </row>
    <row r="690">
      <c r="A690" s="275" t="inlineStr">
        <is>
          <t>Hacktivist</t>
        </is>
      </c>
      <c r="B690" s="276" t="inlineStr">
        <is>
          <t>Sensitive-data compromise</t>
        </is>
      </c>
      <c r="C690" s="276" t="inlineStr">
        <is>
          <t>Third-party or software supply chain</t>
        </is>
      </c>
      <c r="D690" s="276" t="inlineStr">
        <is>
          <t>T1657</t>
        </is>
      </c>
      <c r="E690" s="276" t="inlineStr">
        <is>
          <t>Financial Theft</t>
        </is>
      </c>
      <c r="F690" s="276" t="inlineStr">
        <is>
          <t>S5</t>
        </is>
      </c>
      <c r="G690" s="276" t="b">
        <v>0</v>
      </c>
      <c r="H690" s="276" t="b">
        <v>0</v>
      </c>
      <c r="I690" s="276" t="b">
        <v>0</v>
      </c>
      <c r="J690" s="276" t="n">
        <v>0.5</v>
      </c>
      <c r="K690" s="276" t="n">
        <v>0.275654296875</v>
      </c>
      <c r="L690" s="276" t="n">
        <v>0.275654296875</v>
      </c>
      <c r="M690" s="276" t="inlineStr">
        <is>
          <t>SaaS; Office Suite; Identity Provider</t>
        </is>
      </c>
      <c r="N690" s="276" t="inlineStr">
        <is>
          <t>https://attack.mitre.org/techniques/T1657/</t>
        </is>
      </c>
      <c r="O690" s="276" t="n"/>
      <c r="P690" s="277" t="n"/>
    </row>
    <row r="691">
      <c r="A691" s="275" t="inlineStr">
        <is>
          <t>Hacktivist</t>
        </is>
      </c>
      <c r="B691" s="276" t="inlineStr">
        <is>
          <t>Sensitive-data compromise</t>
        </is>
      </c>
      <c r="C691" s="276" t="inlineStr">
        <is>
          <t>Insider or trusted access</t>
        </is>
      </c>
      <c r="D691" s="276" t="inlineStr">
        <is>
          <t>T1098</t>
        </is>
      </c>
      <c r="E691" s="276" t="inlineStr">
        <is>
          <t>Account Manipulation</t>
        </is>
      </c>
      <c r="F691" s="276" t="inlineStr">
        <is>
          <t>S3</t>
        </is>
      </c>
      <c r="G691" s="276" t="b">
        <v>1</v>
      </c>
      <c r="H691" s="276" t="b">
        <v>1</v>
      </c>
      <c r="I691" s="276" t="b">
        <v>1</v>
      </c>
      <c r="J691" s="276" t="n">
        <v>0.8</v>
      </c>
      <c r="K691" s="276" t="n">
        <v>0.2477547340393066</v>
      </c>
      <c r="L691" s="276" t="n">
        <v>0.2477547340393066</v>
      </c>
      <c r="M691" s="276" t="inlineStr">
        <is>
          <t>Identity Provider; SaaS; Windows</t>
        </is>
      </c>
      <c r="N691" s="276" t="inlineStr">
        <is>
          <t>https://attack.mitre.org/techniques/T1098/</t>
        </is>
      </c>
      <c r="O691" s="276" t="n"/>
      <c r="P691" s="277" t="n"/>
    </row>
    <row r="692">
      <c r="A692" s="275" t="inlineStr">
        <is>
          <t>Hacktivist</t>
        </is>
      </c>
      <c r="B692" s="276" t="inlineStr">
        <is>
          <t>Sensitive-data compromise</t>
        </is>
      </c>
      <c r="C692" s="276" t="inlineStr">
        <is>
          <t>Insider or trusted access</t>
        </is>
      </c>
      <c r="D692" s="276" t="inlineStr">
        <is>
          <t>T1087</t>
        </is>
      </c>
      <c r="E692" s="276" t="inlineStr">
        <is>
          <t>Account Discovery</t>
        </is>
      </c>
      <c r="F692" s="276" t="inlineStr">
        <is>
          <t>S4</t>
        </is>
      </c>
      <c r="G692" s="276" t="b">
        <v>1</v>
      </c>
      <c r="H692" s="276" t="b">
        <v>1</v>
      </c>
      <c r="I692" s="276" t="b">
        <v>1</v>
      </c>
      <c r="J692" s="276" t="n">
        <v>0.6</v>
      </c>
      <c r="K692" s="276" t="n">
        <v>0</v>
      </c>
      <c r="L692" s="276" t="n">
        <v>0</v>
      </c>
      <c r="M692" s="276" t="inlineStr">
        <is>
          <t>Identity Provider; SaaS; Windows</t>
        </is>
      </c>
      <c r="N692" s="276" t="inlineStr">
        <is>
          <t>https://attack.mitre.org/techniques/T1087/</t>
        </is>
      </c>
      <c r="O692" s="276" t="n"/>
      <c r="P692" s="277" t="n"/>
    </row>
    <row r="693">
      <c r="A693" s="275" t="inlineStr">
        <is>
          <t>Hacktivist</t>
        </is>
      </c>
      <c r="B693" s="276" t="inlineStr">
        <is>
          <t>Sensitive-data compromise</t>
        </is>
      </c>
      <c r="C693" s="276" t="inlineStr">
        <is>
          <t>Insider or trusted access</t>
        </is>
      </c>
      <c r="D693" s="276" t="inlineStr">
        <is>
          <t>T1213</t>
        </is>
      </c>
      <c r="E693" s="276" t="inlineStr">
        <is>
          <t>Data from Information Repositories</t>
        </is>
      </c>
      <c r="F693" s="276" t="inlineStr">
        <is>
          <t>S4</t>
        </is>
      </c>
      <c r="G693" s="276" t="b">
        <v>0</v>
      </c>
      <c r="H693" s="276" t="b">
        <v>1</v>
      </c>
      <c r="I693" s="276" t="b">
        <v>0</v>
      </c>
      <c r="J693" s="276" t="n">
        <v>0.9</v>
      </c>
      <c r="K693" s="276" t="n">
        <v>0.177890625</v>
      </c>
      <c r="L693" s="276" t="n">
        <v>0.177890625</v>
      </c>
      <c r="M693" s="276" t="inlineStr">
        <is>
          <t>SaaS; Office Suite; Windows</t>
        </is>
      </c>
      <c r="N693" s="276" t="inlineStr">
        <is>
          <t>https://attack.mitre.org/techniques/T1213/</t>
        </is>
      </c>
      <c r="O693" s="276" t="n"/>
      <c r="P693" s="277" t="n"/>
    </row>
    <row r="694">
      <c r="A694" s="275" t="inlineStr">
        <is>
          <t>Hacktivist</t>
        </is>
      </c>
      <c r="B694" s="276" t="inlineStr">
        <is>
          <t>Sensitive-data compromise</t>
        </is>
      </c>
      <c r="C694" s="276" t="inlineStr">
        <is>
          <t>Insider or trusted access</t>
        </is>
      </c>
      <c r="D694" s="276" t="inlineStr">
        <is>
          <t>T1567</t>
        </is>
      </c>
      <c r="E694" s="276" t="inlineStr">
        <is>
          <t>Exfiltration Over Web Service</t>
        </is>
      </c>
      <c r="F694" s="276" t="inlineStr">
        <is>
          <t>S5</t>
        </is>
      </c>
      <c r="G694" s="276" t="b">
        <v>1</v>
      </c>
      <c r="H694" s="276" t="b">
        <v>1</v>
      </c>
      <c r="I694" s="276" t="b">
        <v>1</v>
      </c>
      <c r="J694" s="276" t="n">
        <v>0.8</v>
      </c>
      <c r="K694" s="276" t="n">
        <v>0.20625</v>
      </c>
      <c r="L694" s="276" t="n">
        <v>0.20625</v>
      </c>
      <c r="M694" s="276" t="inlineStr">
        <is>
          <t>SaaS; Office Suite</t>
        </is>
      </c>
      <c r="N694" s="276" t="inlineStr">
        <is>
          <t>https://attack.mitre.org/techniques/T1567/</t>
        </is>
      </c>
      <c r="O694" s="276" t="n"/>
      <c r="P694" s="277" t="n"/>
    </row>
    <row r="695">
      <c r="A695" s="275" t="inlineStr">
        <is>
          <t>Hacktivist</t>
        </is>
      </c>
      <c r="B695" s="276" t="inlineStr">
        <is>
          <t>Sensitive-data compromise</t>
        </is>
      </c>
      <c r="C695" s="276" t="inlineStr">
        <is>
          <t>Insider or trusted access</t>
        </is>
      </c>
      <c r="D695" s="276" t="inlineStr">
        <is>
          <t>T1565</t>
        </is>
      </c>
      <c r="E695" s="276" t="inlineStr">
        <is>
          <t>Data Manipulation</t>
        </is>
      </c>
      <c r="F695" s="276" t="inlineStr">
        <is>
          <t>S5</t>
        </is>
      </c>
      <c r="G695" s="276" t="b">
        <v>1</v>
      </c>
      <c r="H695" s="276" t="b">
        <v>0</v>
      </c>
      <c r="I695" s="276" t="b">
        <v>0</v>
      </c>
      <c r="J695" s="276" t="n">
        <v>0.9</v>
      </c>
      <c r="K695" s="276" t="n">
        <v>0.2206064987182617</v>
      </c>
      <c r="L695" s="276" t="n">
        <v>0.2206064987182617</v>
      </c>
      <c r="M695" s="276" t="inlineStr">
        <is>
          <t>SaaS; Databases; Windows</t>
        </is>
      </c>
      <c r="N695" s="276" t="inlineStr">
        <is>
          <t>https://attack.mitre.org/techniques/T1565/</t>
        </is>
      </c>
      <c r="O695" s="276" t="n"/>
      <c r="P695" s="277" t="n"/>
    </row>
    <row r="696">
      <c r="A696" s="275" t="inlineStr">
        <is>
          <t>Hacktivist</t>
        </is>
      </c>
      <c r="B696" s="276" t="inlineStr">
        <is>
          <t>Sensitive-data compromise</t>
        </is>
      </c>
      <c r="C696" s="276" t="inlineStr">
        <is>
          <t>Insider or trusted access</t>
        </is>
      </c>
      <c r="D696" s="276" t="inlineStr">
        <is>
          <t>T1657</t>
        </is>
      </c>
      <c r="E696" s="276" t="inlineStr">
        <is>
          <t>Financial Theft</t>
        </is>
      </c>
      <c r="F696" s="276" t="inlineStr">
        <is>
          <t>S5</t>
        </is>
      </c>
      <c r="G696" s="276" t="b">
        <v>0</v>
      </c>
      <c r="H696" s="276" t="b">
        <v>0</v>
      </c>
      <c r="I696" s="276" t="b">
        <v>0</v>
      </c>
      <c r="J696" s="276" t="n">
        <v>0.9</v>
      </c>
      <c r="K696" s="276" t="n">
        <v>0.275654296875</v>
      </c>
      <c r="L696" s="276" t="n">
        <v>0.275654296875</v>
      </c>
      <c r="M696" s="276" t="inlineStr">
        <is>
          <t>SaaS; Office Suite; Identity Provider</t>
        </is>
      </c>
      <c r="N696" s="276" t="inlineStr">
        <is>
          <t>https://attack.mitre.org/techniques/T1657/</t>
        </is>
      </c>
      <c r="O696" s="276" t="n"/>
      <c r="P696" s="277" t="n"/>
    </row>
    <row r="697">
      <c r="A697" s="275" t="inlineStr">
        <is>
          <t>Hacktivist</t>
        </is>
      </c>
      <c r="B697" s="276" t="inlineStr">
        <is>
          <t>Data or transaction-integrity compromise</t>
        </is>
      </c>
      <c r="C697" s="276" t="inlineStr">
        <is>
          <t>Identity and credential compromise</t>
        </is>
      </c>
      <c r="D697" s="276" t="inlineStr">
        <is>
          <t>T1566</t>
        </is>
      </c>
      <c r="E697" s="276" t="inlineStr">
        <is>
          <t>Phishing</t>
        </is>
      </c>
      <c r="F697" s="276" t="inlineStr">
        <is>
          <t>S1</t>
        </is>
      </c>
      <c r="G697" s="276" t="b">
        <v>1</v>
      </c>
      <c r="H697" s="276" t="b">
        <v>1</v>
      </c>
      <c r="I697" s="276" t="b">
        <v>1</v>
      </c>
      <c r="J697" s="276" t="n">
        <v>1</v>
      </c>
      <c r="K697" s="276" t="n">
        <v>0.20625</v>
      </c>
      <c r="L697" s="276" t="n">
        <v>0.20625</v>
      </c>
      <c r="M697" s="276" t="inlineStr">
        <is>
          <t>Windows; SaaS; Office Suite</t>
        </is>
      </c>
      <c r="N697" s="276" t="inlineStr">
        <is>
          <t>https://attack.mitre.org/techniques/T1566/</t>
        </is>
      </c>
      <c r="O697" s="276" t="n"/>
      <c r="P697" s="277" t="n"/>
    </row>
    <row r="698">
      <c r="A698" s="275" t="inlineStr">
        <is>
          <t>Hacktivist</t>
        </is>
      </c>
      <c r="B698" s="276" t="inlineStr">
        <is>
          <t>Data or transaction-integrity compromise</t>
        </is>
      </c>
      <c r="C698" s="276" t="inlineStr">
        <is>
          <t>Identity and credential compromise</t>
        </is>
      </c>
      <c r="D698" s="276" t="inlineStr">
        <is>
          <t>T1078</t>
        </is>
      </c>
      <c r="E698" s="276" t="inlineStr">
        <is>
          <t>Valid Accounts</t>
        </is>
      </c>
      <c r="F698" s="276" t="inlineStr">
        <is>
          <t>S1</t>
        </is>
      </c>
      <c r="G698" s="276" t="b">
        <v>1</v>
      </c>
      <c r="H698" s="276" t="b">
        <v>1</v>
      </c>
      <c r="I698" s="276" t="b">
        <v>1</v>
      </c>
      <c r="J698" s="276" t="n">
        <v>1</v>
      </c>
      <c r="K698" s="276" t="n">
        <v>0.272109375</v>
      </c>
      <c r="L698" s="276" t="n">
        <v>0.272109375</v>
      </c>
      <c r="M698" s="276" t="inlineStr">
        <is>
          <t>Identity Provider; SaaS; IaaS; Windows</t>
        </is>
      </c>
      <c r="N698" s="276" t="inlineStr">
        <is>
          <t>https://attack.mitre.org/techniques/T1078/</t>
        </is>
      </c>
      <c r="O698" s="276" t="n"/>
      <c r="P698" s="277" t="n"/>
    </row>
    <row r="699">
      <c r="A699" s="275" t="inlineStr">
        <is>
          <t>Hacktivist</t>
        </is>
      </c>
      <c r="B699" s="276" t="inlineStr">
        <is>
          <t>Data or transaction-integrity compromise</t>
        </is>
      </c>
      <c r="C699" s="276" t="inlineStr">
        <is>
          <t>Identity and credential compromise</t>
        </is>
      </c>
      <c r="D699" s="276" t="inlineStr">
        <is>
          <t>T1110</t>
        </is>
      </c>
      <c r="E699" s="276" t="inlineStr">
        <is>
          <t>Brute Force</t>
        </is>
      </c>
      <c r="F699" s="276" t="inlineStr">
        <is>
          <t>S1</t>
        </is>
      </c>
      <c r="G699" s="276" t="b">
        <v>1</v>
      </c>
      <c r="H699" s="276" t="b">
        <v>1</v>
      </c>
      <c r="I699" s="276" t="b">
        <v>1</v>
      </c>
      <c r="J699" s="276" t="n">
        <v>0.7</v>
      </c>
      <c r="K699" s="276" t="n">
        <v>0.24375</v>
      </c>
      <c r="L699" s="276" t="n">
        <v>0.24375</v>
      </c>
      <c r="M699" s="276" t="inlineStr">
        <is>
          <t>Identity Provider; SaaS; Windows</t>
        </is>
      </c>
      <c r="N699" s="276" t="inlineStr">
        <is>
          <t>https://attack.mitre.org/techniques/T1110/</t>
        </is>
      </c>
      <c r="O699" s="276" t="n"/>
      <c r="P699" s="277" t="n"/>
    </row>
    <row r="700">
      <c r="A700" s="275" t="inlineStr">
        <is>
          <t>Hacktivist</t>
        </is>
      </c>
      <c r="B700" s="276" t="inlineStr">
        <is>
          <t>Data or transaction-integrity compromise</t>
        </is>
      </c>
      <c r="C700" s="276" t="inlineStr">
        <is>
          <t>Identity and credential compromise</t>
        </is>
      </c>
      <c r="D700" s="276" t="inlineStr">
        <is>
          <t>T1098</t>
        </is>
      </c>
      <c r="E700" s="276" t="inlineStr">
        <is>
          <t>Account Manipulation</t>
        </is>
      </c>
      <c r="F700" s="276" t="inlineStr">
        <is>
          <t>S3</t>
        </is>
      </c>
      <c r="G700" s="276" t="b">
        <v>1</v>
      </c>
      <c r="H700" s="276" t="b">
        <v>1</v>
      </c>
      <c r="I700" s="276" t="b">
        <v>1</v>
      </c>
      <c r="J700" s="276" t="n">
        <v>0.7</v>
      </c>
      <c r="K700" s="276" t="n">
        <v>0.2477547340393066</v>
      </c>
      <c r="L700" s="276" t="n">
        <v>0.2477547340393066</v>
      </c>
      <c r="M700" s="276" t="inlineStr">
        <is>
          <t>Identity Provider; SaaS; Windows</t>
        </is>
      </c>
      <c r="N700" s="276" t="inlineStr">
        <is>
          <t>https://attack.mitre.org/techniques/T1098/</t>
        </is>
      </c>
      <c r="O700" s="276" t="n"/>
      <c r="P700" s="277" t="n"/>
    </row>
    <row r="701">
      <c r="A701" s="275" t="inlineStr">
        <is>
          <t>Hacktivist</t>
        </is>
      </c>
      <c r="B701" s="276" t="inlineStr">
        <is>
          <t>Data or transaction-integrity compromise</t>
        </is>
      </c>
      <c r="C701" s="276" t="inlineStr">
        <is>
          <t>Identity and credential compromise</t>
        </is>
      </c>
      <c r="D701" s="276" t="inlineStr">
        <is>
          <t>T1087</t>
        </is>
      </c>
      <c r="E701" s="276" t="inlineStr">
        <is>
          <t>Account Discovery</t>
        </is>
      </c>
      <c r="F701" s="276" t="inlineStr">
        <is>
          <t>S4</t>
        </is>
      </c>
      <c r="G701" s="276" t="b">
        <v>1</v>
      </c>
      <c r="H701" s="276" t="b">
        <v>1</v>
      </c>
      <c r="I701" s="276" t="b">
        <v>1</v>
      </c>
      <c r="J701" s="276" t="n">
        <v>0.6</v>
      </c>
      <c r="K701" s="276" t="n">
        <v>0</v>
      </c>
      <c r="L701" s="276" t="n">
        <v>0</v>
      </c>
      <c r="M701" s="276" t="inlineStr">
        <is>
          <t>Identity Provider; SaaS; Windows</t>
        </is>
      </c>
      <c r="N701" s="276" t="inlineStr">
        <is>
          <t>https://attack.mitre.org/techniques/T1087/</t>
        </is>
      </c>
      <c r="O701" s="276" t="n"/>
      <c r="P701" s="277" t="n"/>
    </row>
    <row r="702">
      <c r="A702" s="275" t="inlineStr">
        <is>
          <t>Hacktivist</t>
        </is>
      </c>
      <c r="B702" s="276" t="inlineStr">
        <is>
          <t>Data or transaction-integrity compromise</t>
        </is>
      </c>
      <c r="C702" s="276" t="inlineStr">
        <is>
          <t>Identity and credential compromise</t>
        </is>
      </c>
      <c r="D702" s="276" t="inlineStr">
        <is>
          <t>T1213</t>
        </is>
      </c>
      <c r="E702" s="276" t="inlineStr">
        <is>
          <t>Data from Information Repositories</t>
        </is>
      </c>
      <c r="F702" s="276" t="inlineStr">
        <is>
          <t>S4</t>
        </is>
      </c>
      <c r="G702" s="276" t="b">
        <v>0</v>
      </c>
      <c r="H702" s="276" t="b">
        <v>1</v>
      </c>
      <c r="I702" s="276" t="b">
        <v>0</v>
      </c>
      <c r="J702" s="276" t="n">
        <v>0.8</v>
      </c>
      <c r="K702" s="276" t="n">
        <v>0.177890625</v>
      </c>
      <c r="L702" s="276" t="n">
        <v>0.177890625</v>
      </c>
      <c r="M702" s="276" t="inlineStr">
        <is>
          <t>SaaS; Office Suite; Windows</t>
        </is>
      </c>
      <c r="N702" s="276" t="inlineStr">
        <is>
          <t>https://attack.mitre.org/techniques/T1213/</t>
        </is>
      </c>
      <c r="O702" s="276" t="n"/>
      <c r="P702" s="277" t="n"/>
    </row>
    <row r="703">
      <c r="A703" s="275" t="inlineStr">
        <is>
          <t>Hacktivist</t>
        </is>
      </c>
      <c r="B703" s="276" t="inlineStr">
        <is>
          <t>Data or transaction-integrity compromise</t>
        </is>
      </c>
      <c r="C703" s="276" t="inlineStr">
        <is>
          <t>Identity and credential compromise</t>
        </is>
      </c>
      <c r="D703" s="276" t="inlineStr">
        <is>
          <t>T1567</t>
        </is>
      </c>
      <c r="E703" s="276" t="inlineStr">
        <is>
          <t>Exfiltration Over Web Service</t>
        </is>
      </c>
      <c r="F703" s="276" t="inlineStr">
        <is>
          <t>S5</t>
        </is>
      </c>
      <c r="G703" s="276" t="b">
        <v>1</v>
      </c>
      <c r="H703" s="276" t="b">
        <v>0</v>
      </c>
      <c r="I703" s="276" t="b">
        <v>0</v>
      </c>
      <c r="J703" s="276" t="n">
        <v>0.7</v>
      </c>
      <c r="K703" s="276" t="n">
        <v>0.20625</v>
      </c>
      <c r="L703" s="276" t="n">
        <v>0.20625</v>
      </c>
      <c r="M703" s="276" t="inlineStr">
        <is>
          <t>SaaS; Office Suite</t>
        </is>
      </c>
      <c r="N703" s="276" t="inlineStr">
        <is>
          <t>https://attack.mitre.org/techniques/T1567/</t>
        </is>
      </c>
      <c r="O703" s="276" t="n"/>
      <c r="P703" s="277" t="n"/>
    </row>
    <row r="704">
      <c r="A704" s="275" t="inlineStr">
        <is>
          <t>Hacktivist</t>
        </is>
      </c>
      <c r="B704" s="276" t="inlineStr">
        <is>
          <t>Data or transaction-integrity compromise</t>
        </is>
      </c>
      <c r="C704" s="276" t="inlineStr">
        <is>
          <t>Identity and credential compromise</t>
        </is>
      </c>
      <c r="D704" s="276" t="inlineStr">
        <is>
          <t>T1657</t>
        </is>
      </c>
      <c r="E704" s="276" t="inlineStr">
        <is>
          <t>Financial Theft</t>
        </is>
      </c>
      <c r="F704" s="276" t="inlineStr">
        <is>
          <t>S5</t>
        </is>
      </c>
      <c r="G704" s="276" t="b">
        <v>0</v>
      </c>
      <c r="H704" s="276" t="b">
        <v>0</v>
      </c>
      <c r="I704" s="276" t="b">
        <v>0</v>
      </c>
      <c r="J704" s="276" t="n">
        <v>0.8</v>
      </c>
      <c r="K704" s="276" t="n">
        <v>0.275654296875</v>
      </c>
      <c r="L704" s="276" t="n">
        <v>0.275654296875</v>
      </c>
      <c r="M704" s="276" t="inlineStr">
        <is>
          <t>SaaS; Office Suite; Identity Provider</t>
        </is>
      </c>
      <c r="N704" s="276" t="inlineStr">
        <is>
          <t>https://attack.mitre.org/techniques/T1657/</t>
        </is>
      </c>
      <c r="O704" s="276" t="n"/>
      <c r="P704" s="277" t="n"/>
    </row>
    <row r="705">
      <c r="A705" s="275" t="inlineStr">
        <is>
          <t>Hacktivist</t>
        </is>
      </c>
      <c r="B705" s="276" t="inlineStr">
        <is>
          <t>Data or transaction-integrity compromise</t>
        </is>
      </c>
      <c r="C705" s="276" t="inlineStr">
        <is>
          <t>Identity and credential compromise</t>
        </is>
      </c>
      <c r="D705" s="276" t="inlineStr">
        <is>
          <t>T1565</t>
        </is>
      </c>
      <c r="E705" s="276" t="inlineStr">
        <is>
          <t>Data Manipulation</t>
        </is>
      </c>
      <c r="F705" s="276" t="inlineStr">
        <is>
          <t>S5</t>
        </is>
      </c>
      <c r="G705" s="276" t="b">
        <v>1</v>
      </c>
      <c r="H705" s="276" t="b">
        <v>1</v>
      </c>
      <c r="I705" s="276" t="b">
        <v>1</v>
      </c>
      <c r="J705" s="276" t="n">
        <v>0.5</v>
      </c>
      <c r="K705" s="276" t="n">
        <v>0.2206064987182617</v>
      </c>
      <c r="L705" s="276" t="n">
        <v>0.2206064987182617</v>
      </c>
      <c r="M705" s="276" t="inlineStr">
        <is>
          <t>SaaS; Databases; Windows</t>
        </is>
      </c>
      <c r="N705" s="276" t="inlineStr">
        <is>
          <t>https://attack.mitre.org/techniques/T1565/</t>
        </is>
      </c>
      <c r="O705" s="276" t="n"/>
      <c r="P705" s="277" t="n"/>
    </row>
    <row r="706">
      <c r="A706" s="275" t="inlineStr">
        <is>
          <t>Hacktivist</t>
        </is>
      </c>
      <c r="B706" s="276" t="inlineStr">
        <is>
          <t>Data or transaction-integrity compromise</t>
        </is>
      </c>
      <c r="C706" s="276" t="inlineStr">
        <is>
          <t>Identity and credential compromise</t>
        </is>
      </c>
      <c r="D706" s="276" t="inlineStr">
        <is>
          <t>T1486</t>
        </is>
      </c>
      <c r="E706" s="276" t="inlineStr">
        <is>
          <t>Data Encrypted for Impact</t>
        </is>
      </c>
      <c r="F706" s="276" t="inlineStr">
        <is>
          <t>S5</t>
        </is>
      </c>
      <c r="G706" s="276" t="b">
        <v>0</v>
      </c>
      <c r="H706" s="276" t="b">
        <v>1</v>
      </c>
      <c r="I706" s="276" t="b">
        <v>0</v>
      </c>
      <c r="J706" s="276" t="n">
        <v>0.7</v>
      </c>
      <c r="K706" s="276" t="n">
        <v>0.16875</v>
      </c>
      <c r="L706" s="276" t="n">
        <v>0.16875</v>
      </c>
      <c r="M706" s="276" t="inlineStr">
        <is>
          <t>Windows; Linux; IaaS</t>
        </is>
      </c>
      <c r="N706" s="276" t="inlineStr">
        <is>
          <t>https://attack.mitre.org/techniques/T1486/</t>
        </is>
      </c>
      <c r="O706" s="276" t="n"/>
      <c r="P706" s="277" t="n"/>
    </row>
    <row r="707">
      <c r="A707" s="275" t="inlineStr">
        <is>
          <t>Hacktivist</t>
        </is>
      </c>
      <c r="B707" s="276" t="inlineStr">
        <is>
          <t>Data or transaction-integrity compromise</t>
        </is>
      </c>
      <c r="C707" s="276" t="inlineStr">
        <is>
          <t>Identity and credential compromise</t>
        </is>
      </c>
      <c r="D707" s="276" t="inlineStr">
        <is>
          <t>T1490</t>
        </is>
      </c>
      <c r="E707" s="276" t="inlineStr">
        <is>
          <t>Inhibit System Recovery</t>
        </is>
      </c>
      <c r="F707" s="276" t="inlineStr">
        <is>
          <t>S5</t>
        </is>
      </c>
      <c r="G707" s="276" t="b">
        <v>0</v>
      </c>
      <c r="H707" s="276" t="b">
        <v>1</v>
      </c>
      <c r="I707" s="276" t="b">
        <v>0</v>
      </c>
      <c r="J707" s="276" t="n">
        <v>0.6</v>
      </c>
      <c r="K707" s="276" t="n">
        <v>0</v>
      </c>
      <c r="L707" s="276" t="n">
        <v>0</v>
      </c>
      <c r="M707" s="276" t="inlineStr">
        <is>
          <t>Windows; Linux; IaaS</t>
        </is>
      </c>
      <c r="N707" s="276" t="inlineStr">
        <is>
          <t>https://attack.mitre.org/techniques/T1490/</t>
        </is>
      </c>
      <c r="O707" s="276" t="n"/>
      <c r="P707" s="277" t="n"/>
    </row>
    <row r="708">
      <c r="A708" s="275" t="inlineStr">
        <is>
          <t>Hacktivist</t>
        </is>
      </c>
      <c r="B708" s="276" t="inlineStr">
        <is>
          <t>Data or transaction-integrity compromise</t>
        </is>
      </c>
      <c r="C708" s="276" t="inlineStr">
        <is>
          <t>User endpoint and social engineering</t>
        </is>
      </c>
      <c r="D708" s="276" t="inlineStr">
        <is>
          <t>T1566</t>
        </is>
      </c>
      <c r="E708" s="276" t="inlineStr">
        <is>
          <t>Phishing</t>
        </is>
      </c>
      <c r="F708" s="276" t="inlineStr">
        <is>
          <t>S1</t>
        </is>
      </c>
      <c r="G708" s="276" t="b">
        <v>1</v>
      </c>
      <c r="H708" s="276" t="b">
        <v>1</v>
      </c>
      <c r="I708" s="276" t="b">
        <v>1</v>
      </c>
      <c r="J708" s="276" t="n">
        <v>1</v>
      </c>
      <c r="K708" s="276" t="n">
        <v>0.20625</v>
      </c>
      <c r="L708" s="276" t="n">
        <v>0.20625</v>
      </c>
      <c r="M708" s="276" t="inlineStr">
        <is>
          <t>Windows; SaaS; Office Suite</t>
        </is>
      </c>
      <c r="N708" s="276" t="inlineStr">
        <is>
          <t>https://attack.mitre.org/techniques/T1566/</t>
        </is>
      </c>
      <c r="O708" s="276" t="n"/>
      <c r="P708" s="277" t="n"/>
    </row>
    <row r="709">
      <c r="A709" s="275" t="inlineStr">
        <is>
          <t>Hacktivist</t>
        </is>
      </c>
      <c r="B709" s="276" t="inlineStr">
        <is>
          <t>Data or transaction-integrity compromise</t>
        </is>
      </c>
      <c r="C709" s="276" t="inlineStr">
        <is>
          <t>User endpoint and social engineering</t>
        </is>
      </c>
      <c r="D709" s="276" t="inlineStr">
        <is>
          <t>T1203</t>
        </is>
      </c>
      <c r="E709" s="276" t="inlineStr">
        <is>
          <t>Exploitation for Client Execution</t>
        </is>
      </c>
      <c r="F709" s="276" t="inlineStr">
        <is>
          <t>S2</t>
        </is>
      </c>
      <c r="G709" s="276" t="b">
        <v>0</v>
      </c>
      <c r="H709" s="276" t="b">
        <v>1</v>
      </c>
      <c r="I709" s="276" t="b">
        <v>0</v>
      </c>
      <c r="J709" s="276" t="n">
        <v>0.8</v>
      </c>
      <c r="K709" s="276" t="n">
        <v>0.2404920959472656</v>
      </c>
      <c r="L709" s="276" t="n">
        <v>0.2404920959472656</v>
      </c>
      <c r="M709" s="276" t="inlineStr">
        <is>
          <t>Windows; macOS; Linux</t>
        </is>
      </c>
      <c r="N709" s="276" t="inlineStr">
        <is>
          <t>https://attack.mitre.org/techniques/T1203/</t>
        </is>
      </c>
      <c r="O709" s="276" t="n"/>
      <c r="P709" s="277" t="n"/>
    </row>
    <row r="710">
      <c r="A710" s="275" t="inlineStr">
        <is>
          <t>Hacktivist</t>
        </is>
      </c>
      <c r="B710" s="276" t="inlineStr">
        <is>
          <t>Data or transaction-integrity compromise</t>
        </is>
      </c>
      <c r="C710" s="276" t="inlineStr">
        <is>
          <t>User endpoint and social engineering</t>
        </is>
      </c>
      <c r="D710" s="276" t="inlineStr">
        <is>
          <t>T1059</t>
        </is>
      </c>
      <c r="E710" s="276" t="inlineStr">
        <is>
          <t>Command and Scripting Interpreter</t>
        </is>
      </c>
      <c r="F710" s="276" t="inlineStr">
        <is>
          <t>S2</t>
        </is>
      </c>
      <c r="G710" s="276" t="b">
        <v>1</v>
      </c>
      <c r="H710" s="276" t="b">
        <v>1</v>
      </c>
      <c r="I710" s="276" t="b">
        <v>1</v>
      </c>
      <c r="J710" s="276" t="n">
        <v>0.9</v>
      </c>
      <c r="K710" s="276" t="n">
        <v>0.1875</v>
      </c>
      <c r="L710" s="276" t="n">
        <v>0.1875</v>
      </c>
      <c r="M710" s="276" t="inlineStr">
        <is>
          <t>Windows; macOS; Linux; IaaS</t>
        </is>
      </c>
      <c r="N710" s="276" t="inlineStr">
        <is>
          <t>https://attack.mitre.org/techniques/T1059/</t>
        </is>
      </c>
      <c r="O710" s="276" t="n"/>
      <c r="P710" s="277" t="n"/>
    </row>
    <row r="711">
      <c r="A711" s="275" t="inlineStr">
        <is>
          <t>Hacktivist</t>
        </is>
      </c>
      <c r="B711" s="276" t="inlineStr">
        <is>
          <t>Data or transaction-integrity compromise</t>
        </is>
      </c>
      <c r="C711" s="276" t="inlineStr">
        <is>
          <t>User endpoint and social engineering</t>
        </is>
      </c>
      <c r="D711" s="276" t="inlineStr">
        <is>
          <t>T1068</t>
        </is>
      </c>
      <c r="E711" s="276" t="inlineStr">
        <is>
          <t>Exploitation for Privilege Escalation</t>
        </is>
      </c>
      <c r="F711" s="276" t="inlineStr">
        <is>
          <t>S3</t>
        </is>
      </c>
      <c r="G711" s="276" t="b">
        <v>1</v>
      </c>
      <c r="H711" s="276" t="b">
        <v>1</v>
      </c>
      <c r="I711" s="276" t="b">
        <v>1</v>
      </c>
      <c r="J711" s="276" t="n">
        <v>0.7</v>
      </c>
      <c r="K711" s="276" t="n">
        <v>0.2094165115356445</v>
      </c>
      <c r="L711" s="276" t="n">
        <v>0.2094165115356445</v>
      </c>
      <c r="M711" s="276" t="inlineStr">
        <is>
          <t>Windows; macOS; Linux</t>
        </is>
      </c>
      <c r="N711" s="276" t="inlineStr">
        <is>
          <t>https://attack.mitre.org/techniques/T1068/</t>
        </is>
      </c>
      <c r="O711" s="276" t="n"/>
      <c r="P711" s="277" t="n"/>
    </row>
    <row r="712">
      <c r="A712" s="275" t="inlineStr">
        <is>
          <t>Hacktivist</t>
        </is>
      </c>
      <c r="B712" s="276" t="inlineStr">
        <is>
          <t>Data or transaction-integrity compromise</t>
        </is>
      </c>
      <c r="C712" s="276" t="inlineStr">
        <is>
          <t>User endpoint and social engineering</t>
        </is>
      </c>
      <c r="D712" s="276" t="inlineStr">
        <is>
          <t>T1003</t>
        </is>
      </c>
      <c r="E712" s="276" t="inlineStr">
        <is>
          <t>OS Credential Dumping</t>
        </is>
      </c>
      <c r="F712" s="276" t="inlineStr">
        <is>
          <t>S3</t>
        </is>
      </c>
      <c r="G712" s="276" t="b">
        <v>1</v>
      </c>
      <c r="H712" s="276" t="b">
        <v>1</v>
      </c>
      <c r="I712" s="276" t="b">
        <v>1</v>
      </c>
      <c r="J712" s="276" t="n">
        <v>0.8</v>
      </c>
      <c r="K712" s="276" t="n">
        <v>0.232294921875</v>
      </c>
      <c r="L712" s="276" t="n">
        <v>0.232294921875</v>
      </c>
      <c r="M712" s="276" t="inlineStr">
        <is>
          <t>Windows; Linux; macOS</t>
        </is>
      </c>
      <c r="N712" s="276" t="inlineStr">
        <is>
          <t>https://attack.mitre.org/techniques/T1003/</t>
        </is>
      </c>
      <c r="O712" s="276" t="n"/>
      <c r="P712" s="277" t="n"/>
    </row>
    <row r="713">
      <c r="A713" s="275" t="inlineStr">
        <is>
          <t>Hacktivist</t>
        </is>
      </c>
      <c r="B713" s="276" t="inlineStr">
        <is>
          <t>Data or transaction-integrity compromise</t>
        </is>
      </c>
      <c r="C713" s="276" t="inlineStr">
        <is>
          <t>User endpoint and social engineering</t>
        </is>
      </c>
      <c r="D713" s="276" t="inlineStr">
        <is>
          <t>T1046</t>
        </is>
      </c>
      <c r="E713" s="276" t="inlineStr">
        <is>
          <t>Network Service Discovery</t>
        </is>
      </c>
      <c r="F713" s="276" t="inlineStr">
        <is>
          <t>S4</t>
        </is>
      </c>
      <c r="G713" s="276" t="b">
        <v>1</v>
      </c>
      <c r="H713" s="276" t="b">
        <v>1</v>
      </c>
      <c r="I713" s="276" t="b">
        <v>1</v>
      </c>
      <c r="J713" s="276" t="n">
        <v>0.6</v>
      </c>
      <c r="K713" s="276" t="n">
        <v>0.16875</v>
      </c>
      <c r="L713" s="276" t="n">
        <v>0.16875</v>
      </c>
      <c r="M713" s="276" t="inlineStr">
        <is>
          <t>Network Devices; Windows; Linux</t>
        </is>
      </c>
      <c r="N713" s="276" t="inlineStr">
        <is>
          <t>https://attack.mitre.org/techniques/T1046/</t>
        </is>
      </c>
      <c r="O713" s="276" t="n"/>
      <c r="P713" s="277" t="n"/>
    </row>
    <row r="714">
      <c r="A714" s="275" t="inlineStr">
        <is>
          <t>Hacktivist</t>
        </is>
      </c>
      <c r="B714" s="276" t="inlineStr">
        <is>
          <t>Data or transaction-integrity compromise</t>
        </is>
      </c>
      <c r="C714" s="276" t="inlineStr">
        <is>
          <t>User endpoint and social engineering</t>
        </is>
      </c>
      <c r="D714" s="276" t="inlineStr">
        <is>
          <t>T1021</t>
        </is>
      </c>
      <c r="E714" s="276" t="inlineStr">
        <is>
          <t>Remote Services</t>
        </is>
      </c>
      <c r="F714" s="276" t="inlineStr">
        <is>
          <t>S4</t>
        </is>
      </c>
      <c r="G714" s="276" t="b">
        <v>1</v>
      </c>
      <c r="H714" s="276" t="b">
        <v>1</v>
      </c>
      <c r="I714" s="276" t="b">
        <v>1</v>
      </c>
      <c r="J714" s="276" t="n">
        <v>0.8</v>
      </c>
      <c r="K714" s="276" t="n">
        <v>0.1875</v>
      </c>
      <c r="L714" s="276" t="n">
        <v>0.1875</v>
      </c>
      <c r="M714" s="276" t="inlineStr">
        <is>
          <t>Windows; Linux; Network Devices</t>
        </is>
      </c>
      <c r="N714" s="276" t="inlineStr">
        <is>
          <t>https://attack.mitre.org/techniques/T1021/</t>
        </is>
      </c>
      <c r="O714" s="276" t="n"/>
      <c r="P714" s="277" t="n"/>
    </row>
    <row r="715">
      <c r="A715" s="275" t="inlineStr">
        <is>
          <t>Hacktivist</t>
        </is>
      </c>
      <c r="B715" s="276" t="inlineStr">
        <is>
          <t>Data or transaction-integrity compromise</t>
        </is>
      </c>
      <c r="C715" s="276" t="inlineStr">
        <is>
          <t>User endpoint and social engineering</t>
        </is>
      </c>
      <c r="D715" s="276" t="inlineStr">
        <is>
          <t>T1213</t>
        </is>
      </c>
      <c r="E715" s="276" t="inlineStr">
        <is>
          <t>Data from Information Repositories</t>
        </is>
      </c>
      <c r="F715" s="276" t="inlineStr">
        <is>
          <t>S4</t>
        </is>
      </c>
      <c r="G715" s="276" t="b">
        <v>0</v>
      </c>
      <c r="H715" s="276" t="b">
        <v>1</v>
      </c>
      <c r="I715" s="276" t="b">
        <v>0</v>
      </c>
      <c r="J715" s="276" t="n">
        <v>0.7</v>
      </c>
      <c r="K715" s="276" t="n">
        <v>0.177890625</v>
      </c>
      <c r="L715" s="276" t="n">
        <v>0.177890625</v>
      </c>
      <c r="M715" s="276" t="inlineStr">
        <is>
          <t>SaaS; Office Suite; Windows</t>
        </is>
      </c>
      <c r="N715" s="276" t="inlineStr">
        <is>
          <t>https://attack.mitre.org/techniques/T1213/</t>
        </is>
      </c>
      <c r="O715" s="276" t="n"/>
      <c r="P715" s="277" t="n"/>
    </row>
    <row r="716">
      <c r="A716" s="275" t="inlineStr">
        <is>
          <t>Hacktivist</t>
        </is>
      </c>
      <c r="B716" s="276" t="inlineStr">
        <is>
          <t>Data or transaction-integrity compromise</t>
        </is>
      </c>
      <c r="C716" s="276" t="inlineStr">
        <is>
          <t>User endpoint and social engineering</t>
        </is>
      </c>
      <c r="D716" s="276" t="inlineStr">
        <is>
          <t>T1486</t>
        </is>
      </c>
      <c r="E716" s="276" t="inlineStr">
        <is>
          <t>Data Encrypted for Impact</t>
        </is>
      </c>
      <c r="F716" s="276" t="inlineStr">
        <is>
          <t>S5</t>
        </is>
      </c>
      <c r="G716" s="276" t="b">
        <v>0</v>
      </c>
      <c r="H716" s="276" t="b">
        <v>1</v>
      </c>
      <c r="I716" s="276" t="b">
        <v>0</v>
      </c>
      <c r="J716" s="276" t="n">
        <v>0.8</v>
      </c>
      <c r="K716" s="276" t="n">
        <v>0.16875</v>
      </c>
      <c r="L716" s="276" t="n">
        <v>0.16875</v>
      </c>
      <c r="M716" s="276" t="inlineStr">
        <is>
          <t>Windows; Linux; IaaS</t>
        </is>
      </c>
      <c r="N716" s="276" t="inlineStr">
        <is>
          <t>https://attack.mitre.org/techniques/T1486/</t>
        </is>
      </c>
      <c r="O716" s="276" t="n"/>
      <c r="P716" s="277" t="n"/>
    </row>
    <row r="717">
      <c r="A717" s="275" t="inlineStr">
        <is>
          <t>Hacktivist</t>
        </is>
      </c>
      <c r="B717" s="276" t="inlineStr">
        <is>
          <t>Data or transaction-integrity compromise</t>
        </is>
      </c>
      <c r="C717" s="276" t="inlineStr">
        <is>
          <t>User endpoint and social engineering</t>
        </is>
      </c>
      <c r="D717" s="276" t="inlineStr">
        <is>
          <t>T1490</t>
        </is>
      </c>
      <c r="E717" s="276" t="inlineStr">
        <is>
          <t>Inhibit System Recovery</t>
        </is>
      </c>
      <c r="F717" s="276" t="inlineStr">
        <is>
          <t>S5</t>
        </is>
      </c>
      <c r="G717" s="276" t="b">
        <v>0</v>
      </c>
      <c r="H717" s="276" t="b">
        <v>1</v>
      </c>
      <c r="I717" s="276" t="b">
        <v>0</v>
      </c>
      <c r="J717" s="276" t="n">
        <v>0.7</v>
      </c>
      <c r="K717" s="276" t="n">
        <v>0</v>
      </c>
      <c r="L717" s="276" t="n">
        <v>0</v>
      </c>
      <c r="M717" s="276" t="inlineStr">
        <is>
          <t>Windows; Linux; IaaS</t>
        </is>
      </c>
      <c r="N717" s="276" t="inlineStr">
        <is>
          <t>https://attack.mitre.org/techniques/T1490/</t>
        </is>
      </c>
      <c r="O717" s="276" t="n"/>
      <c r="P717" s="277" t="n"/>
    </row>
    <row r="718">
      <c r="A718" s="275" t="inlineStr">
        <is>
          <t>Hacktivist</t>
        </is>
      </c>
      <c r="B718" s="276" t="inlineStr">
        <is>
          <t>Data or transaction-integrity compromise</t>
        </is>
      </c>
      <c r="C718" s="276" t="inlineStr">
        <is>
          <t>User endpoint and social engineering</t>
        </is>
      </c>
      <c r="D718" s="276" t="inlineStr">
        <is>
          <t>T1567</t>
        </is>
      </c>
      <c r="E718" s="276" t="inlineStr">
        <is>
          <t>Exfiltration Over Web Service</t>
        </is>
      </c>
      <c r="F718" s="276" t="inlineStr">
        <is>
          <t>S5</t>
        </is>
      </c>
      <c r="G718" s="276" t="b">
        <v>1</v>
      </c>
      <c r="H718" s="276" t="b">
        <v>0</v>
      </c>
      <c r="I718" s="276" t="b">
        <v>0</v>
      </c>
      <c r="J718" s="276" t="n">
        <v>0.7</v>
      </c>
      <c r="K718" s="276" t="n">
        <v>0.20625</v>
      </c>
      <c r="L718" s="276" t="n">
        <v>0.20625</v>
      </c>
      <c r="M718" s="276" t="inlineStr">
        <is>
          <t>SaaS; Office Suite</t>
        </is>
      </c>
      <c r="N718" s="276" t="inlineStr">
        <is>
          <t>https://attack.mitre.org/techniques/T1567/</t>
        </is>
      </c>
      <c r="O718" s="276" t="n"/>
      <c r="P718" s="277" t="n"/>
    </row>
    <row r="719">
      <c r="A719" s="275" t="inlineStr">
        <is>
          <t>Hacktivist</t>
        </is>
      </c>
      <c r="B719" s="276" t="inlineStr">
        <is>
          <t>Data or transaction-integrity compromise</t>
        </is>
      </c>
      <c r="C719" s="276" t="inlineStr">
        <is>
          <t>User endpoint and social engineering</t>
        </is>
      </c>
      <c r="D719" s="276" t="inlineStr">
        <is>
          <t>T1657</t>
        </is>
      </c>
      <c r="E719" s="276" t="inlineStr">
        <is>
          <t>Financial Theft</t>
        </is>
      </c>
      <c r="F719" s="276" t="inlineStr">
        <is>
          <t>S5</t>
        </is>
      </c>
      <c r="G719" s="276" t="b">
        <v>0</v>
      </c>
      <c r="H719" s="276" t="b">
        <v>0</v>
      </c>
      <c r="I719" s="276" t="b">
        <v>0</v>
      </c>
      <c r="J719" s="276" t="n">
        <v>0.5</v>
      </c>
      <c r="K719" s="276" t="n">
        <v>0.275654296875</v>
      </c>
      <c r="L719" s="276" t="n">
        <v>0.275654296875</v>
      </c>
      <c r="M719" s="276" t="inlineStr">
        <is>
          <t>SaaS; Office Suite; Identity Provider</t>
        </is>
      </c>
      <c r="N719" s="276" t="inlineStr">
        <is>
          <t>https://attack.mitre.org/techniques/T1657/</t>
        </is>
      </c>
      <c r="O719" s="276" t="n"/>
      <c r="P719" s="277" t="n"/>
    </row>
    <row r="720">
      <c r="A720" s="275" t="inlineStr">
        <is>
          <t>Hacktivist</t>
        </is>
      </c>
      <c r="B720" s="276" t="inlineStr">
        <is>
          <t>Data or transaction-integrity compromise</t>
        </is>
      </c>
      <c r="C720" s="276" t="inlineStr">
        <is>
          <t>User endpoint and social engineering</t>
        </is>
      </c>
      <c r="D720" s="276" t="inlineStr">
        <is>
          <t>T1565</t>
        </is>
      </c>
      <c r="E720" s="276" t="inlineStr">
        <is>
          <t>Data Manipulation</t>
        </is>
      </c>
      <c r="F720" s="276" t="inlineStr">
        <is>
          <t>S5</t>
        </is>
      </c>
      <c r="G720" s="276" t="b">
        <v>1</v>
      </c>
      <c r="H720" s="276" t="b">
        <v>1</v>
      </c>
      <c r="I720" s="276" t="b">
        <v>1</v>
      </c>
      <c r="J720" s="276" t="n">
        <v>0.5</v>
      </c>
      <c r="K720" s="276" t="n">
        <v>0.2206064987182617</v>
      </c>
      <c r="L720" s="276" t="n">
        <v>0.2206064987182617</v>
      </c>
      <c r="M720" s="276" t="inlineStr">
        <is>
          <t>SaaS; Databases; Windows</t>
        </is>
      </c>
      <c r="N720" s="276" t="inlineStr">
        <is>
          <t>https://attack.mitre.org/techniques/T1565/</t>
        </is>
      </c>
      <c r="O720" s="276" t="n"/>
      <c r="P720" s="277" t="n"/>
    </row>
    <row r="721">
      <c r="A721" s="275" t="inlineStr">
        <is>
          <t>Hacktivist</t>
        </is>
      </c>
      <c r="B721" s="276" t="inlineStr">
        <is>
          <t>Data or transaction-integrity compromise</t>
        </is>
      </c>
      <c r="C721" s="276" t="inlineStr">
        <is>
          <t>Public-facing application exploitation</t>
        </is>
      </c>
      <c r="D721" s="276" t="inlineStr">
        <is>
          <t>T1190</t>
        </is>
      </c>
      <c r="E721" s="276" t="inlineStr">
        <is>
          <t>Exploit Public-Facing Application</t>
        </is>
      </c>
      <c r="F721" s="276" t="inlineStr">
        <is>
          <t>S1</t>
        </is>
      </c>
      <c r="G721" s="276" t="b">
        <v>1</v>
      </c>
      <c r="H721" s="276" t="b">
        <v>1</v>
      </c>
      <c r="I721" s="276" t="b">
        <v>1</v>
      </c>
      <c r="J721" s="276" t="n">
        <v>1</v>
      </c>
      <c r="K721" s="276" t="n">
        <v>0.2496630477905274</v>
      </c>
      <c r="L721" s="276" t="n">
        <v>0.2496630477905274</v>
      </c>
      <c r="M721" s="276" t="inlineStr">
        <is>
          <t>Network Devices; SaaS; IaaS</t>
        </is>
      </c>
      <c r="N721" s="276" t="inlineStr">
        <is>
          <t>https://attack.mitre.org/techniques/T1190/</t>
        </is>
      </c>
      <c r="O721" s="276" t="n"/>
      <c r="P721" s="277" t="n"/>
    </row>
    <row r="722">
      <c r="A722" s="275" t="inlineStr">
        <is>
          <t>Hacktivist</t>
        </is>
      </c>
      <c r="B722" s="276" t="inlineStr">
        <is>
          <t>Data or transaction-integrity compromise</t>
        </is>
      </c>
      <c r="C722" s="276" t="inlineStr">
        <is>
          <t>Public-facing application exploitation</t>
        </is>
      </c>
      <c r="D722" s="276" t="inlineStr">
        <is>
          <t>T1059</t>
        </is>
      </c>
      <c r="E722" s="276" t="inlineStr">
        <is>
          <t>Command and Scripting Interpreter</t>
        </is>
      </c>
      <c r="F722" s="276" t="inlineStr">
        <is>
          <t>S2</t>
        </is>
      </c>
      <c r="G722" s="276" t="b">
        <v>1</v>
      </c>
      <c r="H722" s="276" t="b">
        <v>1</v>
      </c>
      <c r="I722" s="276" t="b">
        <v>1</v>
      </c>
      <c r="J722" s="276" t="n">
        <v>0.8</v>
      </c>
      <c r="K722" s="276" t="n">
        <v>0.1875</v>
      </c>
      <c r="L722" s="276" t="n">
        <v>0.1875</v>
      </c>
      <c r="M722" s="276" t="inlineStr">
        <is>
          <t>Windows; macOS; Linux; IaaS</t>
        </is>
      </c>
      <c r="N722" s="276" t="inlineStr">
        <is>
          <t>https://attack.mitre.org/techniques/T1059/</t>
        </is>
      </c>
      <c r="O722" s="276" t="n"/>
      <c r="P722" s="277" t="n"/>
    </row>
    <row r="723">
      <c r="A723" s="275" t="inlineStr">
        <is>
          <t>Hacktivist</t>
        </is>
      </c>
      <c r="B723" s="276" t="inlineStr">
        <is>
          <t>Data or transaction-integrity compromise</t>
        </is>
      </c>
      <c r="C723" s="276" t="inlineStr">
        <is>
          <t>Public-facing application exploitation</t>
        </is>
      </c>
      <c r="D723" s="276" t="inlineStr">
        <is>
          <t>T1068</t>
        </is>
      </c>
      <c r="E723" s="276" t="inlineStr">
        <is>
          <t>Exploitation for Privilege Escalation</t>
        </is>
      </c>
      <c r="F723" s="276" t="inlineStr">
        <is>
          <t>S3</t>
        </is>
      </c>
      <c r="G723" s="276" t="b">
        <v>1</v>
      </c>
      <c r="H723" s="276" t="b">
        <v>1</v>
      </c>
      <c r="I723" s="276" t="b">
        <v>1</v>
      </c>
      <c r="J723" s="276" t="n">
        <v>0.7</v>
      </c>
      <c r="K723" s="276" t="n">
        <v>0.2094165115356445</v>
      </c>
      <c r="L723" s="276" t="n">
        <v>0.2094165115356445</v>
      </c>
      <c r="M723" s="276" t="inlineStr">
        <is>
          <t>Windows; macOS; Linux</t>
        </is>
      </c>
      <c r="N723" s="276" t="inlineStr">
        <is>
          <t>https://attack.mitre.org/techniques/T1068/</t>
        </is>
      </c>
      <c r="O723" s="276" t="n"/>
      <c r="P723" s="277" t="n"/>
    </row>
    <row r="724">
      <c r="A724" s="275" t="inlineStr">
        <is>
          <t>Hacktivist</t>
        </is>
      </c>
      <c r="B724" s="276" t="inlineStr">
        <is>
          <t>Data or transaction-integrity compromise</t>
        </is>
      </c>
      <c r="C724" s="276" t="inlineStr">
        <is>
          <t>Public-facing application exploitation</t>
        </is>
      </c>
      <c r="D724" s="276" t="inlineStr">
        <is>
          <t>T1003</t>
        </is>
      </c>
      <c r="E724" s="276" t="inlineStr">
        <is>
          <t>OS Credential Dumping</t>
        </is>
      </c>
      <c r="F724" s="276" t="inlineStr">
        <is>
          <t>S3</t>
        </is>
      </c>
      <c r="G724" s="276" t="b">
        <v>1</v>
      </c>
      <c r="H724" s="276" t="b">
        <v>1</v>
      </c>
      <c r="I724" s="276" t="b">
        <v>1</v>
      </c>
      <c r="J724" s="276" t="n">
        <v>0.6</v>
      </c>
      <c r="K724" s="276" t="n">
        <v>0.232294921875</v>
      </c>
      <c r="L724" s="276" t="n">
        <v>0.232294921875</v>
      </c>
      <c r="M724" s="276" t="inlineStr">
        <is>
          <t>Windows; Linux; macOS</t>
        </is>
      </c>
      <c r="N724" s="276" t="inlineStr">
        <is>
          <t>https://attack.mitre.org/techniques/T1003/</t>
        </is>
      </c>
      <c r="O724" s="276" t="n"/>
      <c r="P724" s="277" t="n"/>
    </row>
    <row r="725">
      <c r="A725" s="275" t="inlineStr">
        <is>
          <t>Hacktivist</t>
        </is>
      </c>
      <c r="B725" s="276" t="inlineStr">
        <is>
          <t>Data or transaction-integrity compromise</t>
        </is>
      </c>
      <c r="C725" s="276" t="inlineStr">
        <is>
          <t>Public-facing application exploitation</t>
        </is>
      </c>
      <c r="D725" s="276" t="inlineStr">
        <is>
          <t>T1046</t>
        </is>
      </c>
      <c r="E725" s="276" t="inlineStr">
        <is>
          <t>Network Service Discovery</t>
        </is>
      </c>
      <c r="F725" s="276" t="inlineStr">
        <is>
          <t>S4</t>
        </is>
      </c>
      <c r="G725" s="276" t="b">
        <v>1</v>
      </c>
      <c r="H725" s="276" t="b">
        <v>1</v>
      </c>
      <c r="I725" s="276" t="b">
        <v>1</v>
      </c>
      <c r="J725" s="276" t="n">
        <v>0.7</v>
      </c>
      <c r="K725" s="276" t="n">
        <v>0.16875</v>
      </c>
      <c r="L725" s="276" t="n">
        <v>0.16875</v>
      </c>
      <c r="M725" s="276" t="inlineStr">
        <is>
          <t>Network Devices; Windows; Linux</t>
        </is>
      </c>
      <c r="N725" s="276" t="inlineStr">
        <is>
          <t>https://attack.mitre.org/techniques/T1046/</t>
        </is>
      </c>
      <c r="O725" s="276" t="n"/>
      <c r="P725" s="277" t="n"/>
    </row>
    <row r="726">
      <c r="A726" s="275" t="inlineStr">
        <is>
          <t>Hacktivist</t>
        </is>
      </c>
      <c r="B726" s="276" t="inlineStr">
        <is>
          <t>Data or transaction-integrity compromise</t>
        </is>
      </c>
      <c r="C726" s="276" t="inlineStr">
        <is>
          <t>Public-facing application exploitation</t>
        </is>
      </c>
      <c r="D726" s="276" t="inlineStr">
        <is>
          <t>T1210</t>
        </is>
      </c>
      <c r="E726" s="276" t="inlineStr">
        <is>
          <t>Exploitation of Remote Services</t>
        </is>
      </c>
      <c r="F726" s="276" t="inlineStr">
        <is>
          <t>S4</t>
        </is>
      </c>
      <c r="G726" s="276" t="b">
        <v>1</v>
      </c>
      <c r="H726" s="276" t="b">
        <v>1</v>
      </c>
      <c r="I726" s="276" t="b">
        <v>1</v>
      </c>
      <c r="J726" s="276" t="n">
        <v>0.9</v>
      </c>
      <c r="K726" s="276" t="n">
        <v>0.2103495368957519</v>
      </c>
      <c r="L726" s="276" t="n">
        <v>0.2103495368957519</v>
      </c>
      <c r="M726" s="276" t="inlineStr">
        <is>
          <t>Windows; Linux; Network Devices</t>
        </is>
      </c>
      <c r="N726" s="276" t="inlineStr">
        <is>
          <t>https://attack.mitre.org/techniques/T1210/</t>
        </is>
      </c>
      <c r="O726" s="276" t="n"/>
      <c r="P726" s="277" t="n"/>
    </row>
    <row r="727">
      <c r="A727" s="275" t="inlineStr">
        <is>
          <t>Hacktivist</t>
        </is>
      </c>
      <c r="B727" s="276" t="inlineStr">
        <is>
          <t>Data or transaction-integrity compromise</t>
        </is>
      </c>
      <c r="C727" s="276" t="inlineStr">
        <is>
          <t>Public-facing application exploitation</t>
        </is>
      </c>
      <c r="D727" s="276" t="inlineStr">
        <is>
          <t>T1021</t>
        </is>
      </c>
      <c r="E727" s="276" t="inlineStr">
        <is>
          <t>Remote Services</t>
        </is>
      </c>
      <c r="F727" s="276" t="inlineStr">
        <is>
          <t>S4</t>
        </is>
      </c>
      <c r="G727" s="276" t="b">
        <v>1</v>
      </c>
      <c r="H727" s="276" t="b">
        <v>1</v>
      </c>
      <c r="I727" s="276" t="b">
        <v>1</v>
      </c>
      <c r="J727" s="276" t="n">
        <v>0.7</v>
      </c>
      <c r="K727" s="276" t="n">
        <v>0.1875</v>
      </c>
      <c r="L727" s="276" t="n">
        <v>0.1875</v>
      </c>
      <c r="M727" s="276" t="inlineStr">
        <is>
          <t>Windows; Linux; Network Devices</t>
        </is>
      </c>
      <c r="N727" s="276" t="inlineStr">
        <is>
          <t>https://attack.mitre.org/techniques/T1021/</t>
        </is>
      </c>
      <c r="O727" s="276" t="n"/>
      <c r="P727" s="277" t="n"/>
    </row>
    <row r="728">
      <c r="A728" s="275" t="inlineStr">
        <is>
          <t>Hacktivist</t>
        </is>
      </c>
      <c r="B728" s="276" t="inlineStr">
        <is>
          <t>Data or transaction-integrity compromise</t>
        </is>
      </c>
      <c r="C728" s="276" t="inlineStr">
        <is>
          <t>Public-facing application exploitation</t>
        </is>
      </c>
      <c r="D728" s="276" t="inlineStr">
        <is>
          <t>T1486</t>
        </is>
      </c>
      <c r="E728" s="276" t="inlineStr">
        <is>
          <t>Data Encrypted for Impact</t>
        </is>
      </c>
      <c r="F728" s="276" t="inlineStr">
        <is>
          <t>S5</t>
        </is>
      </c>
      <c r="G728" s="276" t="b">
        <v>0</v>
      </c>
      <c r="H728" s="276" t="b">
        <v>1</v>
      </c>
      <c r="I728" s="276" t="b">
        <v>0</v>
      </c>
      <c r="J728" s="276" t="n">
        <v>0.6</v>
      </c>
      <c r="K728" s="276" t="n">
        <v>0.16875</v>
      </c>
      <c r="L728" s="276" t="n">
        <v>0.16875</v>
      </c>
      <c r="M728" s="276" t="inlineStr">
        <is>
          <t>Windows; Linux; IaaS</t>
        </is>
      </c>
      <c r="N728" s="276" t="inlineStr">
        <is>
          <t>https://attack.mitre.org/techniques/T1486/</t>
        </is>
      </c>
      <c r="O728" s="276" t="n"/>
      <c r="P728" s="277" t="n"/>
    </row>
    <row r="729">
      <c r="A729" s="275" t="inlineStr">
        <is>
          <t>Hacktivist</t>
        </is>
      </c>
      <c r="B729" s="276" t="inlineStr">
        <is>
          <t>Data or transaction-integrity compromise</t>
        </is>
      </c>
      <c r="C729" s="276" t="inlineStr">
        <is>
          <t>Public-facing application exploitation</t>
        </is>
      </c>
      <c r="D729" s="276" t="inlineStr">
        <is>
          <t>T1490</t>
        </is>
      </c>
      <c r="E729" s="276" t="inlineStr">
        <is>
          <t>Inhibit System Recovery</t>
        </is>
      </c>
      <c r="F729" s="276" t="inlineStr">
        <is>
          <t>S5</t>
        </is>
      </c>
      <c r="G729" s="276" t="b">
        <v>0</v>
      </c>
      <c r="H729" s="276" t="b">
        <v>1</v>
      </c>
      <c r="I729" s="276" t="b">
        <v>0</v>
      </c>
      <c r="J729" s="276" t="n">
        <v>0.5</v>
      </c>
      <c r="K729" s="276" t="n">
        <v>0</v>
      </c>
      <c r="L729" s="276" t="n">
        <v>0</v>
      </c>
      <c r="M729" s="276" t="inlineStr">
        <is>
          <t>Windows; Linux; IaaS</t>
        </is>
      </c>
      <c r="N729" s="276" t="inlineStr">
        <is>
          <t>https://attack.mitre.org/techniques/T1490/</t>
        </is>
      </c>
      <c r="O729" s="276" t="n"/>
      <c r="P729" s="277" t="n"/>
    </row>
    <row r="730">
      <c r="A730" s="275" t="inlineStr">
        <is>
          <t>Hacktivist</t>
        </is>
      </c>
      <c r="B730" s="276" t="inlineStr">
        <is>
          <t>Data or transaction-integrity compromise</t>
        </is>
      </c>
      <c r="C730" s="276" t="inlineStr">
        <is>
          <t>Public-facing application exploitation</t>
        </is>
      </c>
      <c r="D730" s="276" t="inlineStr">
        <is>
          <t>T1567</t>
        </is>
      </c>
      <c r="E730" s="276" t="inlineStr">
        <is>
          <t>Exfiltration Over Web Service</t>
        </is>
      </c>
      <c r="F730" s="276" t="inlineStr">
        <is>
          <t>S5</t>
        </is>
      </c>
      <c r="G730" s="276" t="b">
        <v>1</v>
      </c>
      <c r="H730" s="276" t="b">
        <v>0</v>
      </c>
      <c r="I730" s="276" t="b">
        <v>0</v>
      </c>
      <c r="J730" s="276" t="n">
        <v>0.6</v>
      </c>
      <c r="K730" s="276" t="n">
        <v>0.20625</v>
      </c>
      <c r="L730" s="276" t="n">
        <v>0.20625</v>
      </c>
      <c r="M730" s="276" t="inlineStr">
        <is>
          <t>SaaS; Office Suite</t>
        </is>
      </c>
      <c r="N730" s="276" t="inlineStr">
        <is>
          <t>https://attack.mitre.org/techniques/T1567/</t>
        </is>
      </c>
      <c r="O730" s="276" t="n"/>
      <c r="P730" s="277" t="n"/>
    </row>
    <row r="731">
      <c r="A731" s="275" t="inlineStr">
        <is>
          <t>Hacktivist</t>
        </is>
      </c>
      <c r="B731" s="276" t="inlineStr">
        <is>
          <t>Data or transaction-integrity compromise</t>
        </is>
      </c>
      <c r="C731" s="276" t="inlineStr">
        <is>
          <t>Public-facing application exploitation</t>
        </is>
      </c>
      <c r="D731" s="276" t="inlineStr">
        <is>
          <t>T1565</t>
        </is>
      </c>
      <c r="E731" s="276" t="inlineStr">
        <is>
          <t>Data Manipulation</t>
        </is>
      </c>
      <c r="F731" s="276" t="inlineStr">
        <is>
          <t>S5</t>
        </is>
      </c>
      <c r="G731" s="276" t="b">
        <v>1</v>
      </c>
      <c r="H731" s="276" t="b">
        <v>1</v>
      </c>
      <c r="I731" s="276" t="b">
        <v>1</v>
      </c>
      <c r="J731" s="276" t="n">
        <v>0.6</v>
      </c>
      <c r="K731" s="276" t="n">
        <v>0.2206064987182617</v>
      </c>
      <c r="L731" s="276" t="n">
        <v>0.2206064987182617</v>
      </c>
      <c r="M731" s="276" t="inlineStr">
        <is>
          <t>SaaS; Databases; Windows</t>
        </is>
      </c>
      <c r="N731" s="276" t="inlineStr">
        <is>
          <t>https://attack.mitre.org/techniques/T1565/</t>
        </is>
      </c>
      <c r="O731" s="276" t="n"/>
      <c r="P731" s="277" t="n"/>
    </row>
    <row r="732">
      <c r="A732" s="275" t="inlineStr">
        <is>
          <t>Hacktivist</t>
        </is>
      </c>
      <c r="B732" s="276" t="inlineStr">
        <is>
          <t>Data or transaction-integrity compromise</t>
        </is>
      </c>
      <c r="C732" s="276" t="inlineStr">
        <is>
          <t>Public-facing application exploitation</t>
        </is>
      </c>
      <c r="D732" s="276" t="inlineStr">
        <is>
          <t>T1657</t>
        </is>
      </c>
      <c r="E732" s="276" t="inlineStr">
        <is>
          <t>Financial Theft</t>
        </is>
      </c>
      <c r="F732" s="276" t="inlineStr">
        <is>
          <t>S5</t>
        </is>
      </c>
      <c r="G732" s="276" t="b">
        <v>0</v>
      </c>
      <c r="H732" s="276" t="b">
        <v>0</v>
      </c>
      <c r="I732" s="276" t="b">
        <v>0</v>
      </c>
      <c r="J732" s="276" t="n">
        <v>0.4</v>
      </c>
      <c r="K732" s="276" t="n">
        <v>0.275654296875</v>
      </c>
      <c r="L732" s="276" t="n">
        <v>0.275654296875</v>
      </c>
      <c r="M732" s="276" t="inlineStr">
        <is>
          <t>SaaS; Office Suite; Identity Provider</t>
        </is>
      </c>
      <c r="N732" s="276" t="inlineStr">
        <is>
          <t>https://attack.mitre.org/techniques/T1657/</t>
        </is>
      </c>
      <c r="O732" s="276" t="n"/>
      <c r="P732" s="277" t="n"/>
    </row>
    <row r="733">
      <c r="A733" s="275" t="inlineStr">
        <is>
          <t>Hacktivist</t>
        </is>
      </c>
      <c r="B733" s="276" t="inlineStr">
        <is>
          <t>Data or transaction-integrity compromise</t>
        </is>
      </c>
      <c r="C733" s="276" t="inlineStr">
        <is>
          <t>Third-party or software supply chain</t>
        </is>
      </c>
      <c r="D733" s="276" t="inlineStr">
        <is>
          <t>T1199</t>
        </is>
      </c>
      <c r="E733" s="276" t="inlineStr">
        <is>
          <t>Trusted Relationship</t>
        </is>
      </c>
      <c r="F733" s="276" t="inlineStr">
        <is>
          <t>S3</t>
        </is>
      </c>
      <c r="G733" s="276" t="b">
        <v>1</v>
      </c>
      <c r="H733" s="276" t="b">
        <v>1</v>
      </c>
      <c r="I733" s="276" t="b">
        <v>1</v>
      </c>
      <c r="J733" s="276" t="n">
        <v>1</v>
      </c>
      <c r="K733" s="276" t="n">
        <v>0.20625</v>
      </c>
      <c r="L733" s="276" t="n">
        <v>0.20625</v>
      </c>
      <c r="M733" s="276" t="inlineStr">
        <is>
          <t>SaaS; IaaS; Network Devices</t>
        </is>
      </c>
      <c r="N733" s="276" t="inlineStr">
        <is>
          <t>https://attack.mitre.org/techniques/T1199/</t>
        </is>
      </c>
      <c r="O733" s="276" t="n"/>
      <c r="P733" s="277" t="n"/>
    </row>
    <row r="734">
      <c r="A734" s="275" t="inlineStr">
        <is>
          <t>Hacktivist</t>
        </is>
      </c>
      <c r="B734" s="276" t="inlineStr">
        <is>
          <t>Data or transaction-integrity compromise</t>
        </is>
      </c>
      <c r="C734" s="276" t="inlineStr">
        <is>
          <t>Third-party or software supply chain</t>
        </is>
      </c>
      <c r="D734" s="276" t="inlineStr">
        <is>
          <t>T1098</t>
        </is>
      </c>
      <c r="E734" s="276" t="inlineStr">
        <is>
          <t>Account Manipulation</t>
        </is>
      </c>
      <c r="F734" s="276" t="inlineStr">
        <is>
          <t>S3</t>
        </is>
      </c>
      <c r="G734" s="276" t="b">
        <v>1</v>
      </c>
      <c r="H734" s="276" t="b">
        <v>1</v>
      </c>
      <c r="I734" s="276" t="b">
        <v>1</v>
      </c>
      <c r="J734" s="276" t="n">
        <v>0.6</v>
      </c>
      <c r="K734" s="276" t="n">
        <v>0.2477547340393066</v>
      </c>
      <c r="L734" s="276" t="n">
        <v>0.2477547340393066</v>
      </c>
      <c r="M734" s="276" t="inlineStr">
        <is>
          <t>Identity Provider; SaaS; Windows</t>
        </is>
      </c>
      <c r="N734" s="276" t="inlineStr">
        <is>
          <t>https://attack.mitre.org/techniques/T1098/</t>
        </is>
      </c>
      <c r="O734" s="276" t="n"/>
      <c r="P734" s="277" t="n"/>
    </row>
    <row r="735">
      <c r="A735" s="275" t="inlineStr">
        <is>
          <t>Hacktivist</t>
        </is>
      </c>
      <c r="B735" s="276" t="inlineStr">
        <is>
          <t>Data or transaction-integrity compromise</t>
        </is>
      </c>
      <c r="C735" s="276" t="inlineStr">
        <is>
          <t>Third-party or software supply chain</t>
        </is>
      </c>
      <c r="D735" s="276" t="inlineStr">
        <is>
          <t>T1087</t>
        </is>
      </c>
      <c r="E735" s="276" t="inlineStr">
        <is>
          <t>Account Discovery</t>
        </is>
      </c>
      <c r="F735" s="276" t="inlineStr">
        <is>
          <t>S4</t>
        </is>
      </c>
      <c r="G735" s="276" t="b">
        <v>1</v>
      </c>
      <c r="H735" s="276" t="b">
        <v>1</v>
      </c>
      <c r="I735" s="276" t="b">
        <v>1</v>
      </c>
      <c r="J735" s="276" t="n">
        <v>0.5</v>
      </c>
      <c r="K735" s="276" t="n">
        <v>0</v>
      </c>
      <c r="L735" s="276" t="n">
        <v>0</v>
      </c>
      <c r="M735" s="276" t="inlineStr">
        <is>
          <t>Identity Provider; SaaS; Windows</t>
        </is>
      </c>
      <c r="N735" s="276" t="inlineStr">
        <is>
          <t>https://attack.mitre.org/techniques/T1087/</t>
        </is>
      </c>
      <c r="O735" s="276" t="n"/>
      <c r="P735" s="277" t="n"/>
    </row>
    <row r="736">
      <c r="A736" s="275" t="inlineStr">
        <is>
          <t>Hacktivist</t>
        </is>
      </c>
      <c r="B736" s="276" t="inlineStr">
        <is>
          <t>Data or transaction-integrity compromise</t>
        </is>
      </c>
      <c r="C736" s="276" t="inlineStr">
        <is>
          <t>Third-party or software supply chain</t>
        </is>
      </c>
      <c r="D736" s="276" t="inlineStr">
        <is>
          <t>T1213</t>
        </is>
      </c>
      <c r="E736" s="276" t="inlineStr">
        <is>
          <t>Data from Information Repositories</t>
        </is>
      </c>
      <c r="F736" s="276" t="inlineStr">
        <is>
          <t>S4</t>
        </is>
      </c>
      <c r="G736" s="276" t="b">
        <v>0</v>
      </c>
      <c r="H736" s="276" t="b">
        <v>1</v>
      </c>
      <c r="I736" s="276" t="b">
        <v>0</v>
      </c>
      <c r="J736" s="276" t="n">
        <v>0.7</v>
      </c>
      <c r="K736" s="276" t="n">
        <v>0.177890625</v>
      </c>
      <c r="L736" s="276" t="n">
        <v>0.177890625</v>
      </c>
      <c r="M736" s="276" t="inlineStr">
        <is>
          <t>SaaS; Office Suite; Windows</t>
        </is>
      </c>
      <c r="N736" s="276" t="inlineStr">
        <is>
          <t>https://attack.mitre.org/techniques/T1213/</t>
        </is>
      </c>
      <c r="O736" s="276" t="n"/>
      <c r="P736" s="277" t="n"/>
    </row>
    <row r="737">
      <c r="A737" s="275" t="inlineStr">
        <is>
          <t>Hacktivist</t>
        </is>
      </c>
      <c r="B737" s="276" t="inlineStr">
        <is>
          <t>Data or transaction-integrity compromise</t>
        </is>
      </c>
      <c r="C737" s="276" t="inlineStr">
        <is>
          <t>Third-party or software supply chain</t>
        </is>
      </c>
      <c r="D737" s="276" t="inlineStr">
        <is>
          <t>T1567</t>
        </is>
      </c>
      <c r="E737" s="276" t="inlineStr">
        <is>
          <t>Exfiltration Over Web Service</t>
        </is>
      </c>
      <c r="F737" s="276" t="inlineStr">
        <is>
          <t>S5</t>
        </is>
      </c>
      <c r="G737" s="276" t="b">
        <v>1</v>
      </c>
      <c r="H737" s="276" t="b">
        <v>0</v>
      </c>
      <c r="I737" s="276" t="b">
        <v>0</v>
      </c>
      <c r="J737" s="276" t="n">
        <v>0.6</v>
      </c>
      <c r="K737" s="276" t="n">
        <v>0.20625</v>
      </c>
      <c r="L737" s="276" t="n">
        <v>0.20625</v>
      </c>
      <c r="M737" s="276" t="inlineStr">
        <is>
          <t>SaaS; Office Suite</t>
        </is>
      </c>
      <c r="N737" s="276" t="inlineStr">
        <is>
          <t>https://attack.mitre.org/techniques/T1567/</t>
        </is>
      </c>
      <c r="O737" s="276" t="n"/>
      <c r="P737" s="277" t="n"/>
    </row>
    <row r="738">
      <c r="A738" s="275" t="inlineStr">
        <is>
          <t>Hacktivist</t>
        </is>
      </c>
      <c r="B738" s="276" t="inlineStr">
        <is>
          <t>Data or transaction-integrity compromise</t>
        </is>
      </c>
      <c r="C738" s="276" t="inlineStr">
        <is>
          <t>Third-party or software supply chain</t>
        </is>
      </c>
      <c r="D738" s="276" t="inlineStr">
        <is>
          <t>T1486</t>
        </is>
      </c>
      <c r="E738" s="276" t="inlineStr">
        <is>
          <t>Data Encrypted for Impact</t>
        </is>
      </c>
      <c r="F738" s="276" t="inlineStr">
        <is>
          <t>S5</t>
        </is>
      </c>
      <c r="G738" s="276" t="b">
        <v>0</v>
      </c>
      <c r="H738" s="276" t="b">
        <v>1</v>
      </c>
      <c r="I738" s="276" t="b">
        <v>0</v>
      </c>
      <c r="J738" s="276" t="n">
        <v>0.5</v>
      </c>
      <c r="K738" s="276" t="n">
        <v>0.16875</v>
      </c>
      <c r="L738" s="276" t="n">
        <v>0.16875</v>
      </c>
      <c r="M738" s="276" t="inlineStr">
        <is>
          <t>Windows; Linux; IaaS</t>
        </is>
      </c>
      <c r="N738" s="276" t="inlineStr">
        <is>
          <t>https://attack.mitre.org/techniques/T1486/</t>
        </is>
      </c>
      <c r="O738" s="276" t="n"/>
      <c r="P738" s="277" t="n"/>
    </row>
    <row r="739">
      <c r="A739" s="275" t="inlineStr">
        <is>
          <t>Hacktivist</t>
        </is>
      </c>
      <c r="B739" s="276" t="inlineStr">
        <is>
          <t>Data or transaction-integrity compromise</t>
        </is>
      </c>
      <c r="C739" s="276" t="inlineStr">
        <is>
          <t>Third-party or software supply chain</t>
        </is>
      </c>
      <c r="D739" s="276" t="inlineStr">
        <is>
          <t>T1565</t>
        </is>
      </c>
      <c r="E739" s="276" t="inlineStr">
        <is>
          <t>Data Manipulation</t>
        </is>
      </c>
      <c r="F739" s="276" t="inlineStr">
        <is>
          <t>S5</t>
        </is>
      </c>
      <c r="G739" s="276" t="b">
        <v>1</v>
      </c>
      <c r="H739" s="276" t="b">
        <v>1</v>
      </c>
      <c r="I739" s="276" t="b">
        <v>1</v>
      </c>
      <c r="J739" s="276" t="n">
        <v>0.6</v>
      </c>
      <c r="K739" s="276" t="n">
        <v>0.2206064987182617</v>
      </c>
      <c r="L739" s="276" t="n">
        <v>0.2206064987182617</v>
      </c>
      <c r="M739" s="276" t="inlineStr">
        <is>
          <t>SaaS; Databases; Windows</t>
        </is>
      </c>
      <c r="N739" s="276" t="inlineStr">
        <is>
          <t>https://attack.mitre.org/techniques/T1565/</t>
        </is>
      </c>
      <c r="O739" s="276" t="n"/>
      <c r="P739" s="277" t="n"/>
    </row>
    <row r="740">
      <c r="A740" s="275" t="inlineStr">
        <is>
          <t>Hacktivist</t>
        </is>
      </c>
      <c r="B740" s="276" t="inlineStr">
        <is>
          <t>Data or transaction-integrity compromise</t>
        </is>
      </c>
      <c r="C740" s="276" t="inlineStr">
        <is>
          <t>Third-party or software supply chain</t>
        </is>
      </c>
      <c r="D740" s="276" t="inlineStr">
        <is>
          <t>T1657</t>
        </is>
      </c>
      <c r="E740" s="276" t="inlineStr">
        <is>
          <t>Financial Theft</t>
        </is>
      </c>
      <c r="F740" s="276" t="inlineStr">
        <is>
          <t>S5</t>
        </is>
      </c>
      <c r="G740" s="276" t="b">
        <v>0</v>
      </c>
      <c r="H740" s="276" t="b">
        <v>0</v>
      </c>
      <c r="I740" s="276" t="b">
        <v>0</v>
      </c>
      <c r="J740" s="276" t="n">
        <v>0.5</v>
      </c>
      <c r="K740" s="276" t="n">
        <v>0.275654296875</v>
      </c>
      <c r="L740" s="276" t="n">
        <v>0.275654296875</v>
      </c>
      <c r="M740" s="276" t="inlineStr">
        <is>
          <t>SaaS; Office Suite; Identity Provider</t>
        </is>
      </c>
      <c r="N740" s="276" t="inlineStr">
        <is>
          <t>https://attack.mitre.org/techniques/T1657/</t>
        </is>
      </c>
      <c r="O740" s="276" t="n"/>
      <c r="P740" s="277" t="n"/>
    </row>
    <row r="741">
      <c r="A741" s="275" t="inlineStr">
        <is>
          <t>Hacktivist</t>
        </is>
      </c>
      <c r="B741" s="276" t="inlineStr">
        <is>
          <t>Data or transaction-integrity compromise</t>
        </is>
      </c>
      <c r="C741" s="276" t="inlineStr">
        <is>
          <t>Insider or trusted access</t>
        </is>
      </c>
      <c r="D741" s="276" t="inlineStr">
        <is>
          <t>T1098</t>
        </is>
      </c>
      <c r="E741" s="276" t="inlineStr">
        <is>
          <t>Account Manipulation</t>
        </is>
      </c>
      <c r="F741" s="276" t="inlineStr">
        <is>
          <t>S3</t>
        </is>
      </c>
      <c r="G741" s="276" t="b">
        <v>1</v>
      </c>
      <c r="H741" s="276" t="b">
        <v>1</v>
      </c>
      <c r="I741" s="276" t="b">
        <v>1</v>
      </c>
      <c r="J741" s="276" t="n">
        <v>0.8</v>
      </c>
      <c r="K741" s="276" t="n">
        <v>0.2477547340393066</v>
      </c>
      <c r="L741" s="276" t="n">
        <v>0.2477547340393066</v>
      </c>
      <c r="M741" s="276" t="inlineStr">
        <is>
          <t>Identity Provider; SaaS; Windows</t>
        </is>
      </c>
      <c r="N741" s="276" t="inlineStr">
        <is>
          <t>https://attack.mitre.org/techniques/T1098/</t>
        </is>
      </c>
      <c r="O741" s="276" t="n"/>
      <c r="P741" s="277" t="n"/>
    </row>
    <row r="742">
      <c r="A742" s="275" t="inlineStr">
        <is>
          <t>Hacktivist</t>
        </is>
      </c>
      <c r="B742" s="276" t="inlineStr">
        <is>
          <t>Data or transaction-integrity compromise</t>
        </is>
      </c>
      <c r="C742" s="276" t="inlineStr">
        <is>
          <t>Insider or trusted access</t>
        </is>
      </c>
      <c r="D742" s="276" t="inlineStr">
        <is>
          <t>T1087</t>
        </is>
      </c>
      <c r="E742" s="276" t="inlineStr">
        <is>
          <t>Account Discovery</t>
        </is>
      </c>
      <c r="F742" s="276" t="inlineStr">
        <is>
          <t>S4</t>
        </is>
      </c>
      <c r="G742" s="276" t="b">
        <v>1</v>
      </c>
      <c r="H742" s="276" t="b">
        <v>1</v>
      </c>
      <c r="I742" s="276" t="b">
        <v>1</v>
      </c>
      <c r="J742" s="276" t="n">
        <v>0.6</v>
      </c>
      <c r="K742" s="276" t="n">
        <v>0</v>
      </c>
      <c r="L742" s="276" t="n">
        <v>0</v>
      </c>
      <c r="M742" s="276" t="inlineStr">
        <is>
          <t>Identity Provider; SaaS; Windows</t>
        </is>
      </c>
      <c r="N742" s="276" t="inlineStr">
        <is>
          <t>https://attack.mitre.org/techniques/T1087/</t>
        </is>
      </c>
      <c r="O742" s="276" t="n"/>
      <c r="P742" s="277" t="n"/>
    </row>
    <row r="743">
      <c r="A743" s="275" t="inlineStr">
        <is>
          <t>Hacktivist</t>
        </is>
      </c>
      <c r="B743" s="276" t="inlineStr">
        <is>
          <t>Data or transaction-integrity compromise</t>
        </is>
      </c>
      <c r="C743" s="276" t="inlineStr">
        <is>
          <t>Insider or trusted access</t>
        </is>
      </c>
      <c r="D743" s="276" t="inlineStr">
        <is>
          <t>T1213</t>
        </is>
      </c>
      <c r="E743" s="276" t="inlineStr">
        <is>
          <t>Data from Information Repositories</t>
        </is>
      </c>
      <c r="F743" s="276" t="inlineStr">
        <is>
          <t>S4</t>
        </is>
      </c>
      <c r="G743" s="276" t="b">
        <v>0</v>
      </c>
      <c r="H743" s="276" t="b">
        <v>1</v>
      </c>
      <c r="I743" s="276" t="b">
        <v>0</v>
      </c>
      <c r="J743" s="276" t="n">
        <v>0.9</v>
      </c>
      <c r="K743" s="276" t="n">
        <v>0.177890625</v>
      </c>
      <c r="L743" s="276" t="n">
        <v>0.177890625</v>
      </c>
      <c r="M743" s="276" t="inlineStr">
        <is>
          <t>SaaS; Office Suite; Windows</t>
        </is>
      </c>
      <c r="N743" s="276" t="inlineStr">
        <is>
          <t>https://attack.mitre.org/techniques/T1213/</t>
        </is>
      </c>
      <c r="O743" s="276" t="n"/>
      <c r="P743" s="277" t="n"/>
    </row>
    <row r="744">
      <c r="A744" s="275" t="inlineStr">
        <is>
          <t>Hacktivist</t>
        </is>
      </c>
      <c r="B744" s="276" t="inlineStr">
        <is>
          <t>Data or transaction-integrity compromise</t>
        </is>
      </c>
      <c r="C744" s="276" t="inlineStr">
        <is>
          <t>Insider or trusted access</t>
        </is>
      </c>
      <c r="D744" s="276" t="inlineStr">
        <is>
          <t>T1567</t>
        </is>
      </c>
      <c r="E744" s="276" t="inlineStr">
        <is>
          <t>Exfiltration Over Web Service</t>
        </is>
      </c>
      <c r="F744" s="276" t="inlineStr">
        <is>
          <t>S5</t>
        </is>
      </c>
      <c r="G744" s="276" t="b">
        <v>1</v>
      </c>
      <c r="H744" s="276" t="b">
        <v>0</v>
      </c>
      <c r="I744" s="276" t="b">
        <v>0</v>
      </c>
      <c r="J744" s="276" t="n">
        <v>0.8</v>
      </c>
      <c r="K744" s="276" t="n">
        <v>0.20625</v>
      </c>
      <c r="L744" s="276" t="n">
        <v>0.20625</v>
      </c>
      <c r="M744" s="276" t="inlineStr">
        <is>
          <t>SaaS; Office Suite</t>
        </is>
      </c>
      <c r="N744" s="276" t="inlineStr">
        <is>
          <t>https://attack.mitre.org/techniques/T1567/</t>
        </is>
      </c>
      <c r="O744" s="276" t="n"/>
      <c r="P744" s="277" t="n"/>
    </row>
    <row r="745">
      <c r="A745" s="275" t="inlineStr">
        <is>
          <t>Hacktivist</t>
        </is>
      </c>
      <c r="B745" s="276" t="inlineStr">
        <is>
          <t>Data or transaction-integrity compromise</t>
        </is>
      </c>
      <c r="C745" s="276" t="inlineStr">
        <is>
          <t>Insider or trusted access</t>
        </is>
      </c>
      <c r="D745" s="276" t="inlineStr">
        <is>
          <t>T1565</t>
        </is>
      </c>
      <c r="E745" s="276" t="inlineStr">
        <is>
          <t>Data Manipulation</t>
        </is>
      </c>
      <c r="F745" s="276" t="inlineStr">
        <is>
          <t>S5</t>
        </is>
      </c>
      <c r="G745" s="276" t="b">
        <v>1</v>
      </c>
      <c r="H745" s="276" t="b">
        <v>1</v>
      </c>
      <c r="I745" s="276" t="b">
        <v>1</v>
      </c>
      <c r="J745" s="276" t="n">
        <v>0.9</v>
      </c>
      <c r="K745" s="276" t="n">
        <v>0.2206064987182617</v>
      </c>
      <c r="L745" s="276" t="n">
        <v>0.2206064987182617</v>
      </c>
      <c r="M745" s="276" t="inlineStr">
        <is>
          <t>SaaS; Databases; Windows</t>
        </is>
      </c>
      <c r="N745" s="276" t="inlineStr">
        <is>
          <t>https://attack.mitre.org/techniques/T1565/</t>
        </is>
      </c>
      <c r="O745" s="276" t="n"/>
      <c r="P745" s="277" t="n"/>
    </row>
    <row r="746">
      <c r="A746" s="275" t="inlineStr">
        <is>
          <t>Hacktivist</t>
        </is>
      </c>
      <c r="B746" s="276" t="inlineStr">
        <is>
          <t>Data or transaction-integrity compromise</t>
        </is>
      </c>
      <c r="C746" s="276" t="inlineStr">
        <is>
          <t>Insider or trusted access</t>
        </is>
      </c>
      <c r="D746" s="276" t="inlineStr">
        <is>
          <t>T1657</t>
        </is>
      </c>
      <c r="E746" s="276" t="inlineStr">
        <is>
          <t>Financial Theft</t>
        </is>
      </c>
      <c r="F746" s="276" t="inlineStr">
        <is>
          <t>S5</t>
        </is>
      </c>
      <c r="G746" s="276" t="b">
        <v>0</v>
      </c>
      <c r="H746" s="276" t="b">
        <v>0</v>
      </c>
      <c r="I746" s="276" t="b">
        <v>0</v>
      </c>
      <c r="J746" s="276" t="n">
        <v>0.9</v>
      </c>
      <c r="K746" s="276" t="n">
        <v>0.275654296875</v>
      </c>
      <c r="L746" s="276" t="n">
        <v>0.275654296875</v>
      </c>
      <c r="M746" s="276" t="inlineStr">
        <is>
          <t>SaaS; Office Suite; Identity Provider</t>
        </is>
      </c>
      <c r="N746" s="276" t="inlineStr">
        <is>
          <t>https://attack.mitre.org/techniques/T1657/</t>
        </is>
      </c>
      <c r="O746" s="276" t="n"/>
      <c r="P746" s="277" t="n"/>
    </row>
    <row r="747">
      <c r="A747" s="275" t="inlineStr">
        <is>
          <t>Hacktivist</t>
        </is>
      </c>
      <c r="B747" s="276" t="inlineStr">
        <is>
          <t>Cyber-enabled theft or fraud</t>
        </is>
      </c>
      <c r="C747" s="276" t="inlineStr">
        <is>
          <t>Identity and credential compromise</t>
        </is>
      </c>
      <c r="D747" s="276" t="inlineStr">
        <is>
          <t>T1566</t>
        </is>
      </c>
      <c r="E747" s="276" t="inlineStr">
        <is>
          <t>Phishing</t>
        </is>
      </c>
      <c r="F747" s="276" t="inlineStr">
        <is>
          <t>S1</t>
        </is>
      </c>
      <c r="G747" s="276" t="b">
        <v>1</v>
      </c>
      <c r="H747" s="276" t="b">
        <v>1</v>
      </c>
      <c r="I747" s="276" t="b">
        <v>1</v>
      </c>
      <c r="J747" s="276" t="n">
        <v>1</v>
      </c>
      <c r="K747" s="276" t="n">
        <v>0.20625</v>
      </c>
      <c r="L747" s="276" t="n">
        <v>0.20625</v>
      </c>
      <c r="M747" s="276" t="inlineStr">
        <is>
          <t>Windows; SaaS; Office Suite</t>
        </is>
      </c>
      <c r="N747" s="276" t="inlineStr">
        <is>
          <t>https://attack.mitre.org/techniques/T1566/</t>
        </is>
      </c>
      <c r="O747" s="276" t="n"/>
      <c r="P747" s="277" t="n"/>
    </row>
    <row r="748">
      <c r="A748" s="275" t="inlineStr">
        <is>
          <t>Hacktivist</t>
        </is>
      </c>
      <c r="B748" s="276" t="inlineStr">
        <is>
          <t>Cyber-enabled theft or fraud</t>
        </is>
      </c>
      <c r="C748" s="276" t="inlineStr">
        <is>
          <t>Identity and credential compromise</t>
        </is>
      </c>
      <c r="D748" s="276" t="inlineStr">
        <is>
          <t>T1078</t>
        </is>
      </c>
      <c r="E748" s="276" t="inlineStr">
        <is>
          <t>Valid Accounts</t>
        </is>
      </c>
      <c r="F748" s="276" t="inlineStr">
        <is>
          <t>S1</t>
        </is>
      </c>
      <c r="G748" s="276" t="b">
        <v>1</v>
      </c>
      <c r="H748" s="276" t="b">
        <v>1</v>
      </c>
      <c r="I748" s="276" t="b">
        <v>1</v>
      </c>
      <c r="J748" s="276" t="n">
        <v>1</v>
      </c>
      <c r="K748" s="276" t="n">
        <v>0.272109375</v>
      </c>
      <c r="L748" s="276" t="n">
        <v>0.272109375</v>
      </c>
      <c r="M748" s="276" t="inlineStr">
        <is>
          <t>Identity Provider; SaaS; IaaS; Windows</t>
        </is>
      </c>
      <c r="N748" s="276" t="inlineStr">
        <is>
          <t>https://attack.mitre.org/techniques/T1078/</t>
        </is>
      </c>
      <c r="O748" s="276" t="n"/>
      <c r="P748" s="277" t="n"/>
    </row>
    <row r="749">
      <c r="A749" s="275" t="inlineStr">
        <is>
          <t>Hacktivist</t>
        </is>
      </c>
      <c r="B749" s="276" t="inlineStr">
        <is>
          <t>Cyber-enabled theft or fraud</t>
        </is>
      </c>
      <c r="C749" s="276" t="inlineStr">
        <is>
          <t>Identity and credential compromise</t>
        </is>
      </c>
      <c r="D749" s="276" t="inlineStr">
        <is>
          <t>T1110</t>
        </is>
      </c>
      <c r="E749" s="276" t="inlineStr">
        <is>
          <t>Brute Force</t>
        </is>
      </c>
      <c r="F749" s="276" t="inlineStr">
        <is>
          <t>S1</t>
        </is>
      </c>
      <c r="G749" s="276" t="b">
        <v>1</v>
      </c>
      <c r="H749" s="276" t="b">
        <v>1</v>
      </c>
      <c r="I749" s="276" t="b">
        <v>1</v>
      </c>
      <c r="J749" s="276" t="n">
        <v>0.7</v>
      </c>
      <c r="K749" s="276" t="n">
        <v>0.24375</v>
      </c>
      <c r="L749" s="276" t="n">
        <v>0.24375</v>
      </c>
      <c r="M749" s="276" t="inlineStr">
        <is>
          <t>Identity Provider; SaaS; Windows</t>
        </is>
      </c>
      <c r="N749" s="276" t="inlineStr">
        <is>
          <t>https://attack.mitre.org/techniques/T1110/</t>
        </is>
      </c>
      <c r="O749" s="276" t="n"/>
      <c r="P749" s="277" t="n"/>
    </row>
    <row r="750">
      <c r="A750" s="275" t="inlineStr">
        <is>
          <t>Hacktivist</t>
        </is>
      </c>
      <c r="B750" s="276" t="inlineStr">
        <is>
          <t>Cyber-enabled theft or fraud</t>
        </is>
      </c>
      <c r="C750" s="276" t="inlineStr">
        <is>
          <t>Identity and credential compromise</t>
        </is>
      </c>
      <c r="D750" s="276" t="inlineStr">
        <is>
          <t>T1098</t>
        </is>
      </c>
      <c r="E750" s="276" t="inlineStr">
        <is>
          <t>Account Manipulation</t>
        </is>
      </c>
      <c r="F750" s="276" t="inlineStr">
        <is>
          <t>S3</t>
        </is>
      </c>
      <c r="G750" s="276" t="b">
        <v>1</v>
      </c>
      <c r="H750" s="276" t="b">
        <v>1</v>
      </c>
      <c r="I750" s="276" t="b">
        <v>1</v>
      </c>
      <c r="J750" s="276" t="n">
        <v>0.7</v>
      </c>
      <c r="K750" s="276" t="n">
        <v>0.2477547340393066</v>
      </c>
      <c r="L750" s="276" t="n">
        <v>0.2477547340393066</v>
      </c>
      <c r="M750" s="276" t="inlineStr">
        <is>
          <t>Identity Provider; SaaS; Windows</t>
        </is>
      </c>
      <c r="N750" s="276" t="inlineStr">
        <is>
          <t>https://attack.mitre.org/techniques/T1098/</t>
        </is>
      </c>
      <c r="O750" s="276" t="n"/>
      <c r="P750" s="277" t="n"/>
    </row>
    <row r="751">
      <c r="A751" s="275" t="inlineStr">
        <is>
          <t>Hacktivist</t>
        </is>
      </c>
      <c r="B751" s="276" t="inlineStr">
        <is>
          <t>Cyber-enabled theft or fraud</t>
        </is>
      </c>
      <c r="C751" s="276" t="inlineStr">
        <is>
          <t>Identity and credential compromise</t>
        </is>
      </c>
      <c r="D751" s="276" t="inlineStr">
        <is>
          <t>T1567</t>
        </is>
      </c>
      <c r="E751" s="276" t="inlineStr">
        <is>
          <t>Exfiltration Over Web Service</t>
        </is>
      </c>
      <c r="F751" s="276" t="inlineStr">
        <is>
          <t>S5</t>
        </is>
      </c>
      <c r="G751" s="276" t="b">
        <v>1</v>
      </c>
      <c r="H751" s="276" t="b">
        <v>0</v>
      </c>
      <c r="I751" s="276" t="b">
        <v>0</v>
      </c>
      <c r="J751" s="276" t="n">
        <v>0.7</v>
      </c>
      <c r="K751" s="276" t="n">
        <v>0.20625</v>
      </c>
      <c r="L751" s="276" t="n">
        <v>0.20625</v>
      </c>
      <c r="M751" s="276" t="inlineStr">
        <is>
          <t>SaaS; Office Suite</t>
        </is>
      </c>
      <c r="N751" s="276" t="inlineStr">
        <is>
          <t>https://attack.mitre.org/techniques/T1567/</t>
        </is>
      </c>
      <c r="O751" s="276" t="n"/>
      <c r="P751" s="277" t="n"/>
    </row>
    <row r="752">
      <c r="A752" s="275" t="inlineStr">
        <is>
          <t>Hacktivist</t>
        </is>
      </c>
      <c r="B752" s="276" t="inlineStr">
        <is>
          <t>Cyber-enabled theft or fraud</t>
        </is>
      </c>
      <c r="C752" s="276" t="inlineStr">
        <is>
          <t>Identity and credential compromise</t>
        </is>
      </c>
      <c r="D752" s="276" t="inlineStr">
        <is>
          <t>T1657</t>
        </is>
      </c>
      <c r="E752" s="276" t="inlineStr">
        <is>
          <t>Financial Theft</t>
        </is>
      </c>
      <c r="F752" s="276" t="inlineStr">
        <is>
          <t>S5</t>
        </is>
      </c>
      <c r="G752" s="276" t="b">
        <v>0</v>
      </c>
      <c r="H752" s="276" t="b">
        <v>1</v>
      </c>
      <c r="I752" s="276" t="b">
        <v>0</v>
      </c>
      <c r="J752" s="276" t="n">
        <v>0.8</v>
      </c>
      <c r="K752" s="276" t="n">
        <v>0.275654296875</v>
      </c>
      <c r="L752" s="276" t="n">
        <v>0.275654296875</v>
      </c>
      <c r="M752" s="276" t="inlineStr">
        <is>
          <t>SaaS; Office Suite; Identity Provider</t>
        </is>
      </c>
      <c r="N752" s="276" t="inlineStr">
        <is>
          <t>https://attack.mitre.org/techniques/T1657/</t>
        </is>
      </c>
      <c r="O752" s="276" t="n"/>
      <c r="P752" s="277" t="n"/>
    </row>
    <row r="753">
      <c r="A753" s="275" t="inlineStr">
        <is>
          <t>Hacktivist</t>
        </is>
      </c>
      <c r="B753" s="276" t="inlineStr">
        <is>
          <t>Cyber-enabled theft or fraud</t>
        </is>
      </c>
      <c r="C753" s="276" t="inlineStr">
        <is>
          <t>Identity and credential compromise</t>
        </is>
      </c>
      <c r="D753" s="276" t="inlineStr">
        <is>
          <t>T1565</t>
        </is>
      </c>
      <c r="E753" s="276" t="inlineStr">
        <is>
          <t>Data Manipulation</t>
        </is>
      </c>
      <c r="F753" s="276" t="inlineStr">
        <is>
          <t>S5</t>
        </is>
      </c>
      <c r="G753" s="276" t="b">
        <v>1</v>
      </c>
      <c r="H753" s="276" t="b">
        <v>1</v>
      </c>
      <c r="I753" s="276" t="b">
        <v>1</v>
      </c>
      <c r="J753" s="276" t="n">
        <v>0.5</v>
      </c>
      <c r="K753" s="276" t="n">
        <v>0.2206064987182617</v>
      </c>
      <c r="L753" s="276" t="n">
        <v>0.2206064987182617</v>
      </c>
      <c r="M753" s="276" t="inlineStr">
        <is>
          <t>SaaS; Databases; Windows</t>
        </is>
      </c>
      <c r="N753" s="276" t="inlineStr">
        <is>
          <t>https://attack.mitre.org/techniques/T1565/</t>
        </is>
      </c>
      <c r="O753" s="276" t="n"/>
      <c r="P753" s="277" t="n"/>
    </row>
    <row r="754">
      <c r="A754" s="275" t="inlineStr">
        <is>
          <t>Hacktivist</t>
        </is>
      </c>
      <c r="B754" s="276" t="inlineStr">
        <is>
          <t>Cyber-enabled theft or fraud</t>
        </is>
      </c>
      <c r="C754" s="276" t="inlineStr">
        <is>
          <t>Identity and credential compromise</t>
        </is>
      </c>
      <c r="D754" s="276" t="inlineStr">
        <is>
          <t>T1486</t>
        </is>
      </c>
      <c r="E754" s="276" t="inlineStr">
        <is>
          <t>Data Encrypted for Impact</t>
        </is>
      </c>
      <c r="F754" s="276" t="inlineStr">
        <is>
          <t>S5</t>
        </is>
      </c>
      <c r="G754" s="276" t="b">
        <v>0</v>
      </c>
      <c r="H754" s="276" t="b">
        <v>0</v>
      </c>
      <c r="I754" s="276" t="b">
        <v>0</v>
      </c>
      <c r="J754" s="276" t="n">
        <v>0.7</v>
      </c>
      <c r="K754" s="276" t="n">
        <v>0.16875</v>
      </c>
      <c r="L754" s="276" t="n">
        <v>0.16875</v>
      </c>
      <c r="M754" s="276" t="inlineStr">
        <is>
          <t>Windows; Linux; IaaS</t>
        </is>
      </c>
      <c r="N754" s="276" t="inlineStr">
        <is>
          <t>https://attack.mitre.org/techniques/T1486/</t>
        </is>
      </c>
      <c r="O754" s="276" t="n"/>
      <c r="P754" s="277" t="n"/>
    </row>
    <row r="755">
      <c r="A755" s="275" t="inlineStr">
        <is>
          <t>Hacktivist</t>
        </is>
      </c>
      <c r="B755" s="276" t="inlineStr">
        <is>
          <t>Cyber-enabled theft or fraud</t>
        </is>
      </c>
      <c r="C755" s="276" t="inlineStr">
        <is>
          <t>Identity and credential compromise</t>
        </is>
      </c>
      <c r="D755" s="276" t="inlineStr">
        <is>
          <t>T1490</t>
        </is>
      </c>
      <c r="E755" s="276" t="inlineStr">
        <is>
          <t>Inhibit System Recovery</t>
        </is>
      </c>
      <c r="F755" s="276" t="inlineStr">
        <is>
          <t>S5</t>
        </is>
      </c>
      <c r="G755" s="276" t="b">
        <v>0</v>
      </c>
      <c r="H755" s="276" t="b">
        <v>0</v>
      </c>
      <c r="I755" s="276" t="b">
        <v>0</v>
      </c>
      <c r="J755" s="276" t="n">
        <v>0.6</v>
      </c>
      <c r="K755" s="276" t="n">
        <v>0</v>
      </c>
      <c r="L755" s="276" t="n">
        <v>0</v>
      </c>
      <c r="M755" s="276" t="inlineStr">
        <is>
          <t>Windows; Linux; IaaS</t>
        </is>
      </c>
      <c r="N755" s="276" t="inlineStr">
        <is>
          <t>https://attack.mitre.org/techniques/T1490/</t>
        </is>
      </c>
      <c r="O755" s="276" t="n"/>
      <c r="P755" s="277" t="n"/>
    </row>
    <row r="756">
      <c r="A756" s="275" t="inlineStr">
        <is>
          <t>Hacktivist</t>
        </is>
      </c>
      <c r="B756" s="276" t="inlineStr">
        <is>
          <t>Cyber-enabled theft or fraud</t>
        </is>
      </c>
      <c r="C756" s="276" t="inlineStr">
        <is>
          <t>User endpoint and social engineering</t>
        </is>
      </c>
      <c r="D756" s="276" t="inlineStr">
        <is>
          <t>T1566</t>
        </is>
      </c>
      <c r="E756" s="276" t="inlineStr">
        <is>
          <t>Phishing</t>
        </is>
      </c>
      <c r="F756" s="276" t="inlineStr">
        <is>
          <t>S1</t>
        </is>
      </c>
      <c r="G756" s="276" t="b">
        <v>1</v>
      </c>
      <c r="H756" s="276" t="b">
        <v>1</v>
      </c>
      <c r="I756" s="276" t="b">
        <v>1</v>
      </c>
      <c r="J756" s="276" t="n">
        <v>1</v>
      </c>
      <c r="K756" s="276" t="n">
        <v>0.20625</v>
      </c>
      <c r="L756" s="276" t="n">
        <v>0.20625</v>
      </c>
      <c r="M756" s="276" t="inlineStr">
        <is>
          <t>Windows; SaaS; Office Suite</t>
        </is>
      </c>
      <c r="N756" s="276" t="inlineStr">
        <is>
          <t>https://attack.mitre.org/techniques/T1566/</t>
        </is>
      </c>
      <c r="O756" s="276" t="n"/>
      <c r="P756" s="277" t="n"/>
    </row>
    <row r="757">
      <c r="A757" s="275" t="inlineStr">
        <is>
          <t>Hacktivist</t>
        </is>
      </c>
      <c r="B757" s="276" t="inlineStr">
        <is>
          <t>Cyber-enabled theft or fraud</t>
        </is>
      </c>
      <c r="C757" s="276" t="inlineStr">
        <is>
          <t>User endpoint and social engineering</t>
        </is>
      </c>
      <c r="D757" s="276" t="inlineStr">
        <is>
          <t>T1203</t>
        </is>
      </c>
      <c r="E757" s="276" t="inlineStr">
        <is>
          <t>Exploitation for Client Execution</t>
        </is>
      </c>
      <c r="F757" s="276" t="inlineStr">
        <is>
          <t>S2</t>
        </is>
      </c>
      <c r="G757" s="276" t="b">
        <v>0</v>
      </c>
      <c r="H757" s="276" t="b">
        <v>1</v>
      </c>
      <c r="I757" s="276" t="b">
        <v>0</v>
      </c>
      <c r="J757" s="276" t="n">
        <v>0.8</v>
      </c>
      <c r="K757" s="276" t="n">
        <v>0.2404920959472656</v>
      </c>
      <c r="L757" s="276" t="n">
        <v>0.2404920959472656</v>
      </c>
      <c r="M757" s="276" t="inlineStr">
        <is>
          <t>Windows; macOS; Linux</t>
        </is>
      </c>
      <c r="N757" s="276" t="inlineStr">
        <is>
          <t>https://attack.mitre.org/techniques/T1203/</t>
        </is>
      </c>
      <c r="O757" s="276" t="n"/>
      <c r="P757" s="277" t="n"/>
    </row>
    <row r="758">
      <c r="A758" s="275" t="inlineStr">
        <is>
          <t>Hacktivist</t>
        </is>
      </c>
      <c r="B758" s="276" t="inlineStr">
        <is>
          <t>Cyber-enabled theft or fraud</t>
        </is>
      </c>
      <c r="C758" s="276" t="inlineStr">
        <is>
          <t>User endpoint and social engineering</t>
        </is>
      </c>
      <c r="D758" s="276" t="inlineStr">
        <is>
          <t>T1059</t>
        </is>
      </c>
      <c r="E758" s="276" t="inlineStr">
        <is>
          <t>Command and Scripting Interpreter</t>
        </is>
      </c>
      <c r="F758" s="276" t="inlineStr">
        <is>
          <t>S2</t>
        </is>
      </c>
      <c r="G758" s="276" t="b">
        <v>1</v>
      </c>
      <c r="H758" s="276" t="b">
        <v>1</v>
      </c>
      <c r="I758" s="276" t="b">
        <v>1</v>
      </c>
      <c r="J758" s="276" t="n">
        <v>0.9</v>
      </c>
      <c r="K758" s="276" t="n">
        <v>0.1875</v>
      </c>
      <c r="L758" s="276" t="n">
        <v>0.1875</v>
      </c>
      <c r="M758" s="276" t="inlineStr">
        <is>
          <t>Windows; macOS; Linux; IaaS</t>
        </is>
      </c>
      <c r="N758" s="276" t="inlineStr">
        <is>
          <t>https://attack.mitre.org/techniques/T1059/</t>
        </is>
      </c>
      <c r="O758" s="276" t="n"/>
      <c r="P758" s="277" t="n"/>
    </row>
    <row r="759">
      <c r="A759" s="275" t="inlineStr">
        <is>
          <t>Hacktivist</t>
        </is>
      </c>
      <c r="B759" s="276" t="inlineStr">
        <is>
          <t>Cyber-enabled theft or fraud</t>
        </is>
      </c>
      <c r="C759" s="276" t="inlineStr">
        <is>
          <t>User endpoint and social engineering</t>
        </is>
      </c>
      <c r="D759" s="276" t="inlineStr">
        <is>
          <t>T1486</t>
        </is>
      </c>
      <c r="E759" s="276" t="inlineStr">
        <is>
          <t>Data Encrypted for Impact</t>
        </is>
      </c>
      <c r="F759" s="276" t="inlineStr">
        <is>
          <t>S5</t>
        </is>
      </c>
      <c r="G759" s="276" t="b">
        <v>0</v>
      </c>
      <c r="H759" s="276" t="b">
        <v>0</v>
      </c>
      <c r="I759" s="276" t="b">
        <v>0</v>
      </c>
      <c r="J759" s="276" t="n">
        <v>0.8</v>
      </c>
      <c r="K759" s="276" t="n">
        <v>0.16875</v>
      </c>
      <c r="L759" s="276" t="n">
        <v>0.16875</v>
      </c>
      <c r="M759" s="276" t="inlineStr">
        <is>
          <t>Windows; Linux; IaaS</t>
        </is>
      </c>
      <c r="N759" s="276" t="inlineStr">
        <is>
          <t>https://attack.mitre.org/techniques/T1486/</t>
        </is>
      </c>
      <c r="O759" s="276" t="n"/>
      <c r="P759" s="277" t="n"/>
    </row>
    <row r="760">
      <c r="A760" s="275" t="inlineStr">
        <is>
          <t>Hacktivist</t>
        </is>
      </c>
      <c r="B760" s="276" t="inlineStr">
        <is>
          <t>Cyber-enabled theft or fraud</t>
        </is>
      </c>
      <c r="C760" s="276" t="inlineStr">
        <is>
          <t>User endpoint and social engineering</t>
        </is>
      </c>
      <c r="D760" s="276" t="inlineStr">
        <is>
          <t>T1490</t>
        </is>
      </c>
      <c r="E760" s="276" t="inlineStr">
        <is>
          <t>Inhibit System Recovery</t>
        </is>
      </c>
      <c r="F760" s="276" t="inlineStr">
        <is>
          <t>S5</t>
        </is>
      </c>
      <c r="G760" s="276" t="b">
        <v>0</v>
      </c>
      <c r="H760" s="276" t="b">
        <v>0</v>
      </c>
      <c r="I760" s="276" t="b">
        <v>0</v>
      </c>
      <c r="J760" s="276" t="n">
        <v>0.7</v>
      </c>
      <c r="K760" s="276" t="n">
        <v>0</v>
      </c>
      <c r="L760" s="276" t="n">
        <v>0</v>
      </c>
      <c r="M760" s="276" t="inlineStr">
        <is>
          <t>Windows; Linux; IaaS</t>
        </is>
      </c>
      <c r="N760" s="276" t="inlineStr">
        <is>
          <t>https://attack.mitre.org/techniques/T1490/</t>
        </is>
      </c>
      <c r="O760" s="276" t="n"/>
      <c r="P760" s="277" t="n"/>
    </row>
    <row r="761">
      <c r="A761" s="275" t="inlineStr">
        <is>
          <t>Hacktivist</t>
        </is>
      </c>
      <c r="B761" s="276" t="inlineStr">
        <is>
          <t>Cyber-enabled theft or fraud</t>
        </is>
      </c>
      <c r="C761" s="276" t="inlineStr">
        <is>
          <t>User endpoint and social engineering</t>
        </is>
      </c>
      <c r="D761" s="276" t="inlineStr">
        <is>
          <t>T1567</t>
        </is>
      </c>
      <c r="E761" s="276" t="inlineStr">
        <is>
          <t>Exfiltration Over Web Service</t>
        </is>
      </c>
      <c r="F761" s="276" t="inlineStr">
        <is>
          <t>S5</t>
        </is>
      </c>
      <c r="G761" s="276" t="b">
        <v>1</v>
      </c>
      <c r="H761" s="276" t="b">
        <v>0</v>
      </c>
      <c r="I761" s="276" t="b">
        <v>0</v>
      </c>
      <c r="J761" s="276" t="n">
        <v>0.7</v>
      </c>
      <c r="K761" s="276" t="n">
        <v>0.20625</v>
      </c>
      <c r="L761" s="276" t="n">
        <v>0.20625</v>
      </c>
      <c r="M761" s="276" t="inlineStr">
        <is>
          <t>SaaS; Office Suite</t>
        </is>
      </c>
      <c r="N761" s="276" t="inlineStr">
        <is>
          <t>https://attack.mitre.org/techniques/T1567/</t>
        </is>
      </c>
      <c r="O761" s="276" t="n"/>
      <c r="P761" s="277" t="n"/>
    </row>
    <row r="762">
      <c r="A762" s="275" t="inlineStr">
        <is>
          <t>Hacktivist</t>
        </is>
      </c>
      <c r="B762" s="276" t="inlineStr">
        <is>
          <t>Cyber-enabled theft or fraud</t>
        </is>
      </c>
      <c r="C762" s="276" t="inlineStr">
        <is>
          <t>User endpoint and social engineering</t>
        </is>
      </c>
      <c r="D762" s="276" t="inlineStr">
        <is>
          <t>T1657</t>
        </is>
      </c>
      <c r="E762" s="276" t="inlineStr">
        <is>
          <t>Financial Theft</t>
        </is>
      </c>
      <c r="F762" s="276" t="inlineStr">
        <is>
          <t>S5</t>
        </is>
      </c>
      <c r="G762" s="276" t="b">
        <v>0</v>
      </c>
      <c r="H762" s="276" t="b">
        <v>1</v>
      </c>
      <c r="I762" s="276" t="b">
        <v>0</v>
      </c>
      <c r="J762" s="276" t="n">
        <v>0.5</v>
      </c>
      <c r="K762" s="276" t="n">
        <v>0.275654296875</v>
      </c>
      <c r="L762" s="276" t="n">
        <v>0.275654296875</v>
      </c>
      <c r="M762" s="276" t="inlineStr">
        <is>
          <t>SaaS; Office Suite; Identity Provider</t>
        </is>
      </c>
      <c r="N762" s="276" t="inlineStr">
        <is>
          <t>https://attack.mitre.org/techniques/T1657/</t>
        </is>
      </c>
      <c r="O762" s="276" t="n"/>
      <c r="P762" s="277" t="n"/>
    </row>
    <row r="763">
      <c r="A763" s="275" t="inlineStr">
        <is>
          <t>Hacktivist</t>
        </is>
      </c>
      <c r="B763" s="276" t="inlineStr">
        <is>
          <t>Cyber-enabled theft or fraud</t>
        </is>
      </c>
      <c r="C763" s="276" t="inlineStr">
        <is>
          <t>User endpoint and social engineering</t>
        </is>
      </c>
      <c r="D763" s="276" t="inlineStr">
        <is>
          <t>T1565</t>
        </is>
      </c>
      <c r="E763" s="276" t="inlineStr">
        <is>
          <t>Data Manipulation</t>
        </is>
      </c>
      <c r="F763" s="276" t="inlineStr">
        <is>
          <t>S5</t>
        </is>
      </c>
      <c r="G763" s="276" t="b">
        <v>1</v>
      </c>
      <c r="H763" s="276" t="b">
        <v>1</v>
      </c>
      <c r="I763" s="276" t="b">
        <v>1</v>
      </c>
      <c r="J763" s="276" t="n">
        <v>0.5</v>
      </c>
      <c r="K763" s="276" t="n">
        <v>0.2206064987182617</v>
      </c>
      <c r="L763" s="276" t="n">
        <v>0.2206064987182617</v>
      </c>
      <c r="M763" s="276" t="inlineStr">
        <is>
          <t>SaaS; Databases; Windows</t>
        </is>
      </c>
      <c r="N763" s="276" t="inlineStr">
        <is>
          <t>https://attack.mitre.org/techniques/T1565/</t>
        </is>
      </c>
      <c r="O763" s="276" t="n"/>
      <c r="P763" s="277" t="n"/>
    </row>
    <row r="764">
      <c r="A764" s="275" t="inlineStr">
        <is>
          <t>Hacktivist</t>
        </is>
      </c>
      <c r="B764" s="276" t="inlineStr">
        <is>
          <t>Cyber-enabled theft or fraud</t>
        </is>
      </c>
      <c r="C764" s="276" t="inlineStr">
        <is>
          <t>Public-facing application exploitation</t>
        </is>
      </c>
      <c r="D764" s="276" t="inlineStr">
        <is>
          <t>T1190</t>
        </is>
      </c>
      <c r="E764" s="276" t="inlineStr">
        <is>
          <t>Exploit Public-Facing Application</t>
        </is>
      </c>
      <c r="F764" s="276" t="inlineStr">
        <is>
          <t>S1</t>
        </is>
      </c>
      <c r="G764" s="276" t="b">
        <v>1</v>
      </c>
      <c r="H764" s="276" t="b">
        <v>1</v>
      </c>
      <c r="I764" s="276" t="b">
        <v>1</v>
      </c>
      <c r="J764" s="276" t="n">
        <v>1</v>
      </c>
      <c r="K764" s="276" t="n">
        <v>0.2496630477905274</v>
      </c>
      <c r="L764" s="276" t="n">
        <v>0.2496630477905274</v>
      </c>
      <c r="M764" s="276" t="inlineStr">
        <is>
          <t>Network Devices; SaaS; IaaS</t>
        </is>
      </c>
      <c r="N764" s="276" t="inlineStr">
        <is>
          <t>https://attack.mitre.org/techniques/T1190/</t>
        </is>
      </c>
      <c r="O764" s="276" t="n"/>
      <c r="P764" s="277" t="n"/>
    </row>
    <row r="765">
      <c r="A765" s="275" t="inlineStr">
        <is>
          <t>Hacktivist</t>
        </is>
      </c>
      <c r="B765" s="276" t="inlineStr">
        <is>
          <t>Cyber-enabled theft or fraud</t>
        </is>
      </c>
      <c r="C765" s="276" t="inlineStr">
        <is>
          <t>Public-facing application exploitation</t>
        </is>
      </c>
      <c r="D765" s="276" t="inlineStr">
        <is>
          <t>T1059</t>
        </is>
      </c>
      <c r="E765" s="276" t="inlineStr">
        <is>
          <t>Command and Scripting Interpreter</t>
        </is>
      </c>
      <c r="F765" s="276" t="inlineStr">
        <is>
          <t>S2</t>
        </is>
      </c>
      <c r="G765" s="276" t="b">
        <v>1</v>
      </c>
      <c r="H765" s="276" t="b">
        <v>1</v>
      </c>
      <c r="I765" s="276" t="b">
        <v>1</v>
      </c>
      <c r="J765" s="276" t="n">
        <v>0.8</v>
      </c>
      <c r="K765" s="276" t="n">
        <v>0.1875</v>
      </c>
      <c r="L765" s="276" t="n">
        <v>0.1875</v>
      </c>
      <c r="M765" s="276" t="inlineStr">
        <is>
          <t>Windows; macOS; Linux; IaaS</t>
        </is>
      </c>
      <c r="N765" s="276" t="inlineStr">
        <is>
          <t>https://attack.mitre.org/techniques/T1059/</t>
        </is>
      </c>
      <c r="O765" s="276" t="n"/>
      <c r="P765" s="277" t="n"/>
    </row>
    <row r="766">
      <c r="A766" s="275" t="inlineStr">
        <is>
          <t>Hacktivist</t>
        </is>
      </c>
      <c r="B766" s="276" t="inlineStr">
        <is>
          <t>Cyber-enabled theft or fraud</t>
        </is>
      </c>
      <c r="C766" s="276" t="inlineStr">
        <is>
          <t>Public-facing application exploitation</t>
        </is>
      </c>
      <c r="D766" s="276" t="inlineStr">
        <is>
          <t>T1068</t>
        </is>
      </c>
      <c r="E766" s="276" t="inlineStr">
        <is>
          <t>Exploitation for Privilege Escalation</t>
        </is>
      </c>
      <c r="F766" s="276" t="inlineStr">
        <is>
          <t>S3</t>
        </is>
      </c>
      <c r="G766" s="276" t="b">
        <v>1</v>
      </c>
      <c r="H766" s="276" t="b">
        <v>1</v>
      </c>
      <c r="I766" s="276" t="b">
        <v>1</v>
      </c>
      <c r="J766" s="276" t="n">
        <v>0.7</v>
      </c>
      <c r="K766" s="276" t="n">
        <v>0.2094165115356445</v>
      </c>
      <c r="L766" s="276" t="n">
        <v>0.2094165115356445</v>
      </c>
      <c r="M766" s="276" t="inlineStr">
        <is>
          <t>Windows; macOS; Linux</t>
        </is>
      </c>
      <c r="N766" s="276" t="inlineStr">
        <is>
          <t>https://attack.mitre.org/techniques/T1068/</t>
        </is>
      </c>
      <c r="O766" s="276" t="n"/>
      <c r="P766" s="277" t="n"/>
    </row>
    <row r="767">
      <c r="A767" s="275" t="inlineStr">
        <is>
          <t>Hacktivist</t>
        </is>
      </c>
      <c r="B767" s="276" t="inlineStr">
        <is>
          <t>Cyber-enabled theft or fraud</t>
        </is>
      </c>
      <c r="C767" s="276" t="inlineStr">
        <is>
          <t>Public-facing application exploitation</t>
        </is>
      </c>
      <c r="D767" s="276" t="inlineStr">
        <is>
          <t>T1003</t>
        </is>
      </c>
      <c r="E767" s="276" t="inlineStr">
        <is>
          <t>OS Credential Dumping</t>
        </is>
      </c>
      <c r="F767" s="276" t="inlineStr">
        <is>
          <t>S3</t>
        </is>
      </c>
      <c r="G767" s="276" t="b">
        <v>1</v>
      </c>
      <c r="H767" s="276" t="b">
        <v>1</v>
      </c>
      <c r="I767" s="276" t="b">
        <v>1</v>
      </c>
      <c r="J767" s="276" t="n">
        <v>0.6</v>
      </c>
      <c r="K767" s="276" t="n">
        <v>0.232294921875</v>
      </c>
      <c r="L767" s="276" t="n">
        <v>0.232294921875</v>
      </c>
      <c r="M767" s="276" t="inlineStr">
        <is>
          <t>Windows; Linux; macOS</t>
        </is>
      </c>
      <c r="N767" s="276" t="inlineStr">
        <is>
          <t>https://attack.mitre.org/techniques/T1003/</t>
        </is>
      </c>
      <c r="O767" s="276" t="n"/>
      <c r="P767" s="277" t="n"/>
    </row>
    <row r="768">
      <c r="A768" s="275" t="inlineStr">
        <is>
          <t>Hacktivist</t>
        </is>
      </c>
      <c r="B768" s="276" t="inlineStr">
        <is>
          <t>Cyber-enabled theft or fraud</t>
        </is>
      </c>
      <c r="C768" s="276" t="inlineStr">
        <is>
          <t>Public-facing application exploitation</t>
        </is>
      </c>
      <c r="D768" s="276" t="inlineStr">
        <is>
          <t>T1046</t>
        </is>
      </c>
      <c r="E768" s="276" t="inlineStr">
        <is>
          <t>Network Service Discovery</t>
        </is>
      </c>
      <c r="F768" s="276" t="inlineStr">
        <is>
          <t>S4</t>
        </is>
      </c>
      <c r="G768" s="276" t="b">
        <v>1</v>
      </c>
      <c r="H768" s="276" t="b">
        <v>1</v>
      </c>
      <c r="I768" s="276" t="b">
        <v>1</v>
      </c>
      <c r="J768" s="276" t="n">
        <v>0.7</v>
      </c>
      <c r="K768" s="276" t="n">
        <v>0.16875</v>
      </c>
      <c r="L768" s="276" t="n">
        <v>0.16875</v>
      </c>
      <c r="M768" s="276" t="inlineStr">
        <is>
          <t>Network Devices; Windows; Linux</t>
        </is>
      </c>
      <c r="N768" s="276" t="inlineStr">
        <is>
          <t>https://attack.mitre.org/techniques/T1046/</t>
        </is>
      </c>
      <c r="O768" s="276" t="n"/>
      <c r="P768" s="277" t="n"/>
    </row>
    <row r="769">
      <c r="A769" s="275" t="inlineStr">
        <is>
          <t>Hacktivist</t>
        </is>
      </c>
      <c r="B769" s="276" t="inlineStr">
        <is>
          <t>Cyber-enabled theft or fraud</t>
        </is>
      </c>
      <c r="C769" s="276" t="inlineStr">
        <is>
          <t>Public-facing application exploitation</t>
        </is>
      </c>
      <c r="D769" s="276" t="inlineStr">
        <is>
          <t>T1210</t>
        </is>
      </c>
      <c r="E769" s="276" t="inlineStr">
        <is>
          <t>Exploitation of Remote Services</t>
        </is>
      </c>
      <c r="F769" s="276" t="inlineStr">
        <is>
          <t>S4</t>
        </is>
      </c>
      <c r="G769" s="276" t="b">
        <v>1</v>
      </c>
      <c r="H769" s="276" t="b">
        <v>1</v>
      </c>
      <c r="I769" s="276" t="b">
        <v>1</v>
      </c>
      <c r="J769" s="276" t="n">
        <v>0.9</v>
      </c>
      <c r="K769" s="276" t="n">
        <v>0.2103495368957519</v>
      </c>
      <c r="L769" s="276" t="n">
        <v>0.2103495368957519</v>
      </c>
      <c r="M769" s="276" t="inlineStr">
        <is>
          <t>Windows; Linux; Network Devices</t>
        </is>
      </c>
      <c r="N769" s="276" t="inlineStr">
        <is>
          <t>https://attack.mitre.org/techniques/T1210/</t>
        </is>
      </c>
      <c r="O769" s="276" t="n"/>
      <c r="P769" s="277" t="n"/>
    </row>
    <row r="770">
      <c r="A770" s="275" t="inlineStr">
        <is>
          <t>Hacktivist</t>
        </is>
      </c>
      <c r="B770" s="276" t="inlineStr">
        <is>
          <t>Cyber-enabled theft or fraud</t>
        </is>
      </c>
      <c r="C770" s="276" t="inlineStr">
        <is>
          <t>Public-facing application exploitation</t>
        </is>
      </c>
      <c r="D770" s="276" t="inlineStr">
        <is>
          <t>T1021</t>
        </is>
      </c>
      <c r="E770" s="276" t="inlineStr">
        <is>
          <t>Remote Services</t>
        </is>
      </c>
      <c r="F770" s="276" t="inlineStr">
        <is>
          <t>S4</t>
        </is>
      </c>
      <c r="G770" s="276" t="b">
        <v>1</v>
      </c>
      <c r="H770" s="276" t="b">
        <v>1</v>
      </c>
      <c r="I770" s="276" t="b">
        <v>1</v>
      </c>
      <c r="J770" s="276" t="n">
        <v>0.7</v>
      </c>
      <c r="K770" s="276" t="n">
        <v>0.1875</v>
      </c>
      <c r="L770" s="276" t="n">
        <v>0.1875</v>
      </c>
      <c r="M770" s="276" t="inlineStr">
        <is>
          <t>Windows; Linux; Network Devices</t>
        </is>
      </c>
      <c r="N770" s="276" t="inlineStr">
        <is>
          <t>https://attack.mitre.org/techniques/T1021/</t>
        </is>
      </c>
      <c r="O770" s="276" t="n"/>
      <c r="P770" s="277" t="n"/>
    </row>
    <row r="771">
      <c r="A771" s="275" t="inlineStr">
        <is>
          <t>Hacktivist</t>
        </is>
      </c>
      <c r="B771" s="276" t="inlineStr">
        <is>
          <t>Cyber-enabled theft or fraud</t>
        </is>
      </c>
      <c r="C771" s="276" t="inlineStr">
        <is>
          <t>Public-facing application exploitation</t>
        </is>
      </c>
      <c r="D771" s="276" t="inlineStr">
        <is>
          <t>T1486</t>
        </is>
      </c>
      <c r="E771" s="276" t="inlineStr">
        <is>
          <t>Data Encrypted for Impact</t>
        </is>
      </c>
      <c r="F771" s="276" t="inlineStr">
        <is>
          <t>S5</t>
        </is>
      </c>
      <c r="G771" s="276" t="b">
        <v>0</v>
      </c>
      <c r="H771" s="276" t="b">
        <v>0</v>
      </c>
      <c r="I771" s="276" t="b">
        <v>0</v>
      </c>
      <c r="J771" s="276" t="n">
        <v>0.6</v>
      </c>
      <c r="K771" s="276" t="n">
        <v>0.16875</v>
      </c>
      <c r="L771" s="276" t="n">
        <v>0.16875</v>
      </c>
      <c r="M771" s="276" t="inlineStr">
        <is>
          <t>Windows; Linux; IaaS</t>
        </is>
      </c>
      <c r="N771" s="276" t="inlineStr">
        <is>
          <t>https://attack.mitre.org/techniques/T1486/</t>
        </is>
      </c>
      <c r="O771" s="276" t="n"/>
      <c r="P771" s="277" t="n"/>
    </row>
    <row r="772">
      <c r="A772" s="275" t="inlineStr">
        <is>
          <t>Hacktivist</t>
        </is>
      </c>
      <c r="B772" s="276" t="inlineStr">
        <is>
          <t>Cyber-enabled theft or fraud</t>
        </is>
      </c>
      <c r="C772" s="276" t="inlineStr">
        <is>
          <t>Public-facing application exploitation</t>
        </is>
      </c>
      <c r="D772" s="276" t="inlineStr">
        <is>
          <t>T1490</t>
        </is>
      </c>
      <c r="E772" s="276" t="inlineStr">
        <is>
          <t>Inhibit System Recovery</t>
        </is>
      </c>
      <c r="F772" s="276" t="inlineStr">
        <is>
          <t>S5</t>
        </is>
      </c>
      <c r="G772" s="276" t="b">
        <v>0</v>
      </c>
      <c r="H772" s="276" t="b">
        <v>0</v>
      </c>
      <c r="I772" s="276" t="b">
        <v>0</v>
      </c>
      <c r="J772" s="276" t="n">
        <v>0.5</v>
      </c>
      <c r="K772" s="276" t="n">
        <v>0</v>
      </c>
      <c r="L772" s="276" t="n">
        <v>0</v>
      </c>
      <c r="M772" s="276" t="inlineStr">
        <is>
          <t>Windows; Linux; IaaS</t>
        </is>
      </c>
      <c r="N772" s="276" t="inlineStr">
        <is>
          <t>https://attack.mitre.org/techniques/T1490/</t>
        </is>
      </c>
      <c r="O772" s="276" t="n"/>
      <c r="P772" s="277" t="n"/>
    </row>
    <row r="773">
      <c r="A773" s="275" t="inlineStr">
        <is>
          <t>Hacktivist</t>
        </is>
      </c>
      <c r="B773" s="276" t="inlineStr">
        <is>
          <t>Cyber-enabled theft or fraud</t>
        </is>
      </c>
      <c r="C773" s="276" t="inlineStr">
        <is>
          <t>Public-facing application exploitation</t>
        </is>
      </c>
      <c r="D773" s="276" t="inlineStr">
        <is>
          <t>T1567</t>
        </is>
      </c>
      <c r="E773" s="276" t="inlineStr">
        <is>
          <t>Exfiltration Over Web Service</t>
        </is>
      </c>
      <c r="F773" s="276" t="inlineStr">
        <is>
          <t>S5</t>
        </is>
      </c>
      <c r="G773" s="276" t="b">
        <v>1</v>
      </c>
      <c r="H773" s="276" t="b">
        <v>0</v>
      </c>
      <c r="I773" s="276" t="b">
        <v>0</v>
      </c>
      <c r="J773" s="276" t="n">
        <v>0.6</v>
      </c>
      <c r="K773" s="276" t="n">
        <v>0.20625</v>
      </c>
      <c r="L773" s="276" t="n">
        <v>0.20625</v>
      </c>
      <c r="M773" s="276" t="inlineStr">
        <is>
          <t>SaaS; Office Suite</t>
        </is>
      </c>
      <c r="N773" s="276" t="inlineStr">
        <is>
          <t>https://attack.mitre.org/techniques/T1567/</t>
        </is>
      </c>
      <c r="O773" s="276" t="n"/>
      <c r="P773" s="277" t="n"/>
    </row>
    <row r="774">
      <c r="A774" s="275" t="inlineStr">
        <is>
          <t>Hacktivist</t>
        </is>
      </c>
      <c r="B774" s="276" t="inlineStr">
        <is>
          <t>Cyber-enabled theft or fraud</t>
        </is>
      </c>
      <c r="C774" s="276" t="inlineStr">
        <is>
          <t>Public-facing application exploitation</t>
        </is>
      </c>
      <c r="D774" s="276" t="inlineStr">
        <is>
          <t>T1565</t>
        </is>
      </c>
      <c r="E774" s="276" t="inlineStr">
        <is>
          <t>Data Manipulation</t>
        </is>
      </c>
      <c r="F774" s="276" t="inlineStr">
        <is>
          <t>S5</t>
        </is>
      </c>
      <c r="G774" s="276" t="b">
        <v>1</v>
      </c>
      <c r="H774" s="276" t="b">
        <v>1</v>
      </c>
      <c r="I774" s="276" t="b">
        <v>1</v>
      </c>
      <c r="J774" s="276" t="n">
        <v>0.6</v>
      </c>
      <c r="K774" s="276" t="n">
        <v>0.2206064987182617</v>
      </c>
      <c r="L774" s="276" t="n">
        <v>0.2206064987182617</v>
      </c>
      <c r="M774" s="276" t="inlineStr">
        <is>
          <t>SaaS; Databases; Windows</t>
        </is>
      </c>
      <c r="N774" s="276" t="inlineStr">
        <is>
          <t>https://attack.mitre.org/techniques/T1565/</t>
        </is>
      </c>
      <c r="O774" s="276" t="n"/>
      <c r="P774" s="277" t="n"/>
    </row>
    <row r="775">
      <c r="A775" s="275" t="inlineStr">
        <is>
          <t>Hacktivist</t>
        </is>
      </c>
      <c r="B775" s="276" t="inlineStr">
        <is>
          <t>Cyber-enabled theft or fraud</t>
        </is>
      </c>
      <c r="C775" s="276" t="inlineStr">
        <is>
          <t>Public-facing application exploitation</t>
        </is>
      </c>
      <c r="D775" s="276" t="inlineStr">
        <is>
          <t>T1657</t>
        </is>
      </c>
      <c r="E775" s="276" t="inlineStr">
        <is>
          <t>Financial Theft</t>
        </is>
      </c>
      <c r="F775" s="276" t="inlineStr">
        <is>
          <t>S5</t>
        </is>
      </c>
      <c r="G775" s="276" t="b">
        <v>0</v>
      </c>
      <c r="H775" s="276" t="b">
        <v>1</v>
      </c>
      <c r="I775" s="276" t="b">
        <v>0</v>
      </c>
      <c r="J775" s="276" t="n">
        <v>0.4</v>
      </c>
      <c r="K775" s="276" t="n">
        <v>0.275654296875</v>
      </c>
      <c r="L775" s="276" t="n">
        <v>0.275654296875</v>
      </c>
      <c r="M775" s="276" t="inlineStr">
        <is>
          <t>SaaS; Office Suite; Identity Provider</t>
        </is>
      </c>
      <c r="N775" s="276" t="inlineStr">
        <is>
          <t>https://attack.mitre.org/techniques/T1657/</t>
        </is>
      </c>
      <c r="O775" s="276" t="n"/>
      <c r="P775" s="277" t="n"/>
    </row>
    <row r="776">
      <c r="A776" s="275" t="inlineStr">
        <is>
          <t>Hacktivist</t>
        </is>
      </c>
      <c r="B776" s="276" t="inlineStr">
        <is>
          <t>Cyber-enabled theft or fraud</t>
        </is>
      </c>
      <c r="C776" s="276" t="inlineStr">
        <is>
          <t>Third-party or software supply chain</t>
        </is>
      </c>
      <c r="D776" s="276" t="inlineStr">
        <is>
          <t>T1199</t>
        </is>
      </c>
      <c r="E776" s="276" t="inlineStr">
        <is>
          <t>Trusted Relationship</t>
        </is>
      </c>
      <c r="F776" s="276" t="inlineStr">
        <is>
          <t>S3</t>
        </is>
      </c>
      <c r="G776" s="276" t="b">
        <v>1</v>
      </c>
      <c r="H776" s="276" t="b">
        <v>1</v>
      </c>
      <c r="I776" s="276" t="b">
        <v>1</v>
      </c>
      <c r="J776" s="276" t="n">
        <v>1</v>
      </c>
      <c r="K776" s="276" t="n">
        <v>0.20625</v>
      </c>
      <c r="L776" s="276" t="n">
        <v>0.20625</v>
      </c>
      <c r="M776" s="276" t="inlineStr">
        <is>
          <t>SaaS; IaaS; Network Devices</t>
        </is>
      </c>
      <c r="N776" s="276" t="inlineStr">
        <is>
          <t>https://attack.mitre.org/techniques/T1199/</t>
        </is>
      </c>
      <c r="O776" s="276" t="n"/>
      <c r="P776" s="277" t="n"/>
    </row>
    <row r="777">
      <c r="A777" s="275" t="inlineStr">
        <is>
          <t>Hacktivist</t>
        </is>
      </c>
      <c r="B777" s="276" t="inlineStr">
        <is>
          <t>Cyber-enabled theft or fraud</t>
        </is>
      </c>
      <c r="C777" s="276" t="inlineStr">
        <is>
          <t>Third-party or software supply chain</t>
        </is>
      </c>
      <c r="D777" s="276" t="inlineStr">
        <is>
          <t>T1098</t>
        </is>
      </c>
      <c r="E777" s="276" t="inlineStr">
        <is>
          <t>Account Manipulation</t>
        </is>
      </c>
      <c r="F777" s="276" t="inlineStr">
        <is>
          <t>S3</t>
        </is>
      </c>
      <c r="G777" s="276" t="b">
        <v>1</v>
      </c>
      <c r="H777" s="276" t="b">
        <v>1</v>
      </c>
      <c r="I777" s="276" t="b">
        <v>1</v>
      </c>
      <c r="J777" s="276" t="n">
        <v>0.6</v>
      </c>
      <c r="K777" s="276" t="n">
        <v>0.2477547340393066</v>
      </c>
      <c r="L777" s="276" t="n">
        <v>0.2477547340393066</v>
      </c>
      <c r="M777" s="276" t="inlineStr">
        <is>
          <t>Identity Provider; SaaS; Windows</t>
        </is>
      </c>
      <c r="N777" s="276" t="inlineStr">
        <is>
          <t>https://attack.mitre.org/techniques/T1098/</t>
        </is>
      </c>
      <c r="O777" s="276" t="n"/>
      <c r="P777" s="277" t="n"/>
    </row>
    <row r="778">
      <c r="A778" s="275" t="inlineStr">
        <is>
          <t>Hacktivist</t>
        </is>
      </c>
      <c r="B778" s="276" t="inlineStr">
        <is>
          <t>Cyber-enabled theft or fraud</t>
        </is>
      </c>
      <c r="C778" s="276" t="inlineStr">
        <is>
          <t>Third-party or software supply chain</t>
        </is>
      </c>
      <c r="D778" s="276" t="inlineStr">
        <is>
          <t>T1087</t>
        </is>
      </c>
      <c r="E778" s="276" t="inlineStr">
        <is>
          <t>Account Discovery</t>
        </is>
      </c>
      <c r="F778" s="276" t="inlineStr">
        <is>
          <t>S4</t>
        </is>
      </c>
      <c r="G778" s="276" t="b">
        <v>1</v>
      </c>
      <c r="H778" s="276" t="b">
        <v>1</v>
      </c>
      <c r="I778" s="276" t="b">
        <v>1</v>
      </c>
      <c r="J778" s="276" t="n">
        <v>0.5</v>
      </c>
      <c r="K778" s="276" t="n">
        <v>0</v>
      </c>
      <c r="L778" s="276" t="n">
        <v>0</v>
      </c>
      <c r="M778" s="276" t="inlineStr">
        <is>
          <t>Identity Provider; SaaS; Windows</t>
        </is>
      </c>
      <c r="N778" s="276" t="inlineStr">
        <is>
          <t>https://attack.mitre.org/techniques/T1087/</t>
        </is>
      </c>
      <c r="O778" s="276" t="n"/>
      <c r="P778" s="277" t="n"/>
    </row>
    <row r="779">
      <c r="A779" s="275" t="inlineStr">
        <is>
          <t>Hacktivist</t>
        </is>
      </c>
      <c r="B779" s="276" t="inlineStr">
        <is>
          <t>Cyber-enabled theft or fraud</t>
        </is>
      </c>
      <c r="C779" s="276" t="inlineStr">
        <is>
          <t>Third-party or software supply chain</t>
        </is>
      </c>
      <c r="D779" s="276" t="inlineStr">
        <is>
          <t>T1213</t>
        </is>
      </c>
      <c r="E779" s="276" t="inlineStr">
        <is>
          <t>Data from Information Repositories</t>
        </is>
      </c>
      <c r="F779" s="276" t="inlineStr">
        <is>
          <t>S4</t>
        </is>
      </c>
      <c r="G779" s="276" t="b">
        <v>0</v>
      </c>
      <c r="H779" s="276" t="b">
        <v>1</v>
      </c>
      <c r="I779" s="276" t="b">
        <v>0</v>
      </c>
      <c r="J779" s="276" t="n">
        <v>0.7</v>
      </c>
      <c r="K779" s="276" t="n">
        <v>0.177890625</v>
      </c>
      <c r="L779" s="276" t="n">
        <v>0.177890625</v>
      </c>
      <c r="M779" s="276" t="inlineStr">
        <is>
          <t>SaaS; Office Suite; Windows</t>
        </is>
      </c>
      <c r="N779" s="276" t="inlineStr">
        <is>
          <t>https://attack.mitre.org/techniques/T1213/</t>
        </is>
      </c>
      <c r="O779" s="276" t="n"/>
      <c r="P779" s="277" t="n"/>
    </row>
    <row r="780">
      <c r="A780" s="275" t="inlineStr">
        <is>
          <t>Hacktivist</t>
        </is>
      </c>
      <c r="B780" s="276" t="inlineStr">
        <is>
          <t>Cyber-enabled theft or fraud</t>
        </is>
      </c>
      <c r="C780" s="276" t="inlineStr">
        <is>
          <t>Third-party or software supply chain</t>
        </is>
      </c>
      <c r="D780" s="276" t="inlineStr">
        <is>
          <t>T1567</t>
        </is>
      </c>
      <c r="E780" s="276" t="inlineStr">
        <is>
          <t>Exfiltration Over Web Service</t>
        </is>
      </c>
      <c r="F780" s="276" t="inlineStr">
        <is>
          <t>S5</t>
        </is>
      </c>
      <c r="G780" s="276" t="b">
        <v>1</v>
      </c>
      <c r="H780" s="276" t="b">
        <v>0</v>
      </c>
      <c r="I780" s="276" t="b">
        <v>0</v>
      </c>
      <c r="J780" s="276" t="n">
        <v>0.6</v>
      </c>
      <c r="K780" s="276" t="n">
        <v>0.20625</v>
      </c>
      <c r="L780" s="276" t="n">
        <v>0.20625</v>
      </c>
      <c r="M780" s="276" t="inlineStr">
        <is>
          <t>SaaS; Office Suite</t>
        </is>
      </c>
      <c r="N780" s="276" t="inlineStr">
        <is>
          <t>https://attack.mitre.org/techniques/T1567/</t>
        </is>
      </c>
      <c r="O780" s="276" t="n"/>
      <c r="P780" s="277" t="n"/>
    </row>
    <row r="781">
      <c r="A781" s="275" t="inlineStr">
        <is>
          <t>Hacktivist</t>
        </is>
      </c>
      <c r="B781" s="276" t="inlineStr">
        <is>
          <t>Cyber-enabled theft or fraud</t>
        </is>
      </c>
      <c r="C781" s="276" t="inlineStr">
        <is>
          <t>Third-party or software supply chain</t>
        </is>
      </c>
      <c r="D781" s="276" t="inlineStr">
        <is>
          <t>T1486</t>
        </is>
      </c>
      <c r="E781" s="276" t="inlineStr">
        <is>
          <t>Data Encrypted for Impact</t>
        </is>
      </c>
      <c r="F781" s="276" t="inlineStr">
        <is>
          <t>S5</t>
        </is>
      </c>
      <c r="G781" s="276" t="b">
        <v>0</v>
      </c>
      <c r="H781" s="276" t="b">
        <v>0</v>
      </c>
      <c r="I781" s="276" t="b">
        <v>0</v>
      </c>
      <c r="J781" s="276" t="n">
        <v>0.5</v>
      </c>
      <c r="K781" s="276" t="n">
        <v>0.16875</v>
      </c>
      <c r="L781" s="276" t="n">
        <v>0.16875</v>
      </c>
      <c r="M781" s="276" t="inlineStr">
        <is>
          <t>Windows; Linux; IaaS</t>
        </is>
      </c>
      <c r="N781" s="276" t="inlineStr">
        <is>
          <t>https://attack.mitre.org/techniques/T1486/</t>
        </is>
      </c>
      <c r="O781" s="276" t="n"/>
      <c r="P781" s="277" t="n"/>
    </row>
    <row r="782">
      <c r="A782" s="275" t="inlineStr">
        <is>
          <t>Hacktivist</t>
        </is>
      </c>
      <c r="B782" s="276" t="inlineStr">
        <is>
          <t>Cyber-enabled theft or fraud</t>
        </is>
      </c>
      <c r="C782" s="276" t="inlineStr">
        <is>
          <t>Third-party or software supply chain</t>
        </is>
      </c>
      <c r="D782" s="276" t="inlineStr">
        <is>
          <t>T1565</t>
        </is>
      </c>
      <c r="E782" s="276" t="inlineStr">
        <is>
          <t>Data Manipulation</t>
        </is>
      </c>
      <c r="F782" s="276" t="inlineStr">
        <is>
          <t>S5</t>
        </is>
      </c>
      <c r="G782" s="276" t="b">
        <v>1</v>
      </c>
      <c r="H782" s="276" t="b">
        <v>1</v>
      </c>
      <c r="I782" s="276" t="b">
        <v>1</v>
      </c>
      <c r="J782" s="276" t="n">
        <v>0.6</v>
      </c>
      <c r="K782" s="276" t="n">
        <v>0.2206064987182617</v>
      </c>
      <c r="L782" s="276" t="n">
        <v>0.2206064987182617</v>
      </c>
      <c r="M782" s="276" t="inlineStr">
        <is>
          <t>SaaS; Databases; Windows</t>
        </is>
      </c>
      <c r="N782" s="276" t="inlineStr">
        <is>
          <t>https://attack.mitre.org/techniques/T1565/</t>
        </is>
      </c>
      <c r="O782" s="276" t="n"/>
      <c r="P782" s="277" t="n"/>
    </row>
    <row r="783">
      <c r="A783" s="275" t="inlineStr">
        <is>
          <t>Hacktivist</t>
        </is>
      </c>
      <c r="B783" s="276" t="inlineStr">
        <is>
          <t>Cyber-enabled theft or fraud</t>
        </is>
      </c>
      <c r="C783" s="276" t="inlineStr">
        <is>
          <t>Third-party or software supply chain</t>
        </is>
      </c>
      <c r="D783" s="276" t="inlineStr">
        <is>
          <t>T1657</t>
        </is>
      </c>
      <c r="E783" s="276" t="inlineStr">
        <is>
          <t>Financial Theft</t>
        </is>
      </c>
      <c r="F783" s="276" t="inlineStr">
        <is>
          <t>S5</t>
        </is>
      </c>
      <c r="G783" s="276" t="b">
        <v>0</v>
      </c>
      <c r="H783" s="276" t="b">
        <v>1</v>
      </c>
      <c r="I783" s="276" t="b">
        <v>0</v>
      </c>
      <c r="J783" s="276" t="n">
        <v>0.5</v>
      </c>
      <c r="K783" s="276" t="n">
        <v>0.275654296875</v>
      </c>
      <c r="L783" s="276" t="n">
        <v>0.275654296875</v>
      </c>
      <c r="M783" s="276" t="inlineStr">
        <is>
          <t>SaaS; Office Suite; Identity Provider</t>
        </is>
      </c>
      <c r="N783" s="276" t="inlineStr">
        <is>
          <t>https://attack.mitre.org/techniques/T1657/</t>
        </is>
      </c>
      <c r="O783" s="276" t="n"/>
      <c r="P783" s="277" t="n"/>
    </row>
    <row r="784">
      <c r="A784" s="275" t="inlineStr">
        <is>
          <t>Hacktivist</t>
        </is>
      </c>
      <c r="B784" s="276" t="inlineStr">
        <is>
          <t>Cyber-enabled theft or fraud</t>
        </is>
      </c>
      <c r="C784" s="276" t="inlineStr">
        <is>
          <t>Insider or trusted access</t>
        </is>
      </c>
      <c r="D784" s="276" t="inlineStr">
        <is>
          <t>T1098</t>
        </is>
      </c>
      <c r="E784" s="276" t="inlineStr">
        <is>
          <t>Account Manipulation</t>
        </is>
      </c>
      <c r="F784" s="276" t="inlineStr">
        <is>
          <t>S3</t>
        </is>
      </c>
      <c r="G784" s="276" t="b">
        <v>1</v>
      </c>
      <c r="H784" s="276" t="b">
        <v>1</v>
      </c>
      <c r="I784" s="276" t="b">
        <v>1</v>
      </c>
      <c r="J784" s="276" t="n">
        <v>0.8</v>
      </c>
      <c r="K784" s="276" t="n">
        <v>0.2477547340393066</v>
      </c>
      <c r="L784" s="276" t="n">
        <v>0.2477547340393066</v>
      </c>
      <c r="M784" s="276" t="inlineStr">
        <is>
          <t>Identity Provider; SaaS; Windows</t>
        </is>
      </c>
      <c r="N784" s="276" t="inlineStr">
        <is>
          <t>https://attack.mitre.org/techniques/T1098/</t>
        </is>
      </c>
      <c r="O784" s="276" t="n"/>
      <c r="P784" s="277" t="n"/>
    </row>
    <row r="785">
      <c r="A785" s="275" t="inlineStr">
        <is>
          <t>Hacktivist</t>
        </is>
      </c>
      <c r="B785" s="276" t="inlineStr">
        <is>
          <t>Cyber-enabled theft or fraud</t>
        </is>
      </c>
      <c r="C785" s="276" t="inlineStr">
        <is>
          <t>Insider or trusted access</t>
        </is>
      </c>
      <c r="D785" s="276" t="inlineStr">
        <is>
          <t>T1567</t>
        </is>
      </c>
      <c r="E785" s="276" t="inlineStr">
        <is>
          <t>Exfiltration Over Web Service</t>
        </is>
      </c>
      <c r="F785" s="276" t="inlineStr">
        <is>
          <t>S5</t>
        </is>
      </c>
      <c r="G785" s="276" t="b">
        <v>1</v>
      </c>
      <c r="H785" s="276" t="b">
        <v>0</v>
      </c>
      <c r="I785" s="276" t="b">
        <v>0</v>
      </c>
      <c r="J785" s="276" t="n">
        <v>0.8</v>
      </c>
      <c r="K785" s="276" t="n">
        <v>0.20625</v>
      </c>
      <c r="L785" s="276" t="n">
        <v>0.20625</v>
      </c>
      <c r="M785" s="276" t="inlineStr">
        <is>
          <t>SaaS; Office Suite</t>
        </is>
      </c>
      <c r="N785" s="276" t="inlineStr">
        <is>
          <t>https://attack.mitre.org/techniques/T1567/</t>
        </is>
      </c>
      <c r="O785" s="276" t="n"/>
      <c r="P785" s="277" t="n"/>
    </row>
    <row r="786">
      <c r="A786" s="275" t="inlineStr">
        <is>
          <t>Hacktivist</t>
        </is>
      </c>
      <c r="B786" s="276" t="inlineStr">
        <is>
          <t>Cyber-enabled theft or fraud</t>
        </is>
      </c>
      <c r="C786" s="276" t="inlineStr">
        <is>
          <t>Insider or trusted access</t>
        </is>
      </c>
      <c r="D786" s="276" t="inlineStr">
        <is>
          <t>T1565</t>
        </is>
      </c>
      <c r="E786" s="276" t="inlineStr">
        <is>
          <t>Data Manipulation</t>
        </is>
      </c>
      <c r="F786" s="276" t="inlineStr">
        <is>
          <t>S5</t>
        </is>
      </c>
      <c r="G786" s="276" t="b">
        <v>1</v>
      </c>
      <c r="H786" s="276" t="b">
        <v>1</v>
      </c>
      <c r="I786" s="276" t="b">
        <v>1</v>
      </c>
      <c r="J786" s="276" t="n">
        <v>0.9</v>
      </c>
      <c r="K786" s="276" t="n">
        <v>0.2206064987182617</v>
      </c>
      <c r="L786" s="276" t="n">
        <v>0.2206064987182617</v>
      </c>
      <c r="M786" s="276" t="inlineStr">
        <is>
          <t>SaaS; Databases; Windows</t>
        </is>
      </c>
      <c r="N786" s="276" t="inlineStr">
        <is>
          <t>https://attack.mitre.org/techniques/T1565/</t>
        </is>
      </c>
      <c r="O786" s="276" t="n"/>
      <c r="P786" s="277" t="n"/>
    </row>
    <row r="787">
      <c r="A787" s="275" t="inlineStr">
        <is>
          <t>Hacktivist</t>
        </is>
      </c>
      <c r="B787" s="276" t="inlineStr">
        <is>
          <t>Cyber-enabled theft or fraud</t>
        </is>
      </c>
      <c r="C787" s="276" t="inlineStr">
        <is>
          <t>Insider or trusted access</t>
        </is>
      </c>
      <c r="D787" s="276" t="inlineStr">
        <is>
          <t>T1657</t>
        </is>
      </c>
      <c r="E787" s="276" t="inlineStr">
        <is>
          <t>Financial Theft</t>
        </is>
      </c>
      <c r="F787" s="276" t="inlineStr">
        <is>
          <t>S5</t>
        </is>
      </c>
      <c r="G787" s="276" t="b">
        <v>0</v>
      </c>
      <c r="H787" s="276" t="b">
        <v>1</v>
      </c>
      <c r="I787" s="276" t="b">
        <v>0</v>
      </c>
      <c r="J787" s="276" t="n">
        <v>0.9</v>
      </c>
      <c r="K787" s="276" t="n">
        <v>0.275654296875</v>
      </c>
      <c r="L787" s="276" t="n">
        <v>0.275654296875</v>
      </c>
      <c r="M787" s="276" t="inlineStr">
        <is>
          <t>SaaS; Office Suite; Identity Provider</t>
        </is>
      </c>
      <c r="N787" s="276" t="inlineStr">
        <is>
          <t>https://attack.mitre.org/techniques/T1657/</t>
        </is>
      </c>
      <c r="O787" s="276" t="n"/>
      <c r="P787" s="277" t="n"/>
    </row>
    <row r="788">
      <c r="A788" s="275" t="n"/>
      <c r="B788" s="276" t="n"/>
      <c r="C788" s="276" t="n"/>
      <c r="D788" s="276" t="n"/>
      <c r="E788" s="276" t="n"/>
      <c r="F788" s="276" t="n"/>
      <c r="G788" s="276" t="n"/>
      <c r="H788" s="276" t="n"/>
      <c r="I788" s="276" t="n"/>
      <c r="J788" s="276" t="n"/>
      <c r="K788" s="276" t="n"/>
      <c r="L788" s="276" t="n"/>
      <c r="M788" s="276" t="n"/>
      <c r="N788" s="276" t="n"/>
      <c r="O788" s="276" t="n"/>
      <c r="P788" s="277" t="n"/>
    </row>
    <row r="789">
      <c r="A789" s="275" t="n"/>
      <c r="B789" s="276" t="n"/>
      <c r="C789" s="276" t="n"/>
      <c r="D789" s="276" t="n"/>
      <c r="E789" s="276" t="n"/>
      <c r="F789" s="276" t="n"/>
      <c r="G789" s="276" t="n"/>
      <c r="H789" s="276" t="n"/>
      <c r="I789" s="276" t="n"/>
      <c r="J789" s="276" t="n"/>
      <c r="K789" s="276" t="n"/>
      <c r="L789" s="276" t="n"/>
      <c r="M789" s="276" t="n"/>
      <c r="N789" s="276" t="n"/>
      <c r="O789" s="276" t="n"/>
      <c r="P789" s="277" t="n"/>
    </row>
    <row r="790">
      <c r="A790" s="275" t="n"/>
      <c r="B790" s="276" t="n"/>
      <c r="C790" s="276" t="n"/>
      <c r="D790" s="276" t="n"/>
      <c r="E790" s="276" t="n"/>
      <c r="F790" s="276" t="n"/>
      <c r="G790" s="276" t="n"/>
      <c r="H790" s="276" t="n"/>
      <c r="I790" s="276" t="n"/>
      <c r="J790" s="276" t="n"/>
      <c r="K790" s="276" t="n"/>
      <c r="L790" s="276" t="n"/>
      <c r="M790" s="276" t="n"/>
      <c r="N790" s="276" t="n"/>
      <c r="O790" s="276" t="n"/>
      <c r="P790" s="277" t="n"/>
    </row>
    <row r="791">
      <c r="A791" s="275" t="n"/>
      <c r="B791" s="276" t="n"/>
      <c r="C791" s="276" t="n"/>
      <c r="D791" s="276" t="n"/>
      <c r="E791" s="276" t="n"/>
      <c r="F791" s="276" t="n"/>
      <c r="G791" s="276" t="n"/>
      <c r="H791" s="276" t="n"/>
      <c r="I791" s="276" t="n"/>
      <c r="J791" s="276" t="n"/>
      <c r="K791" s="276" t="n"/>
      <c r="L791" s="276" t="n"/>
      <c r="M791" s="276" t="n"/>
      <c r="N791" s="276" t="n"/>
      <c r="O791" s="276" t="n"/>
      <c r="P791" s="277" t="n"/>
    </row>
    <row r="792">
      <c r="A792" s="275" t="n"/>
      <c r="B792" s="276" t="n"/>
      <c r="C792" s="276" t="n"/>
      <c r="D792" s="276" t="n"/>
      <c r="E792" s="276" t="n"/>
      <c r="F792" s="276" t="n"/>
      <c r="G792" s="276" t="n"/>
      <c r="H792" s="276" t="n"/>
      <c r="I792" s="276" t="n"/>
      <c r="J792" s="276" t="n"/>
      <c r="K792" s="276" t="n"/>
      <c r="L792" s="276" t="n"/>
      <c r="M792" s="276" t="n"/>
      <c r="N792" s="276" t="n"/>
      <c r="O792" s="276" t="n"/>
      <c r="P792" s="277" t="n"/>
    </row>
    <row r="793">
      <c r="A793" s="275" t="n"/>
      <c r="B793" s="276" t="n"/>
      <c r="C793" s="276" t="n"/>
      <c r="D793" s="276" t="n"/>
      <c r="E793" s="276" t="n"/>
      <c r="F793" s="276" t="n"/>
      <c r="G793" s="276" t="n"/>
      <c r="H793" s="276" t="n"/>
      <c r="I793" s="276" t="n"/>
      <c r="J793" s="276" t="n"/>
      <c r="K793" s="276" t="n"/>
      <c r="L793" s="276" t="n"/>
      <c r="M793" s="276" t="n"/>
      <c r="N793" s="276" t="n"/>
      <c r="O793" s="276" t="n"/>
      <c r="P793" s="277" t="n"/>
    </row>
    <row r="794">
      <c r="A794" s="275" t="n"/>
      <c r="B794" s="276" t="n"/>
      <c r="C794" s="276" t="n"/>
      <c r="D794" s="276" t="n"/>
      <c r="E794" s="276" t="n"/>
      <c r="F794" s="276" t="n"/>
      <c r="G794" s="276" t="n"/>
      <c r="H794" s="276" t="n"/>
      <c r="I794" s="276" t="n"/>
      <c r="J794" s="276" t="n"/>
      <c r="K794" s="276" t="n"/>
      <c r="L794" s="276" t="n"/>
      <c r="M794" s="276" t="n"/>
      <c r="N794" s="276" t="n"/>
      <c r="O794" s="276" t="n"/>
      <c r="P794" s="277" t="n"/>
    </row>
    <row r="795">
      <c r="A795" s="275" t="n"/>
      <c r="B795" s="276" t="n"/>
      <c r="C795" s="276" t="n"/>
      <c r="D795" s="276" t="n"/>
      <c r="E795" s="276" t="n"/>
      <c r="F795" s="276" t="n"/>
      <c r="G795" s="276" t="n"/>
      <c r="H795" s="276" t="n"/>
      <c r="I795" s="276" t="n"/>
      <c r="J795" s="276" t="n"/>
      <c r="K795" s="276" t="n"/>
      <c r="L795" s="276" t="n"/>
      <c r="M795" s="276" t="n"/>
      <c r="N795" s="276" t="n"/>
      <c r="O795" s="276" t="n"/>
      <c r="P795" s="277" t="n"/>
    </row>
    <row r="796">
      <c r="A796" s="275" t="n"/>
      <c r="B796" s="276" t="n"/>
      <c r="C796" s="276" t="n"/>
      <c r="D796" s="276" t="n"/>
      <c r="E796" s="276" t="n"/>
      <c r="F796" s="276" t="n"/>
      <c r="G796" s="276" t="n"/>
      <c r="H796" s="276" t="n"/>
      <c r="I796" s="276" t="n"/>
      <c r="J796" s="276" t="n"/>
      <c r="K796" s="276" t="n"/>
      <c r="L796" s="276" t="n"/>
      <c r="M796" s="276" t="n"/>
      <c r="N796" s="276" t="n"/>
      <c r="O796" s="276" t="n"/>
      <c r="P796" s="277" t="n"/>
    </row>
    <row r="797">
      <c r="A797" s="275" t="n"/>
      <c r="B797" s="276" t="n"/>
      <c r="C797" s="276" t="n"/>
      <c r="D797" s="276" t="n"/>
      <c r="E797" s="276" t="n"/>
      <c r="F797" s="276" t="n"/>
      <c r="G797" s="276" t="n"/>
      <c r="H797" s="276" t="n"/>
      <c r="I797" s="276" t="n"/>
      <c r="J797" s="276" t="n"/>
      <c r="K797" s="276" t="n"/>
      <c r="L797" s="276" t="n"/>
      <c r="M797" s="276" t="n"/>
      <c r="N797" s="276" t="n"/>
      <c r="O797" s="276" t="n"/>
      <c r="P797" s="277" t="n"/>
    </row>
    <row r="798">
      <c r="A798" s="275" t="n"/>
      <c r="B798" s="276" t="n"/>
      <c r="C798" s="276" t="n"/>
      <c r="D798" s="276" t="n"/>
      <c r="E798" s="276" t="n"/>
      <c r="F798" s="276" t="n"/>
      <c r="G798" s="276" t="n"/>
      <c r="H798" s="276" t="n"/>
      <c r="I798" s="276" t="n"/>
      <c r="J798" s="276" t="n"/>
      <c r="K798" s="276" t="n"/>
      <c r="L798" s="276" t="n"/>
      <c r="M798" s="276" t="n"/>
      <c r="N798" s="276" t="n"/>
      <c r="O798" s="276" t="n"/>
      <c r="P798" s="277" t="n"/>
    </row>
    <row r="799">
      <c r="A799" s="275" t="n"/>
      <c r="B799" s="276" t="n"/>
      <c r="C799" s="276" t="n"/>
      <c r="D799" s="276" t="n"/>
      <c r="E799" s="276" t="n"/>
      <c r="F799" s="276" t="n"/>
      <c r="G799" s="276" t="n"/>
      <c r="H799" s="276" t="n"/>
      <c r="I799" s="276" t="n"/>
      <c r="J799" s="276" t="n"/>
      <c r="K799" s="276" t="n"/>
      <c r="L799" s="276" t="n"/>
      <c r="M799" s="276" t="n"/>
      <c r="N799" s="276" t="n"/>
      <c r="O799" s="276" t="n"/>
      <c r="P799" s="277" t="n"/>
    </row>
    <row r="800">
      <c r="A800" s="278" t="n"/>
      <c r="B800" s="279" t="n"/>
      <c r="C800" s="279" t="n"/>
      <c r="D800" s="279" t="n"/>
      <c r="E800" s="279" t="n"/>
      <c r="F800" s="279" t="n"/>
      <c r="G800" s="279" t="n"/>
      <c r="H800" s="279" t="n"/>
      <c r="I800" s="279" t="n"/>
      <c r="J800" s="279" t="n"/>
      <c r="K800" s="279" t="n"/>
      <c r="L800" s="279" t="n"/>
      <c r="M800" s="279" t="n"/>
      <c r="N800" s="279" t="n"/>
      <c r="O800" s="279" t="n"/>
      <c r="P800" s="280" t="n"/>
    </row>
  </sheetData>
  <mergeCells count="3">
    <mergeCell ref="A2:L2"/>
    <mergeCell ref="A1:L1"/>
    <mergeCell ref="A5:L5"/>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O250"/>
  <sheetViews>
    <sheetView showGridLines="0" workbookViewId="0">
      <selection activeCell="A1" sqref="A1"/>
    </sheetView>
  </sheetViews>
  <sheetFormatPr baseColWidth="8" defaultRowHeight="15"/>
  <sheetData>
    <row r="1" ht="27" customHeight="1" s="242">
      <c r="A1" s="390" t="inlineStr">
        <is>
          <t>11 — Composite Attack-Path Calculation</t>
        </is>
      </c>
    </row>
    <row r="2" ht="34" customHeight="1" s="242">
      <c r="A2" s="247" t="inlineStr">
        <is>
          <t>Required-stage masks, reference/actual barriers, exposure factors and conditional success.</t>
        </is>
      </c>
    </row>
    <row r="5">
      <c r="A5" s="333" t="inlineStr">
        <is>
          <t>ENGINE OUTPUT — do not edit. Run the Python engine after changing inputs or sector packs.</t>
        </is>
      </c>
    </row>
    <row r="15">
      <c r="A15" s="235" t="inlineStr">
        <is>
          <t>Threat actor</t>
        </is>
      </c>
      <c r="B15" s="236" t="inlineStr">
        <is>
          <t>Scenario</t>
        </is>
      </c>
      <c r="C15" s="236" t="inlineStr">
        <is>
          <t>Route</t>
        </is>
      </c>
      <c r="D15" s="236" t="inlineStr">
        <is>
          <t>Path valid</t>
        </is>
      </c>
      <c r="E15" s="236" t="inlineStr">
        <is>
          <t>Attempts / yr</t>
        </is>
      </c>
      <c r="F15" s="236" t="inlineStr">
        <is>
          <t>Opportunity</t>
        </is>
      </c>
      <c r="G15" s="236" t="inlineStr">
        <is>
          <t>P(success)</t>
        </is>
      </c>
      <c r="H15" s="236" t="inlineStr">
        <is>
          <t>Duration factor</t>
        </is>
      </c>
      <c r="I15" s="236" t="inlineStr">
        <is>
          <t>Exposure factor</t>
        </is>
      </c>
      <c r="J15" s="236" t="inlineStr">
        <is>
          <t>Direct factor</t>
        </is>
      </c>
      <c r="K15" s="236" t="inlineStr">
        <is>
          <t>Impact factor</t>
        </is>
      </c>
      <c r="L15" s="236" t="inlineStr">
        <is>
          <t>S1 required</t>
        </is>
      </c>
      <c r="M15" s="236" t="inlineStr">
        <is>
          <t>S1 reference</t>
        </is>
      </c>
      <c r="N15" s="236" t="inlineStr">
        <is>
          <t>S1 actual barrier</t>
        </is>
      </c>
      <c r="O15" s="236" t="inlineStr">
        <is>
          <t>S1 reference barrier</t>
        </is>
      </c>
      <c r="P15" s="236" t="inlineStr">
        <is>
          <t>S1 exposure</t>
        </is>
      </c>
      <c r="Q15" s="236" t="inlineStr">
        <is>
          <t>S1 through</t>
        </is>
      </c>
      <c r="R15" s="236" t="inlineStr">
        <is>
          <t>S2 required</t>
        </is>
      </c>
      <c r="S15" s="236" t="inlineStr">
        <is>
          <t>S2 reference</t>
        </is>
      </c>
      <c r="T15" s="236" t="inlineStr">
        <is>
          <t>S2 actual barrier</t>
        </is>
      </c>
      <c r="U15" s="236" t="inlineStr">
        <is>
          <t>S2 reference barrier</t>
        </is>
      </c>
      <c r="V15" s="236" t="inlineStr">
        <is>
          <t>S2 exposure</t>
        </is>
      </c>
      <c r="W15" s="236" t="inlineStr">
        <is>
          <t>S2 through</t>
        </is>
      </c>
      <c r="X15" s="236" t="inlineStr">
        <is>
          <t>S3 required</t>
        </is>
      </c>
      <c r="Y15" s="236" t="inlineStr">
        <is>
          <t>S3 reference</t>
        </is>
      </c>
      <c r="Z15" s="237" t="inlineStr">
        <is>
          <t>S3 actual barrier</t>
        </is>
      </c>
      <c r="AA15" s="238" t="inlineStr">
        <is>
          <t>S3 reference barrier</t>
        </is>
      </c>
      <c r="AB15" s="238" t="inlineStr">
        <is>
          <t>S3 exposure</t>
        </is>
      </c>
      <c r="AC15" s="238" t="inlineStr">
        <is>
          <t>S3 through</t>
        </is>
      </c>
      <c r="AD15" s="238" t="inlineStr">
        <is>
          <t>S4 required</t>
        </is>
      </c>
      <c r="AE15" s="238" t="inlineStr">
        <is>
          <t>S4 reference</t>
        </is>
      </c>
      <c r="AF15" s="238" t="inlineStr">
        <is>
          <t>S4 actual barrier</t>
        </is>
      </c>
      <c r="AG15" s="238" t="inlineStr">
        <is>
          <t>S4 reference barrier</t>
        </is>
      </c>
      <c r="AH15" s="238" t="inlineStr">
        <is>
          <t>S4 exposure</t>
        </is>
      </c>
      <c r="AI15" s="238" t="inlineStr">
        <is>
          <t>S4 through</t>
        </is>
      </c>
      <c r="AJ15" s="238" t="inlineStr">
        <is>
          <t>S5 required</t>
        </is>
      </c>
      <c r="AK15" s="238" t="inlineStr">
        <is>
          <t>S5 reference</t>
        </is>
      </c>
      <c r="AL15" s="238" t="inlineStr">
        <is>
          <t>S5 actual barrier</t>
        </is>
      </c>
      <c r="AM15" s="238" t="inlineStr">
        <is>
          <t>S5 reference barrier</t>
        </is>
      </c>
      <c r="AN15" s="238" t="inlineStr">
        <is>
          <t>S5 exposure</t>
        </is>
      </c>
      <c r="AO15" s="238" t="inlineStr">
        <is>
          <t>S5 through</t>
        </is>
      </c>
    </row>
    <row r="16">
      <c r="A16" s="275" t="inlineStr">
        <is>
          <t>Nation-state</t>
        </is>
      </c>
      <c r="B16" s="276" t="inlineStr">
        <is>
          <t>Critical business-service disruption</t>
        </is>
      </c>
      <c r="C16" s="276" t="inlineStr">
        <is>
          <t>Identity and credential compromise</t>
        </is>
      </c>
      <c r="D16" s="276" t="b">
        <v>1</v>
      </c>
      <c r="E16" s="276" t="n">
        <v>0.006320224719101123</v>
      </c>
      <c r="F16" s="276" t="n">
        <v>1</v>
      </c>
      <c r="G16" s="276" t="n">
        <v>0.05898750000000001</v>
      </c>
      <c r="H16" s="276" t="n">
        <v>1</v>
      </c>
      <c r="I16" s="276" t="n">
        <v>1</v>
      </c>
      <c r="J16" s="276" t="n">
        <v>1</v>
      </c>
      <c r="K16" s="276" t="n">
        <v>1</v>
      </c>
      <c r="L16" s="276" t="b">
        <v>1</v>
      </c>
      <c r="M16" s="276" t="n">
        <v>0.3</v>
      </c>
      <c r="N16" s="276" t="n">
        <v>0.2403645833333333</v>
      </c>
      <c r="O16" s="276" t="n">
        <v>0.2403645833333333</v>
      </c>
      <c r="P16" s="276" t="n">
        <v>1</v>
      </c>
      <c r="Q16" s="276" t="n">
        <v>0.3</v>
      </c>
      <c r="R16" s="276" t="b">
        <v>0</v>
      </c>
      <c r="S16" s="276" t="n">
        <v>1</v>
      </c>
      <c r="T16" s="276" t="n">
        <v>0</v>
      </c>
      <c r="U16" s="276" t="n">
        <v>0</v>
      </c>
      <c r="V16" s="276" t="n">
        <v>1</v>
      </c>
      <c r="W16" s="276" t="n">
        <v>1</v>
      </c>
      <c r="X16" s="276" t="b">
        <v>1</v>
      </c>
      <c r="Y16" s="276" t="n">
        <v>0.55</v>
      </c>
      <c r="Z16" s="277" t="n">
        <v>0.2477547340393066</v>
      </c>
      <c r="AA16" t="n">
        <v>0.2477547340393066</v>
      </c>
      <c r="AB16" t="n">
        <v>1</v>
      </c>
      <c r="AC16" t="n">
        <v>0.55</v>
      </c>
      <c r="AD16" t="b">
        <v>1</v>
      </c>
      <c r="AE16" t="n">
        <v>0.55</v>
      </c>
      <c r="AF16" t="n">
        <v>0</v>
      </c>
      <c r="AG16" t="n">
        <v>0</v>
      </c>
      <c r="AH16" t="n">
        <v>1</v>
      </c>
      <c r="AI16" t="n">
        <v>0.55</v>
      </c>
      <c r="AJ16" t="b">
        <v>1</v>
      </c>
      <c r="AK16" t="n">
        <v>0.65</v>
      </c>
      <c r="AL16" t="n">
        <v>0.1269045829772949</v>
      </c>
      <c r="AM16" t="n">
        <v>0.1269045829772949</v>
      </c>
      <c r="AN16" t="n">
        <v>1</v>
      </c>
      <c r="AO16" t="n">
        <v>0.65</v>
      </c>
    </row>
    <row r="17">
      <c r="A17" s="275" t="inlineStr">
        <is>
          <t>Nation-state</t>
        </is>
      </c>
      <c r="B17" s="276" t="inlineStr">
        <is>
          <t>Critical business-service disruption</t>
        </is>
      </c>
      <c r="C17" s="276" t="inlineStr">
        <is>
          <t>User endpoint and social engineering</t>
        </is>
      </c>
      <c r="D17" s="276" t="b">
        <v>1</v>
      </c>
      <c r="E17" s="276" t="n">
        <v>0.005561797752808989</v>
      </c>
      <c r="F17" s="276" t="n">
        <v>1</v>
      </c>
      <c r="G17" s="276" t="n">
        <v>0.025515</v>
      </c>
      <c r="H17" s="276" t="n">
        <v>1</v>
      </c>
      <c r="I17" s="276" t="n">
        <v>1</v>
      </c>
      <c r="J17" s="276" t="n">
        <v>1</v>
      </c>
      <c r="K17" s="276" t="n">
        <v>1</v>
      </c>
      <c r="L17" s="276" t="b">
        <v>1</v>
      </c>
      <c r="M17" s="276" t="n">
        <v>0.35</v>
      </c>
      <c r="N17" s="276" t="n">
        <v>0.20625</v>
      </c>
      <c r="O17" s="276" t="n">
        <v>0.20625</v>
      </c>
      <c r="P17" s="276" t="n">
        <v>1</v>
      </c>
      <c r="Q17" s="276" t="n">
        <v>0.35</v>
      </c>
      <c r="R17" s="276" t="b">
        <v>1</v>
      </c>
      <c r="S17" s="276" t="n">
        <v>0.6</v>
      </c>
      <c r="T17" s="276" t="n">
        <v>0.2124374569163603</v>
      </c>
      <c r="U17" s="276" t="n">
        <v>0.2124374569163603</v>
      </c>
      <c r="V17" s="276" t="n">
        <v>1</v>
      </c>
      <c r="W17" s="276" t="n">
        <v>0.6</v>
      </c>
      <c r="X17" s="276" t="b">
        <v>1</v>
      </c>
      <c r="Y17" s="276" t="n">
        <v>0.45</v>
      </c>
      <c r="Z17" s="277" t="n">
        <v>0.2216183303833008</v>
      </c>
      <c r="AA17" t="n">
        <v>0.2216183303833008</v>
      </c>
      <c r="AB17" t="n">
        <v>1</v>
      </c>
      <c r="AC17" t="n">
        <v>0.45</v>
      </c>
      <c r="AD17" t="b">
        <v>1</v>
      </c>
      <c r="AE17" t="n">
        <v>0.45</v>
      </c>
      <c r="AF17" t="n">
        <v>0.1794642857142857</v>
      </c>
      <c r="AG17" t="n">
        <v>0.1794642857142857</v>
      </c>
      <c r="AH17" t="n">
        <v>1</v>
      </c>
      <c r="AI17" t="n">
        <v>0.45</v>
      </c>
      <c r="AJ17" t="b">
        <v>1</v>
      </c>
      <c r="AK17" t="n">
        <v>0.6</v>
      </c>
      <c r="AL17" t="n">
        <v>0.1226516246795654</v>
      </c>
      <c r="AM17" t="n">
        <v>0.1226516246795654</v>
      </c>
      <c r="AN17" t="n">
        <v>1</v>
      </c>
      <c r="AO17" t="n">
        <v>0.6</v>
      </c>
    </row>
    <row r="18">
      <c r="A18" s="275" t="inlineStr">
        <is>
          <t>Nation-state</t>
        </is>
      </c>
      <c r="B18" s="276" t="inlineStr">
        <is>
          <t>Critical business-service disruption</t>
        </is>
      </c>
      <c r="C18" s="276" t="inlineStr">
        <is>
          <t>Public-facing application exploitation</t>
        </is>
      </c>
      <c r="D18" s="276" t="b">
        <v>1</v>
      </c>
      <c r="E18" s="276" t="n">
        <v>0.009691011235955057</v>
      </c>
      <c r="F18" s="276" t="n">
        <v>1</v>
      </c>
      <c r="G18" s="276" t="n">
        <v>0.02025</v>
      </c>
      <c r="H18" s="276" t="n">
        <v>1</v>
      </c>
      <c r="I18" s="276" t="n">
        <v>1</v>
      </c>
      <c r="J18" s="276" t="n">
        <v>1</v>
      </c>
      <c r="K18" s="276" t="n">
        <v>1</v>
      </c>
      <c r="L18" s="276" t="b">
        <v>1</v>
      </c>
      <c r="M18" s="276" t="n">
        <v>0.25</v>
      </c>
      <c r="N18" s="276" t="n">
        <v>0.2496630477905274</v>
      </c>
      <c r="O18" s="276" t="n">
        <v>0.2496630477905274</v>
      </c>
      <c r="P18" s="276" t="n">
        <v>1</v>
      </c>
      <c r="Q18" s="276" t="n">
        <v>0.25</v>
      </c>
      <c r="R18" s="276" t="b">
        <v>1</v>
      </c>
      <c r="S18" s="276" t="n">
        <v>0.6</v>
      </c>
      <c r="T18" s="276" t="n">
        <v>0.1875</v>
      </c>
      <c r="U18" s="276" t="n">
        <v>0.1875</v>
      </c>
      <c r="V18" s="276" t="n">
        <v>1</v>
      </c>
      <c r="W18" s="276" t="n">
        <v>0.6</v>
      </c>
      <c r="X18" s="276" t="b">
        <v>1</v>
      </c>
      <c r="Y18" s="276" t="n">
        <v>0.5</v>
      </c>
      <c r="Z18" s="277" t="n">
        <v>0.2199757778461163</v>
      </c>
      <c r="AA18" t="n">
        <v>0.2199757778461163</v>
      </c>
      <c r="AB18" t="n">
        <v>1</v>
      </c>
      <c r="AC18" t="n">
        <v>0.5</v>
      </c>
      <c r="AD18" t="b">
        <v>1</v>
      </c>
      <c r="AE18" t="n">
        <v>0.45</v>
      </c>
      <c r="AF18" t="n">
        <v>0.1907346013939899</v>
      </c>
      <c r="AG18" t="n">
        <v>0.1907346013939899</v>
      </c>
      <c r="AH18" t="n">
        <v>1</v>
      </c>
      <c r="AI18" t="n">
        <v>0.45</v>
      </c>
      <c r="AJ18" t="b">
        <v>1</v>
      </c>
      <c r="AK18" t="n">
        <v>0.6</v>
      </c>
      <c r="AL18" t="n">
        <v>0.1374199407240924</v>
      </c>
      <c r="AM18" t="n">
        <v>0.1374199407240924</v>
      </c>
      <c r="AN18" t="n">
        <v>1</v>
      </c>
      <c r="AO18" t="n">
        <v>0.6</v>
      </c>
    </row>
    <row r="19">
      <c r="A19" s="275" t="inlineStr">
        <is>
          <t>Nation-state</t>
        </is>
      </c>
      <c r="B19" s="276" t="inlineStr">
        <is>
          <t>Critical business-service disruption</t>
        </is>
      </c>
      <c r="C19" s="276" t="inlineStr">
        <is>
          <t>Third-party or software supply chain</t>
        </is>
      </c>
      <c r="D19" s="276" t="b">
        <v>1</v>
      </c>
      <c r="E19" s="276" t="n">
        <v>0.006320224719101123</v>
      </c>
      <c r="F19" s="276" t="n">
        <v>1</v>
      </c>
      <c r="G19" s="276" t="n">
        <v>0.196625</v>
      </c>
      <c r="H19" s="276" t="n">
        <v>1</v>
      </c>
      <c r="I19" s="276" t="n">
        <v>1</v>
      </c>
      <c r="J19" s="276" t="n">
        <v>1</v>
      </c>
      <c r="K19" s="276" t="n">
        <v>1</v>
      </c>
      <c r="L19" s="276" t="b">
        <v>0</v>
      </c>
      <c r="M19" s="276" t="n">
        <v>1</v>
      </c>
      <c r="N19" s="276" t="n">
        <v>0</v>
      </c>
      <c r="O19" s="276" t="n">
        <v>0</v>
      </c>
      <c r="P19" s="276" t="n">
        <v>1</v>
      </c>
      <c r="Q19" s="276" t="n">
        <v>1</v>
      </c>
      <c r="R19" s="276" t="b">
        <v>0</v>
      </c>
      <c r="S19" s="276" t="n">
        <v>1</v>
      </c>
      <c r="T19" s="276" t="n">
        <v>0</v>
      </c>
      <c r="U19" s="276" t="n">
        <v>0</v>
      </c>
      <c r="V19" s="276" t="n">
        <v>1</v>
      </c>
      <c r="W19" s="276" t="n">
        <v>1</v>
      </c>
      <c r="X19" s="276" t="b">
        <v>1</v>
      </c>
      <c r="Y19" s="276" t="n">
        <v>0.55</v>
      </c>
      <c r="Z19" s="277" t="n">
        <v>0.22181427526474</v>
      </c>
      <c r="AA19" t="n">
        <v>0.22181427526474</v>
      </c>
      <c r="AB19" t="n">
        <v>1</v>
      </c>
      <c r="AC19" t="n">
        <v>0.55</v>
      </c>
      <c r="AD19" t="b">
        <v>1</v>
      </c>
      <c r="AE19" t="n">
        <v>0.55</v>
      </c>
      <c r="AF19" t="n">
        <v>0</v>
      </c>
      <c r="AG19" t="n">
        <v>0</v>
      </c>
      <c r="AH19" t="n">
        <v>1</v>
      </c>
      <c r="AI19" t="n">
        <v>0.55</v>
      </c>
      <c r="AJ19" t="b">
        <v>1</v>
      </c>
      <c r="AK19" t="n">
        <v>0.65</v>
      </c>
      <c r="AL19" t="n">
        <v>0.1970353629372337</v>
      </c>
      <c r="AM19" t="n">
        <v>0.1970353629372337</v>
      </c>
      <c r="AN19" t="n">
        <v>1</v>
      </c>
      <c r="AO19" t="n">
        <v>0.65</v>
      </c>
    </row>
    <row r="20">
      <c r="A20" s="275" t="inlineStr">
        <is>
          <t>Nation-state</t>
        </is>
      </c>
      <c r="B20" s="276" t="inlineStr">
        <is>
          <t>Critical business-service disruption</t>
        </is>
      </c>
      <c r="C20" s="276" t="inlineStr">
        <is>
          <t>Direct availability or DDoS</t>
        </is>
      </c>
      <c r="D20" s="276" t="b">
        <v>1</v>
      </c>
      <c r="E20" s="276" t="n">
        <v>0.001685393258426967</v>
      </c>
      <c r="F20" s="276" t="n">
        <v>1</v>
      </c>
      <c r="G20" s="276" t="n">
        <v>0.36</v>
      </c>
      <c r="H20" s="276" t="n">
        <v>1</v>
      </c>
      <c r="I20" s="276" t="n">
        <v>1</v>
      </c>
      <c r="J20" s="276" t="n">
        <v>1</v>
      </c>
      <c r="K20" s="276" t="n">
        <v>1</v>
      </c>
      <c r="L20" s="276" t="b">
        <v>1</v>
      </c>
      <c r="M20" s="276" t="n">
        <v>0.6</v>
      </c>
      <c r="N20" s="276" t="n">
        <v>0.2866992187499999</v>
      </c>
      <c r="O20" s="276" t="n">
        <v>0.2866992187499999</v>
      </c>
      <c r="P20" s="276" t="n">
        <v>1</v>
      </c>
      <c r="Q20" s="276" t="n">
        <v>0.6</v>
      </c>
      <c r="R20" s="276" t="b">
        <v>0</v>
      </c>
      <c r="S20" s="276" t="n">
        <v>1</v>
      </c>
      <c r="T20" s="276" t="n">
        <v>0</v>
      </c>
      <c r="U20" s="276" t="n">
        <v>0</v>
      </c>
      <c r="V20" s="276" t="n">
        <v>1</v>
      </c>
      <c r="W20" s="276" t="n">
        <v>1</v>
      </c>
      <c r="X20" s="276" t="b">
        <v>0</v>
      </c>
      <c r="Y20" s="276" t="n">
        <v>1</v>
      </c>
      <c r="Z20" s="277" t="n">
        <v>0</v>
      </c>
      <c r="AA20" t="n">
        <v>0</v>
      </c>
      <c r="AB20" t="n">
        <v>1</v>
      </c>
      <c r="AC20" t="n">
        <v>1</v>
      </c>
      <c r="AD20" t="b">
        <v>0</v>
      </c>
      <c r="AE20" t="n">
        <v>1</v>
      </c>
      <c r="AF20" t="n">
        <v>0</v>
      </c>
      <c r="AG20" t="n">
        <v>0</v>
      </c>
      <c r="AH20" t="n">
        <v>1</v>
      </c>
      <c r="AI20" t="n">
        <v>1</v>
      </c>
      <c r="AJ20" t="b">
        <v>1</v>
      </c>
      <c r="AK20" t="n">
        <v>0.6</v>
      </c>
      <c r="AL20" t="n">
        <v>0.225</v>
      </c>
      <c r="AM20" t="n">
        <v>0.225</v>
      </c>
      <c r="AN20" t="n">
        <v>1</v>
      </c>
      <c r="AO20" t="n">
        <v>0.6</v>
      </c>
    </row>
    <row r="21">
      <c r="A21" s="275" t="inlineStr">
        <is>
          <t>Nation-state</t>
        </is>
      </c>
      <c r="B21" s="276" t="inlineStr">
        <is>
          <t>Critical business-service disruption</t>
        </is>
      </c>
      <c r="C21" s="276" t="inlineStr">
        <is>
          <t>Insider or trusted access</t>
        </is>
      </c>
      <c r="D21" s="276" t="b">
        <v>1</v>
      </c>
      <c r="E21" s="276" t="n">
        <v>0.0004213483146067416</v>
      </c>
      <c r="F21" s="276" t="n">
        <v>1</v>
      </c>
      <c r="G21" s="276" t="n">
        <v>0.29575</v>
      </c>
      <c r="H21" s="276" t="n">
        <v>1</v>
      </c>
      <c r="I21" s="276" t="n">
        <v>1</v>
      </c>
      <c r="J21" s="276" t="n">
        <v>1</v>
      </c>
      <c r="K21" s="276" t="n">
        <v>1</v>
      </c>
      <c r="L21" s="276" t="b">
        <v>0</v>
      </c>
      <c r="M21" s="276" t="n">
        <v>1</v>
      </c>
      <c r="N21" s="276" t="n">
        <v>0</v>
      </c>
      <c r="O21" s="276" t="n">
        <v>0</v>
      </c>
      <c r="P21" s="276" t="n">
        <v>1</v>
      </c>
      <c r="Q21" s="276" t="n">
        <v>1</v>
      </c>
      <c r="R21" s="276" t="b">
        <v>0</v>
      </c>
      <c r="S21" s="276" t="n">
        <v>1</v>
      </c>
      <c r="T21" s="276" t="n">
        <v>0</v>
      </c>
      <c r="U21" s="276" t="n">
        <v>0</v>
      </c>
      <c r="V21" s="276" t="n">
        <v>1</v>
      </c>
      <c r="W21" s="276" t="n">
        <v>1</v>
      </c>
      <c r="X21" s="276" t="b">
        <v>1</v>
      </c>
      <c r="Y21" s="276" t="n">
        <v>0.7</v>
      </c>
      <c r="Z21" s="277" t="n">
        <v>0.2477547340393066</v>
      </c>
      <c r="AA21" t="n">
        <v>0.2477547340393066</v>
      </c>
      <c r="AB21" t="n">
        <v>1</v>
      </c>
      <c r="AC21" t="n">
        <v>0.7</v>
      </c>
      <c r="AD21" t="b">
        <v>1</v>
      </c>
      <c r="AE21" t="n">
        <v>0.65</v>
      </c>
      <c r="AF21" t="n">
        <v>0</v>
      </c>
      <c r="AG21" t="n">
        <v>0</v>
      </c>
      <c r="AH21" t="n">
        <v>1</v>
      </c>
      <c r="AI21" t="n">
        <v>0.65</v>
      </c>
      <c r="AJ21" t="b">
        <v>1</v>
      </c>
      <c r="AK21" t="n">
        <v>0.65</v>
      </c>
      <c r="AL21" t="n">
        <v>0.2206064987182617</v>
      </c>
      <c r="AM21" t="n">
        <v>0.2206064987182617</v>
      </c>
      <c r="AN21" t="n">
        <v>1</v>
      </c>
      <c r="AO21" t="n">
        <v>0.65</v>
      </c>
    </row>
    <row r="22">
      <c r="A22" s="275" t="inlineStr">
        <is>
          <t>Nation-state</t>
        </is>
      </c>
      <c r="B22" s="276" t="inlineStr">
        <is>
          <t>Sensitive-data compromise</t>
        </is>
      </c>
      <c r="C22" s="276" t="inlineStr">
        <is>
          <t>Identity and credential compromise</t>
        </is>
      </c>
      <c r="D22" s="276" t="b">
        <v>1</v>
      </c>
      <c r="E22" s="276" t="n">
        <v>0.01485849056603773</v>
      </c>
      <c r="F22" s="276" t="n">
        <v>1</v>
      </c>
      <c r="G22" s="276" t="n">
        <v>0.05898750000000001</v>
      </c>
      <c r="H22" s="276" t="n">
        <v>1</v>
      </c>
      <c r="I22" s="276" t="n">
        <v>1</v>
      </c>
      <c r="J22" s="276" t="n">
        <v>1</v>
      </c>
      <c r="K22" s="276" t="n">
        <v>1</v>
      </c>
      <c r="L22" s="276" t="b">
        <v>1</v>
      </c>
      <c r="M22" s="276" t="n">
        <v>0.3</v>
      </c>
      <c r="N22" s="276" t="n">
        <v>0.2403645833333333</v>
      </c>
      <c r="O22" s="276" t="n">
        <v>0.2403645833333333</v>
      </c>
      <c r="P22" s="276" t="n">
        <v>1</v>
      </c>
      <c r="Q22" s="276" t="n">
        <v>0.3</v>
      </c>
      <c r="R22" s="276" t="b">
        <v>0</v>
      </c>
      <c r="S22" s="276" t="n">
        <v>1</v>
      </c>
      <c r="T22" s="276" t="n">
        <v>0</v>
      </c>
      <c r="U22" s="276" t="n">
        <v>0</v>
      </c>
      <c r="V22" s="276" t="n">
        <v>1</v>
      </c>
      <c r="W22" s="276" t="n">
        <v>1</v>
      </c>
      <c r="X22" s="276" t="b">
        <v>1</v>
      </c>
      <c r="Y22" s="276" t="n">
        <v>0.55</v>
      </c>
      <c r="Z22" s="277" t="n">
        <v>0.2477547340393066</v>
      </c>
      <c r="AA22" t="n">
        <v>0.2477547340393066</v>
      </c>
      <c r="AB22" t="n">
        <v>1</v>
      </c>
      <c r="AC22" t="n">
        <v>0.55</v>
      </c>
      <c r="AD22" t="b">
        <v>1</v>
      </c>
      <c r="AE22" t="n">
        <v>0.55</v>
      </c>
      <c r="AF22" t="n">
        <v>0.1016517857142858</v>
      </c>
      <c r="AG22" t="n">
        <v>0.1016517857142858</v>
      </c>
      <c r="AH22" t="n">
        <v>1</v>
      </c>
      <c r="AI22" t="n">
        <v>0.55</v>
      </c>
      <c r="AJ22" t="b">
        <v>1</v>
      </c>
      <c r="AK22" t="n">
        <v>0.65</v>
      </c>
      <c r="AL22" t="n">
        <v>0.20625</v>
      </c>
      <c r="AM22" t="n">
        <v>0.20625</v>
      </c>
      <c r="AN22" t="n">
        <v>1</v>
      </c>
      <c r="AO22" t="n">
        <v>0.65</v>
      </c>
    </row>
    <row r="23">
      <c r="A23" s="275" t="inlineStr">
        <is>
          <t>Nation-state</t>
        </is>
      </c>
      <c r="B23" s="276" t="inlineStr">
        <is>
          <t>Sensitive-data compromise</t>
        </is>
      </c>
      <c r="C23" s="276" t="inlineStr">
        <is>
          <t>User endpoint and social engineering</t>
        </is>
      </c>
      <c r="D23" s="276" t="b">
        <v>1</v>
      </c>
      <c r="E23" s="276" t="n">
        <v>0.006537735849056604</v>
      </c>
      <c r="F23" s="276" t="n">
        <v>1</v>
      </c>
      <c r="G23" s="276" t="n">
        <v>0.025515</v>
      </c>
      <c r="H23" s="276" t="n">
        <v>1</v>
      </c>
      <c r="I23" s="276" t="n">
        <v>1</v>
      </c>
      <c r="J23" s="276" t="n">
        <v>1</v>
      </c>
      <c r="K23" s="276" t="n">
        <v>1</v>
      </c>
      <c r="L23" s="276" t="b">
        <v>1</v>
      </c>
      <c r="M23" s="276" t="n">
        <v>0.35</v>
      </c>
      <c r="N23" s="276" t="n">
        <v>0.20625</v>
      </c>
      <c r="O23" s="276" t="n">
        <v>0.20625</v>
      </c>
      <c r="P23" s="276" t="n">
        <v>1</v>
      </c>
      <c r="Q23" s="276" t="n">
        <v>0.35</v>
      </c>
      <c r="R23" s="276" t="b">
        <v>1</v>
      </c>
      <c r="S23" s="276" t="n">
        <v>0.6</v>
      </c>
      <c r="T23" s="276" t="n">
        <v>0.2124374569163603</v>
      </c>
      <c r="U23" s="276" t="n">
        <v>0.2124374569163603</v>
      </c>
      <c r="V23" s="276" t="n">
        <v>1</v>
      </c>
      <c r="W23" s="276" t="n">
        <v>0.6</v>
      </c>
      <c r="X23" s="276" t="b">
        <v>1</v>
      </c>
      <c r="Y23" s="276" t="n">
        <v>0.45</v>
      </c>
      <c r="Z23" s="277" t="n">
        <v>0.2216183303833008</v>
      </c>
      <c r="AA23" t="n">
        <v>0.2216183303833008</v>
      </c>
      <c r="AB23" t="n">
        <v>1</v>
      </c>
      <c r="AC23" t="n">
        <v>0.45</v>
      </c>
      <c r="AD23" t="b">
        <v>1</v>
      </c>
      <c r="AE23" t="n">
        <v>0.45</v>
      </c>
      <c r="AF23" t="n">
        <v>0.1789397321428572</v>
      </c>
      <c r="AG23" t="n">
        <v>0.1789397321428572</v>
      </c>
      <c r="AH23" t="n">
        <v>1</v>
      </c>
      <c r="AI23" t="n">
        <v>0.45</v>
      </c>
      <c r="AJ23" t="b">
        <v>1</v>
      </c>
      <c r="AK23" t="n">
        <v>0.6</v>
      </c>
      <c r="AL23" t="n">
        <v>0.20625</v>
      </c>
      <c r="AM23" t="n">
        <v>0.20625</v>
      </c>
      <c r="AN23" t="n">
        <v>1</v>
      </c>
      <c r="AO23" t="n">
        <v>0.6</v>
      </c>
    </row>
    <row r="24">
      <c r="A24" s="275" t="inlineStr">
        <is>
          <t>Nation-state</t>
        </is>
      </c>
      <c r="B24" s="276" t="inlineStr">
        <is>
          <t>Sensitive-data compromise</t>
        </is>
      </c>
      <c r="C24" s="276" t="inlineStr">
        <is>
          <t>Public-facing application exploitation</t>
        </is>
      </c>
      <c r="D24" s="276" t="b">
        <v>1</v>
      </c>
      <c r="E24" s="276" t="n">
        <v>0.01139150943396226</v>
      </c>
      <c r="F24" s="276" t="n">
        <v>1</v>
      </c>
      <c r="G24" s="276" t="n">
        <v>0.02025</v>
      </c>
      <c r="H24" s="276" t="n">
        <v>1</v>
      </c>
      <c r="I24" s="276" t="n">
        <v>1</v>
      </c>
      <c r="J24" s="276" t="n">
        <v>1</v>
      </c>
      <c r="K24" s="276" t="n">
        <v>1</v>
      </c>
      <c r="L24" s="276" t="b">
        <v>1</v>
      </c>
      <c r="M24" s="276" t="n">
        <v>0.25</v>
      </c>
      <c r="N24" s="276" t="n">
        <v>0.2496630477905274</v>
      </c>
      <c r="O24" s="276" t="n">
        <v>0.2496630477905274</v>
      </c>
      <c r="P24" s="276" t="n">
        <v>1</v>
      </c>
      <c r="Q24" s="276" t="n">
        <v>0.25</v>
      </c>
      <c r="R24" s="276" t="b">
        <v>1</v>
      </c>
      <c r="S24" s="276" t="n">
        <v>0.6</v>
      </c>
      <c r="T24" s="276" t="n">
        <v>0.1875</v>
      </c>
      <c r="U24" s="276" t="n">
        <v>0.1875</v>
      </c>
      <c r="V24" s="276" t="n">
        <v>1</v>
      </c>
      <c r="W24" s="276" t="n">
        <v>0.6</v>
      </c>
      <c r="X24" s="276" t="b">
        <v>1</v>
      </c>
      <c r="Y24" s="276" t="n">
        <v>0.5</v>
      </c>
      <c r="Z24" s="277" t="n">
        <v>0.2199757778461163</v>
      </c>
      <c r="AA24" t="n">
        <v>0.2199757778461163</v>
      </c>
      <c r="AB24" t="n">
        <v>1</v>
      </c>
      <c r="AC24" t="n">
        <v>0.5</v>
      </c>
      <c r="AD24" t="b">
        <v>1</v>
      </c>
      <c r="AE24" t="n">
        <v>0.45</v>
      </c>
      <c r="AF24" t="n">
        <v>0.1907346013939899</v>
      </c>
      <c r="AG24" t="n">
        <v>0.1907346013939899</v>
      </c>
      <c r="AH24" t="n">
        <v>1</v>
      </c>
      <c r="AI24" t="n">
        <v>0.45</v>
      </c>
      <c r="AJ24" t="b">
        <v>1</v>
      </c>
      <c r="AK24" t="n">
        <v>0.6</v>
      </c>
      <c r="AL24" t="n">
        <v>0.20625</v>
      </c>
      <c r="AM24" t="n">
        <v>0.20625</v>
      </c>
      <c r="AN24" t="n">
        <v>1</v>
      </c>
      <c r="AO24" t="n">
        <v>0.6</v>
      </c>
    </row>
    <row r="25">
      <c r="A25" s="275" t="inlineStr">
        <is>
          <t>Nation-state</t>
        </is>
      </c>
      <c r="B25" s="276" t="inlineStr">
        <is>
          <t>Sensitive-data compromise</t>
        </is>
      </c>
      <c r="C25" s="276" t="inlineStr">
        <is>
          <t>Third-party or software supply chain</t>
        </is>
      </c>
      <c r="D25" s="276" t="b">
        <v>1</v>
      </c>
      <c r="E25" s="276" t="n">
        <v>0.008419811320754717</v>
      </c>
      <c r="F25" s="276" t="n">
        <v>1</v>
      </c>
      <c r="G25" s="276" t="n">
        <v>0.196625</v>
      </c>
      <c r="H25" s="276" t="n">
        <v>1</v>
      </c>
      <c r="I25" s="276" t="n">
        <v>1</v>
      </c>
      <c r="J25" s="276" t="n">
        <v>1</v>
      </c>
      <c r="K25" s="276" t="n">
        <v>1</v>
      </c>
      <c r="L25" s="276" t="b">
        <v>0</v>
      </c>
      <c r="M25" s="276" t="n">
        <v>1</v>
      </c>
      <c r="N25" s="276" t="n">
        <v>0</v>
      </c>
      <c r="O25" s="276" t="n">
        <v>0</v>
      </c>
      <c r="P25" s="276" t="n">
        <v>1</v>
      </c>
      <c r="Q25" s="276" t="n">
        <v>1</v>
      </c>
      <c r="R25" s="276" t="b">
        <v>0</v>
      </c>
      <c r="S25" s="276" t="n">
        <v>1</v>
      </c>
      <c r="T25" s="276" t="n">
        <v>0</v>
      </c>
      <c r="U25" s="276" t="n">
        <v>0</v>
      </c>
      <c r="V25" s="276" t="n">
        <v>1</v>
      </c>
      <c r="W25" s="276" t="n">
        <v>1</v>
      </c>
      <c r="X25" s="276" t="b">
        <v>1</v>
      </c>
      <c r="Y25" s="276" t="n">
        <v>0.55</v>
      </c>
      <c r="Z25" s="277" t="n">
        <v>0.22181427526474</v>
      </c>
      <c r="AA25" t="n">
        <v>0.22181427526474</v>
      </c>
      <c r="AB25" t="n">
        <v>1</v>
      </c>
      <c r="AC25" t="n">
        <v>0.55</v>
      </c>
      <c r="AD25" t="b">
        <v>1</v>
      </c>
      <c r="AE25" t="n">
        <v>0.55</v>
      </c>
      <c r="AF25" t="n">
        <v>0.10376953125</v>
      </c>
      <c r="AG25" t="n">
        <v>0.10376953125</v>
      </c>
      <c r="AH25" t="n">
        <v>1</v>
      </c>
      <c r="AI25" t="n">
        <v>0.55</v>
      </c>
      <c r="AJ25" t="b">
        <v>1</v>
      </c>
      <c r="AK25" t="n">
        <v>0.65</v>
      </c>
      <c r="AL25" t="n">
        <v>0.20625</v>
      </c>
      <c r="AM25" t="n">
        <v>0.20625</v>
      </c>
      <c r="AN25" t="n">
        <v>1</v>
      </c>
      <c r="AO25" t="n">
        <v>0.65</v>
      </c>
    </row>
    <row r="26">
      <c r="A26" s="275" t="inlineStr">
        <is>
          <t>Nation-state</t>
        </is>
      </c>
      <c r="B26" s="276" t="inlineStr">
        <is>
          <t>Sensitive-data compromise</t>
        </is>
      </c>
      <c r="C26" s="276" t="inlineStr">
        <is>
          <t>Direct availability or DDoS</t>
        </is>
      </c>
      <c r="D26" s="276" t="b">
        <v>0</v>
      </c>
      <c r="E26" s="276" t="n">
        <v>0</v>
      </c>
      <c r="F26" s="276" t="n">
        <v>1</v>
      </c>
      <c r="G26" s="276" t="n">
        <v>0</v>
      </c>
      <c r="H26" s="276" t="n">
        <v>1</v>
      </c>
      <c r="I26" s="276" t="n">
        <v>1</v>
      </c>
      <c r="J26" s="276" t="n">
        <v>1</v>
      </c>
      <c r="K26" s="276" t="n">
        <v>1</v>
      </c>
      <c r="L26" s="276" t="b">
        <v>0</v>
      </c>
      <c r="M26" s="276" t="n">
        <v>1</v>
      </c>
      <c r="N26" s="276" t="n">
        <v>0</v>
      </c>
      <c r="O26" s="276" t="n">
        <v>0</v>
      </c>
      <c r="P26" s="276" t="n">
        <v>1</v>
      </c>
      <c r="Q26" s="276" t="n">
        <v>1</v>
      </c>
      <c r="R26" s="276" t="b">
        <v>0</v>
      </c>
      <c r="S26" s="276" t="n">
        <v>1</v>
      </c>
      <c r="T26" s="276" t="n">
        <v>0</v>
      </c>
      <c r="U26" s="276" t="n">
        <v>0</v>
      </c>
      <c r="V26" s="276" t="n">
        <v>1</v>
      </c>
      <c r="W26" s="276" t="n">
        <v>1</v>
      </c>
      <c r="X26" s="276" t="b">
        <v>0</v>
      </c>
      <c r="Y26" s="276" t="n">
        <v>1</v>
      </c>
      <c r="Z26" s="277" t="n">
        <v>0</v>
      </c>
      <c r="AA26" t="n">
        <v>0</v>
      </c>
      <c r="AB26" t="n">
        <v>1</v>
      </c>
      <c r="AC26" t="n">
        <v>1</v>
      </c>
      <c r="AD26" t="b">
        <v>0</v>
      </c>
      <c r="AE26" t="n">
        <v>1</v>
      </c>
      <c r="AF26" t="n">
        <v>0</v>
      </c>
      <c r="AG26" t="n">
        <v>0</v>
      </c>
      <c r="AH26" t="n">
        <v>1</v>
      </c>
      <c r="AI26" t="n">
        <v>1</v>
      </c>
      <c r="AJ26" t="b">
        <v>0</v>
      </c>
      <c r="AK26" t="n">
        <v>1</v>
      </c>
      <c r="AL26" t="n">
        <v>0</v>
      </c>
      <c r="AM26" t="n">
        <v>0</v>
      </c>
      <c r="AN26" t="n">
        <v>1</v>
      </c>
      <c r="AO26" t="n">
        <v>1</v>
      </c>
    </row>
    <row r="27">
      <c r="A27" s="275" t="inlineStr">
        <is>
          <t>Nation-state</t>
        </is>
      </c>
      <c r="B27" s="276" t="inlineStr">
        <is>
          <t>Sensitive-data compromise</t>
        </is>
      </c>
      <c r="C27" s="276" t="inlineStr">
        <is>
          <t>Insider or trusted access</t>
        </is>
      </c>
      <c r="D27" s="276" t="b">
        <v>1</v>
      </c>
      <c r="E27" s="276" t="n">
        <v>0.0007924528301886791</v>
      </c>
      <c r="F27" s="276" t="n">
        <v>1</v>
      </c>
      <c r="G27" s="276" t="n">
        <v>0.29575</v>
      </c>
      <c r="H27" s="276" t="n">
        <v>1</v>
      </c>
      <c r="I27" s="276" t="n">
        <v>1</v>
      </c>
      <c r="J27" s="276" t="n">
        <v>1</v>
      </c>
      <c r="K27" s="276" t="n">
        <v>1</v>
      </c>
      <c r="L27" s="276" t="b">
        <v>0</v>
      </c>
      <c r="M27" s="276" t="n">
        <v>1</v>
      </c>
      <c r="N27" s="276" t="n">
        <v>0</v>
      </c>
      <c r="O27" s="276" t="n">
        <v>0</v>
      </c>
      <c r="P27" s="276" t="n">
        <v>1</v>
      </c>
      <c r="Q27" s="276" t="n">
        <v>1</v>
      </c>
      <c r="R27" s="276" t="b">
        <v>0</v>
      </c>
      <c r="S27" s="276" t="n">
        <v>1</v>
      </c>
      <c r="T27" s="276" t="n">
        <v>0</v>
      </c>
      <c r="U27" s="276" t="n">
        <v>0</v>
      </c>
      <c r="V27" s="276" t="n">
        <v>1</v>
      </c>
      <c r="W27" s="276" t="n">
        <v>1</v>
      </c>
      <c r="X27" s="276" t="b">
        <v>1</v>
      </c>
      <c r="Y27" s="276" t="n">
        <v>0.7</v>
      </c>
      <c r="Z27" s="277" t="n">
        <v>0.2477547340393066</v>
      </c>
      <c r="AA27" t="n">
        <v>0.2477547340393066</v>
      </c>
      <c r="AB27" t="n">
        <v>1</v>
      </c>
      <c r="AC27" t="n">
        <v>0.7</v>
      </c>
      <c r="AD27" t="b">
        <v>1</v>
      </c>
      <c r="AE27" t="n">
        <v>0.65</v>
      </c>
      <c r="AF27" t="n">
        <v>0.106734375</v>
      </c>
      <c r="AG27" t="n">
        <v>0.106734375</v>
      </c>
      <c r="AH27" t="n">
        <v>1</v>
      </c>
      <c r="AI27" t="n">
        <v>0.65</v>
      </c>
      <c r="AJ27" t="b">
        <v>1</v>
      </c>
      <c r="AK27" t="n">
        <v>0.65</v>
      </c>
      <c r="AL27" t="n">
        <v>0.20625</v>
      </c>
      <c r="AM27" t="n">
        <v>0.20625</v>
      </c>
      <c r="AN27" t="n">
        <v>1</v>
      </c>
      <c r="AO27" t="n">
        <v>0.65</v>
      </c>
    </row>
    <row r="28">
      <c r="A28" s="275" t="inlineStr">
        <is>
          <t>Nation-state</t>
        </is>
      </c>
      <c r="B28" s="276" t="inlineStr">
        <is>
          <t>Data or transaction-integrity compromise</t>
        </is>
      </c>
      <c r="C28" s="276" t="inlineStr">
        <is>
          <t>Identity and credential compromise</t>
        </is>
      </c>
      <c r="D28" s="276" t="b">
        <v>1</v>
      </c>
      <c r="E28" s="276" t="n">
        <v>0.01047619047619047</v>
      </c>
      <c r="F28" s="276" t="n">
        <v>1</v>
      </c>
      <c r="G28" s="276" t="n">
        <v>0.05898750000000001</v>
      </c>
      <c r="H28" s="276" t="n">
        <v>1</v>
      </c>
      <c r="I28" s="276" t="n">
        <v>1</v>
      </c>
      <c r="J28" s="276" t="n">
        <v>1</v>
      </c>
      <c r="K28" s="276" t="n">
        <v>1</v>
      </c>
      <c r="L28" s="276" t="b">
        <v>1</v>
      </c>
      <c r="M28" s="276" t="n">
        <v>0.3</v>
      </c>
      <c r="N28" s="276" t="n">
        <v>0.2403645833333333</v>
      </c>
      <c r="O28" s="276" t="n">
        <v>0.2403645833333333</v>
      </c>
      <c r="P28" s="276" t="n">
        <v>1</v>
      </c>
      <c r="Q28" s="276" t="n">
        <v>0.3</v>
      </c>
      <c r="R28" s="276" t="b">
        <v>0</v>
      </c>
      <c r="S28" s="276" t="n">
        <v>1</v>
      </c>
      <c r="T28" s="276" t="n">
        <v>0</v>
      </c>
      <c r="U28" s="276" t="n">
        <v>0</v>
      </c>
      <c r="V28" s="276" t="n">
        <v>1</v>
      </c>
      <c r="W28" s="276" t="n">
        <v>1</v>
      </c>
      <c r="X28" s="276" t="b">
        <v>1</v>
      </c>
      <c r="Y28" s="276" t="n">
        <v>0.55</v>
      </c>
      <c r="Z28" s="277" t="n">
        <v>0.2477547340393066</v>
      </c>
      <c r="AA28" t="n">
        <v>0.2477547340393066</v>
      </c>
      <c r="AB28" t="n">
        <v>1</v>
      </c>
      <c r="AC28" t="n">
        <v>0.55</v>
      </c>
      <c r="AD28" t="b">
        <v>1</v>
      </c>
      <c r="AE28" t="n">
        <v>0.55</v>
      </c>
      <c r="AF28" t="n">
        <v>0.1016517857142858</v>
      </c>
      <c r="AG28" t="n">
        <v>0.1016517857142858</v>
      </c>
      <c r="AH28" t="n">
        <v>1</v>
      </c>
      <c r="AI28" t="n">
        <v>0.55</v>
      </c>
      <c r="AJ28" t="b">
        <v>1</v>
      </c>
      <c r="AK28" t="n">
        <v>0.65</v>
      </c>
      <c r="AL28" t="n">
        <v>0.1269045829772949</v>
      </c>
      <c r="AM28" t="n">
        <v>0.1269045829772949</v>
      </c>
      <c r="AN28" t="n">
        <v>1</v>
      </c>
      <c r="AO28" t="n">
        <v>0.65</v>
      </c>
    </row>
    <row r="29">
      <c r="A29" s="275" t="inlineStr">
        <is>
          <t>Nation-state</t>
        </is>
      </c>
      <c r="B29" s="276" t="inlineStr">
        <is>
          <t>Data or transaction-integrity compromise</t>
        </is>
      </c>
      <c r="C29" s="276" t="inlineStr">
        <is>
          <t>User endpoint and social engineering</t>
        </is>
      </c>
      <c r="D29" s="276" t="b">
        <v>1</v>
      </c>
      <c r="E29" s="276" t="n">
        <v>0.004285714285714285</v>
      </c>
      <c r="F29" s="276" t="n">
        <v>1</v>
      </c>
      <c r="G29" s="276" t="n">
        <v>0.025515</v>
      </c>
      <c r="H29" s="276" t="n">
        <v>1</v>
      </c>
      <c r="I29" s="276" t="n">
        <v>1</v>
      </c>
      <c r="J29" s="276" t="n">
        <v>1</v>
      </c>
      <c r="K29" s="276" t="n">
        <v>1</v>
      </c>
      <c r="L29" s="276" t="b">
        <v>1</v>
      </c>
      <c r="M29" s="276" t="n">
        <v>0.35</v>
      </c>
      <c r="N29" s="276" t="n">
        <v>0.20625</v>
      </c>
      <c r="O29" s="276" t="n">
        <v>0.20625</v>
      </c>
      <c r="P29" s="276" t="n">
        <v>1</v>
      </c>
      <c r="Q29" s="276" t="n">
        <v>0.35</v>
      </c>
      <c r="R29" s="276" t="b">
        <v>1</v>
      </c>
      <c r="S29" s="276" t="n">
        <v>0.6</v>
      </c>
      <c r="T29" s="276" t="n">
        <v>0.2124374569163603</v>
      </c>
      <c r="U29" s="276" t="n">
        <v>0.2124374569163603</v>
      </c>
      <c r="V29" s="276" t="n">
        <v>1</v>
      </c>
      <c r="W29" s="276" t="n">
        <v>0.6</v>
      </c>
      <c r="X29" s="276" t="b">
        <v>1</v>
      </c>
      <c r="Y29" s="276" t="n">
        <v>0.45</v>
      </c>
      <c r="Z29" s="277" t="n">
        <v>0.2216183303833008</v>
      </c>
      <c r="AA29" t="n">
        <v>0.2216183303833008</v>
      </c>
      <c r="AB29" t="n">
        <v>1</v>
      </c>
      <c r="AC29" t="n">
        <v>0.45</v>
      </c>
      <c r="AD29" t="b">
        <v>1</v>
      </c>
      <c r="AE29" t="n">
        <v>0.45</v>
      </c>
      <c r="AF29" t="n">
        <v>0.1789397321428572</v>
      </c>
      <c r="AG29" t="n">
        <v>0.1789397321428572</v>
      </c>
      <c r="AH29" t="n">
        <v>1</v>
      </c>
      <c r="AI29" t="n">
        <v>0.45</v>
      </c>
      <c r="AJ29" t="b">
        <v>1</v>
      </c>
      <c r="AK29" t="n">
        <v>0.6</v>
      </c>
      <c r="AL29" t="n">
        <v>0.1226516246795654</v>
      </c>
      <c r="AM29" t="n">
        <v>0.1226516246795654</v>
      </c>
      <c r="AN29" t="n">
        <v>1</v>
      </c>
      <c r="AO29" t="n">
        <v>0.6</v>
      </c>
    </row>
    <row r="30">
      <c r="A30" s="275" t="inlineStr">
        <is>
          <t>Nation-state</t>
        </is>
      </c>
      <c r="B30" s="276" t="inlineStr">
        <is>
          <t>Data or transaction-integrity compromise</t>
        </is>
      </c>
      <c r="C30" s="276" t="inlineStr">
        <is>
          <t>Public-facing application exploitation</t>
        </is>
      </c>
      <c r="D30" s="276" t="b">
        <v>1</v>
      </c>
      <c r="E30" s="276" t="n">
        <v>0.009523809523809523</v>
      </c>
      <c r="F30" s="276" t="n">
        <v>1</v>
      </c>
      <c r="G30" s="276" t="n">
        <v>0.02025</v>
      </c>
      <c r="H30" s="276" t="n">
        <v>1</v>
      </c>
      <c r="I30" s="276" t="n">
        <v>1</v>
      </c>
      <c r="J30" s="276" t="n">
        <v>1</v>
      </c>
      <c r="K30" s="276" t="n">
        <v>1</v>
      </c>
      <c r="L30" s="276" t="b">
        <v>1</v>
      </c>
      <c r="M30" s="276" t="n">
        <v>0.25</v>
      </c>
      <c r="N30" s="276" t="n">
        <v>0.2496630477905274</v>
      </c>
      <c r="O30" s="276" t="n">
        <v>0.2496630477905274</v>
      </c>
      <c r="P30" s="276" t="n">
        <v>1</v>
      </c>
      <c r="Q30" s="276" t="n">
        <v>0.25</v>
      </c>
      <c r="R30" s="276" t="b">
        <v>1</v>
      </c>
      <c r="S30" s="276" t="n">
        <v>0.6</v>
      </c>
      <c r="T30" s="276" t="n">
        <v>0.1875</v>
      </c>
      <c r="U30" s="276" t="n">
        <v>0.1875</v>
      </c>
      <c r="V30" s="276" t="n">
        <v>1</v>
      </c>
      <c r="W30" s="276" t="n">
        <v>0.6</v>
      </c>
      <c r="X30" s="276" t="b">
        <v>1</v>
      </c>
      <c r="Y30" s="276" t="n">
        <v>0.5</v>
      </c>
      <c r="Z30" s="277" t="n">
        <v>0.2199757778461163</v>
      </c>
      <c r="AA30" t="n">
        <v>0.2199757778461163</v>
      </c>
      <c r="AB30" t="n">
        <v>1</v>
      </c>
      <c r="AC30" t="n">
        <v>0.5</v>
      </c>
      <c r="AD30" t="b">
        <v>1</v>
      </c>
      <c r="AE30" t="n">
        <v>0.45</v>
      </c>
      <c r="AF30" t="n">
        <v>0.1907346013939899</v>
      </c>
      <c r="AG30" t="n">
        <v>0.1907346013939899</v>
      </c>
      <c r="AH30" t="n">
        <v>1</v>
      </c>
      <c r="AI30" t="n">
        <v>0.45</v>
      </c>
      <c r="AJ30" t="b">
        <v>1</v>
      </c>
      <c r="AK30" t="n">
        <v>0.6</v>
      </c>
      <c r="AL30" t="n">
        <v>0.1374199407240924</v>
      </c>
      <c r="AM30" t="n">
        <v>0.1374199407240924</v>
      </c>
      <c r="AN30" t="n">
        <v>1</v>
      </c>
      <c r="AO30" t="n">
        <v>0.6</v>
      </c>
    </row>
    <row r="31">
      <c r="A31" s="275" t="inlineStr">
        <is>
          <t>Nation-state</t>
        </is>
      </c>
      <c r="B31" s="276" t="inlineStr">
        <is>
          <t>Data or transaction-integrity compromise</t>
        </is>
      </c>
      <c r="C31" s="276" t="inlineStr">
        <is>
          <t>Third-party or software supply chain</t>
        </is>
      </c>
      <c r="D31" s="276" t="b">
        <v>1</v>
      </c>
      <c r="E31" s="276" t="n">
        <v>0.009523809523809523</v>
      </c>
      <c r="F31" s="276" t="n">
        <v>1</v>
      </c>
      <c r="G31" s="276" t="n">
        <v>0.196625</v>
      </c>
      <c r="H31" s="276" t="n">
        <v>1</v>
      </c>
      <c r="I31" s="276" t="n">
        <v>1</v>
      </c>
      <c r="J31" s="276" t="n">
        <v>1</v>
      </c>
      <c r="K31" s="276" t="n">
        <v>1</v>
      </c>
      <c r="L31" s="276" t="b">
        <v>0</v>
      </c>
      <c r="M31" s="276" t="n">
        <v>1</v>
      </c>
      <c r="N31" s="276" t="n">
        <v>0</v>
      </c>
      <c r="O31" s="276" t="n">
        <v>0</v>
      </c>
      <c r="P31" s="276" t="n">
        <v>1</v>
      </c>
      <c r="Q31" s="276" t="n">
        <v>1</v>
      </c>
      <c r="R31" s="276" t="b">
        <v>0</v>
      </c>
      <c r="S31" s="276" t="n">
        <v>1</v>
      </c>
      <c r="T31" s="276" t="n">
        <v>0</v>
      </c>
      <c r="U31" s="276" t="n">
        <v>0</v>
      </c>
      <c r="V31" s="276" t="n">
        <v>1</v>
      </c>
      <c r="W31" s="276" t="n">
        <v>1</v>
      </c>
      <c r="X31" s="276" t="b">
        <v>1</v>
      </c>
      <c r="Y31" s="276" t="n">
        <v>0.55</v>
      </c>
      <c r="Z31" s="277" t="n">
        <v>0.22181427526474</v>
      </c>
      <c r="AA31" t="n">
        <v>0.22181427526474</v>
      </c>
      <c r="AB31" t="n">
        <v>1</v>
      </c>
      <c r="AC31" t="n">
        <v>0.55</v>
      </c>
      <c r="AD31" t="b">
        <v>1</v>
      </c>
      <c r="AE31" t="n">
        <v>0.55</v>
      </c>
      <c r="AF31" t="n">
        <v>0.10376953125</v>
      </c>
      <c r="AG31" t="n">
        <v>0.10376953125</v>
      </c>
      <c r="AH31" t="n">
        <v>1</v>
      </c>
      <c r="AI31" t="n">
        <v>0.55</v>
      </c>
      <c r="AJ31" t="b">
        <v>1</v>
      </c>
      <c r="AK31" t="n">
        <v>0.65</v>
      </c>
      <c r="AL31" t="n">
        <v>0.1970353629372337</v>
      </c>
      <c r="AM31" t="n">
        <v>0.1970353629372337</v>
      </c>
      <c r="AN31" t="n">
        <v>1</v>
      </c>
      <c r="AO31" t="n">
        <v>0.65</v>
      </c>
    </row>
    <row r="32">
      <c r="A32" s="275" t="inlineStr">
        <is>
          <t>Nation-state</t>
        </is>
      </c>
      <c r="B32" s="276" t="inlineStr">
        <is>
          <t>Data or transaction-integrity compromise</t>
        </is>
      </c>
      <c r="C32" s="276" t="inlineStr">
        <is>
          <t>Direct availability or DDoS</t>
        </is>
      </c>
      <c r="D32" s="276" t="b">
        <v>0</v>
      </c>
      <c r="E32" s="276" t="n">
        <v>0</v>
      </c>
      <c r="F32" s="276" t="n">
        <v>1</v>
      </c>
      <c r="G32" s="276" t="n">
        <v>0</v>
      </c>
      <c r="H32" s="276" t="n">
        <v>1</v>
      </c>
      <c r="I32" s="276" t="n">
        <v>1</v>
      </c>
      <c r="J32" s="276" t="n">
        <v>1</v>
      </c>
      <c r="K32" s="276" t="n">
        <v>1</v>
      </c>
      <c r="L32" s="276" t="b">
        <v>0</v>
      </c>
      <c r="M32" s="276" t="n">
        <v>1</v>
      </c>
      <c r="N32" s="276" t="n">
        <v>0</v>
      </c>
      <c r="O32" s="276" t="n">
        <v>0</v>
      </c>
      <c r="P32" s="276" t="n">
        <v>1</v>
      </c>
      <c r="Q32" s="276" t="n">
        <v>1</v>
      </c>
      <c r="R32" s="276" t="b">
        <v>0</v>
      </c>
      <c r="S32" s="276" t="n">
        <v>1</v>
      </c>
      <c r="T32" s="276" t="n">
        <v>0</v>
      </c>
      <c r="U32" s="276" t="n">
        <v>0</v>
      </c>
      <c r="V32" s="276" t="n">
        <v>1</v>
      </c>
      <c r="W32" s="276" t="n">
        <v>1</v>
      </c>
      <c r="X32" s="276" t="b">
        <v>0</v>
      </c>
      <c r="Y32" s="276" t="n">
        <v>1</v>
      </c>
      <c r="Z32" s="277" t="n">
        <v>0</v>
      </c>
      <c r="AA32" t="n">
        <v>0</v>
      </c>
      <c r="AB32" t="n">
        <v>1</v>
      </c>
      <c r="AC32" t="n">
        <v>1</v>
      </c>
      <c r="AD32" t="b">
        <v>0</v>
      </c>
      <c r="AE32" t="n">
        <v>1</v>
      </c>
      <c r="AF32" t="n">
        <v>0</v>
      </c>
      <c r="AG32" t="n">
        <v>0</v>
      </c>
      <c r="AH32" t="n">
        <v>1</v>
      </c>
      <c r="AI32" t="n">
        <v>1</v>
      </c>
      <c r="AJ32" t="b">
        <v>0</v>
      </c>
      <c r="AK32" t="n">
        <v>1</v>
      </c>
      <c r="AL32" t="n">
        <v>0</v>
      </c>
      <c r="AM32" t="n">
        <v>0</v>
      </c>
      <c r="AN32" t="n">
        <v>1</v>
      </c>
      <c r="AO32" t="n">
        <v>1</v>
      </c>
    </row>
    <row r="33">
      <c r="A33" s="275" t="inlineStr">
        <is>
          <t>Nation-state</t>
        </is>
      </c>
      <c r="B33" s="276" t="inlineStr">
        <is>
          <t>Data or transaction-integrity compromise</t>
        </is>
      </c>
      <c r="C33" s="276" t="inlineStr">
        <is>
          <t>Insider or trusted access</t>
        </is>
      </c>
      <c r="D33" s="276" t="b">
        <v>1</v>
      </c>
      <c r="E33" s="276" t="n">
        <v>0.002190476190476191</v>
      </c>
      <c r="F33" s="276" t="n">
        <v>1</v>
      </c>
      <c r="G33" s="276" t="n">
        <v>0.29575</v>
      </c>
      <c r="H33" s="276" t="n">
        <v>1</v>
      </c>
      <c r="I33" s="276" t="n">
        <v>1</v>
      </c>
      <c r="J33" s="276" t="n">
        <v>1</v>
      </c>
      <c r="K33" s="276" t="n">
        <v>1</v>
      </c>
      <c r="L33" s="276" t="b">
        <v>0</v>
      </c>
      <c r="M33" s="276" t="n">
        <v>1</v>
      </c>
      <c r="N33" s="276" t="n">
        <v>0</v>
      </c>
      <c r="O33" s="276" t="n">
        <v>0</v>
      </c>
      <c r="P33" s="276" t="n">
        <v>1</v>
      </c>
      <c r="Q33" s="276" t="n">
        <v>1</v>
      </c>
      <c r="R33" s="276" t="b">
        <v>0</v>
      </c>
      <c r="S33" s="276" t="n">
        <v>1</v>
      </c>
      <c r="T33" s="276" t="n">
        <v>0</v>
      </c>
      <c r="U33" s="276" t="n">
        <v>0</v>
      </c>
      <c r="V33" s="276" t="n">
        <v>1</v>
      </c>
      <c r="W33" s="276" t="n">
        <v>1</v>
      </c>
      <c r="X33" s="276" t="b">
        <v>1</v>
      </c>
      <c r="Y33" s="276" t="n">
        <v>0.7</v>
      </c>
      <c r="Z33" s="277" t="n">
        <v>0.2477547340393066</v>
      </c>
      <c r="AA33" t="n">
        <v>0.2477547340393066</v>
      </c>
      <c r="AB33" t="n">
        <v>1</v>
      </c>
      <c r="AC33" t="n">
        <v>0.7</v>
      </c>
      <c r="AD33" t="b">
        <v>1</v>
      </c>
      <c r="AE33" t="n">
        <v>0.65</v>
      </c>
      <c r="AF33" t="n">
        <v>0.106734375</v>
      </c>
      <c r="AG33" t="n">
        <v>0.106734375</v>
      </c>
      <c r="AH33" t="n">
        <v>1</v>
      </c>
      <c r="AI33" t="n">
        <v>0.65</v>
      </c>
      <c r="AJ33" t="b">
        <v>1</v>
      </c>
      <c r="AK33" t="n">
        <v>0.65</v>
      </c>
      <c r="AL33" t="n">
        <v>0.2206064987182617</v>
      </c>
      <c r="AM33" t="n">
        <v>0.2206064987182617</v>
      </c>
      <c r="AN33" t="n">
        <v>1</v>
      </c>
      <c r="AO33" t="n">
        <v>0.65</v>
      </c>
    </row>
    <row r="34">
      <c r="A34" s="275" t="inlineStr">
        <is>
          <t>Nation-state</t>
        </is>
      </c>
      <c r="B34" s="276" t="inlineStr">
        <is>
          <t>Cyber-enabled theft or fraud</t>
        </is>
      </c>
      <c r="C34" s="276" t="inlineStr">
        <is>
          <t>Identity and credential compromise</t>
        </is>
      </c>
      <c r="D34" s="276" t="b">
        <v>1</v>
      </c>
      <c r="E34" s="276" t="n">
        <v>0.005865921787709497</v>
      </c>
      <c r="F34" s="276" t="n">
        <v>1</v>
      </c>
      <c r="G34" s="276" t="n">
        <v>0.10725</v>
      </c>
      <c r="H34" s="276" t="n">
        <v>1</v>
      </c>
      <c r="I34" s="276" t="n">
        <v>1</v>
      </c>
      <c r="J34" s="276" t="n">
        <v>1</v>
      </c>
      <c r="K34" s="276" t="n">
        <v>1</v>
      </c>
      <c r="L34" s="276" t="b">
        <v>1</v>
      </c>
      <c r="M34" s="276" t="n">
        <v>0.3</v>
      </c>
      <c r="N34" s="276" t="n">
        <v>0.2403645833333333</v>
      </c>
      <c r="O34" s="276" t="n">
        <v>0.2403645833333333</v>
      </c>
      <c r="P34" s="276" t="n">
        <v>1</v>
      </c>
      <c r="Q34" s="276" t="n">
        <v>0.3</v>
      </c>
      <c r="R34" s="276" t="b">
        <v>0</v>
      </c>
      <c r="S34" s="276" t="n">
        <v>1</v>
      </c>
      <c r="T34" s="276" t="n">
        <v>0</v>
      </c>
      <c r="U34" s="276" t="n">
        <v>0</v>
      </c>
      <c r="V34" s="276" t="n">
        <v>1</v>
      </c>
      <c r="W34" s="276" t="n">
        <v>1</v>
      </c>
      <c r="X34" s="276" t="b">
        <v>1</v>
      </c>
      <c r="Y34" s="276" t="n">
        <v>0.55</v>
      </c>
      <c r="Z34" s="277" t="n">
        <v>0.2477547340393066</v>
      </c>
      <c r="AA34" t="n">
        <v>0.2477547340393066</v>
      </c>
      <c r="AB34" t="n">
        <v>1</v>
      </c>
      <c r="AC34" t="n">
        <v>0.55</v>
      </c>
      <c r="AD34" t="b">
        <v>0</v>
      </c>
      <c r="AE34" t="n">
        <v>1</v>
      </c>
      <c r="AF34" t="n">
        <v>0</v>
      </c>
      <c r="AG34" t="n">
        <v>0</v>
      </c>
      <c r="AH34" t="n">
        <v>1</v>
      </c>
      <c r="AI34" t="n">
        <v>1</v>
      </c>
      <c r="AJ34" t="b">
        <v>1</v>
      </c>
      <c r="AK34" t="n">
        <v>0.65</v>
      </c>
      <c r="AL34" t="n">
        <v>0.2544820668147161</v>
      </c>
      <c r="AM34" t="n">
        <v>0.2544820668147161</v>
      </c>
      <c r="AN34" t="n">
        <v>1</v>
      </c>
      <c r="AO34" t="n">
        <v>0.65</v>
      </c>
    </row>
    <row r="35">
      <c r="A35" s="275" t="inlineStr">
        <is>
          <t>Nation-state</t>
        </is>
      </c>
      <c r="B35" s="276" t="inlineStr">
        <is>
          <t>Cyber-enabled theft or fraud</t>
        </is>
      </c>
      <c r="C35" s="276" t="inlineStr">
        <is>
          <t>User endpoint and social engineering</t>
        </is>
      </c>
      <c r="D35" s="276" t="b">
        <v>1</v>
      </c>
      <c r="E35" s="276" t="n">
        <v>0.001508379888268157</v>
      </c>
      <c r="F35" s="276" t="n">
        <v>1</v>
      </c>
      <c r="G35" s="276" t="n">
        <v>0.126</v>
      </c>
      <c r="H35" s="276" t="n">
        <v>1</v>
      </c>
      <c r="I35" s="276" t="n">
        <v>1</v>
      </c>
      <c r="J35" s="276" t="n">
        <v>1</v>
      </c>
      <c r="K35" s="276" t="n">
        <v>1</v>
      </c>
      <c r="L35" s="276" t="b">
        <v>1</v>
      </c>
      <c r="M35" s="276" t="n">
        <v>0.35</v>
      </c>
      <c r="N35" s="276" t="n">
        <v>0.20625</v>
      </c>
      <c r="O35" s="276" t="n">
        <v>0.20625</v>
      </c>
      <c r="P35" s="276" t="n">
        <v>1</v>
      </c>
      <c r="Q35" s="276" t="n">
        <v>0.35</v>
      </c>
      <c r="R35" s="276" t="b">
        <v>1</v>
      </c>
      <c r="S35" s="276" t="n">
        <v>0.6</v>
      </c>
      <c r="T35" s="276" t="n">
        <v>0.2124374569163603</v>
      </c>
      <c r="U35" s="276" t="n">
        <v>0.2124374569163603</v>
      </c>
      <c r="V35" s="276" t="n">
        <v>1</v>
      </c>
      <c r="W35" s="276" t="n">
        <v>0.6</v>
      </c>
      <c r="X35" s="276" t="b">
        <v>0</v>
      </c>
      <c r="Y35" s="276" t="n">
        <v>1</v>
      </c>
      <c r="Z35" s="277" t="n">
        <v>0</v>
      </c>
      <c r="AA35" t="n">
        <v>0</v>
      </c>
      <c r="AB35" t="n">
        <v>1</v>
      </c>
      <c r="AC35" t="n">
        <v>1</v>
      </c>
      <c r="AD35" t="b">
        <v>0</v>
      </c>
      <c r="AE35" t="n">
        <v>1</v>
      </c>
      <c r="AF35" t="n">
        <v>0</v>
      </c>
      <c r="AG35" t="n">
        <v>0</v>
      </c>
      <c r="AH35" t="n">
        <v>1</v>
      </c>
      <c r="AI35" t="n">
        <v>1</v>
      </c>
      <c r="AJ35" t="b">
        <v>1</v>
      </c>
      <c r="AK35" t="n">
        <v>0.6</v>
      </c>
      <c r="AL35" t="n">
        <v>0.2481303977966309</v>
      </c>
      <c r="AM35" t="n">
        <v>0.2481303977966309</v>
      </c>
      <c r="AN35" t="n">
        <v>1</v>
      </c>
      <c r="AO35" t="n">
        <v>0.6</v>
      </c>
    </row>
    <row r="36">
      <c r="A36" s="275" t="inlineStr">
        <is>
          <t>Nation-state</t>
        </is>
      </c>
      <c r="B36" s="276" t="inlineStr">
        <is>
          <t>Cyber-enabled theft or fraud</t>
        </is>
      </c>
      <c r="C36" s="276" t="inlineStr">
        <is>
          <t>Public-facing application exploitation</t>
        </is>
      </c>
      <c r="D36" s="276" t="b">
        <v>1</v>
      </c>
      <c r="E36" s="276" t="n">
        <v>0.002011173184357542</v>
      </c>
      <c r="F36" s="276" t="n">
        <v>1</v>
      </c>
      <c r="G36" s="276" t="n">
        <v>0.02025</v>
      </c>
      <c r="H36" s="276" t="n">
        <v>1</v>
      </c>
      <c r="I36" s="276" t="n">
        <v>1</v>
      </c>
      <c r="J36" s="276" t="n">
        <v>1</v>
      </c>
      <c r="K36" s="276" t="n">
        <v>1</v>
      </c>
      <c r="L36" s="276" t="b">
        <v>1</v>
      </c>
      <c r="M36" s="276" t="n">
        <v>0.25</v>
      </c>
      <c r="N36" s="276" t="n">
        <v>0.2496630477905274</v>
      </c>
      <c r="O36" s="276" t="n">
        <v>0.2496630477905274</v>
      </c>
      <c r="P36" s="276" t="n">
        <v>1</v>
      </c>
      <c r="Q36" s="276" t="n">
        <v>0.25</v>
      </c>
      <c r="R36" s="276" t="b">
        <v>1</v>
      </c>
      <c r="S36" s="276" t="n">
        <v>0.6</v>
      </c>
      <c r="T36" s="276" t="n">
        <v>0.1875</v>
      </c>
      <c r="U36" s="276" t="n">
        <v>0.1875</v>
      </c>
      <c r="V36" s="276" t="n">
        <v>1</v>
      </c>
      <c r="W36" s="276" t="n">
        <v>0.6</v>
      </c>
      <c r="X36" s="276" t="b">
        <v>1</v>
      </c>
      <c r="Y36" s="276" t="n">
        <v>0.5</v>
      </c>
      <c r="Z36" s="277" t="n">
        <v>0.2199757778461163</v>
      </c>
      <c r="AA36" t="n">
        <v>0.2199757778461163</v>
      </c>
      <c r="AB36" t="n">
        <v>1</v>
      </c>
      <c r="AC36" t="n">
        <v>0.5</v>
      </c>
      <c r="AD36" t="b">
        <v>1</v>
      </c>
      <c r="AE36" t="n">
        <v>0.45</v>
      </c>
      <c r="AF36" t="n">
        <v>0.1907346013939899</v>
      </c>
      <c r="AG36" t="n">
        <v>0.1907346013939899</v>
      </c>
      <c r="AH36" t="n">
        <v>1</v>
      </c>
      <c r="AI36" t="n">
        <v>0.45</v>
      </c>
      <c r="AJ36" t="b">
        <v>1</v>
      </c>
      <c r="AK36" t="n">
        <v>0.6</v>
      </c>
      <c r="AL36" t="n">
        <v>0.2426256179809571</v>
      </c>
      <c r="AM36" t="n">
        <v>0.2426256179809571</v>
      </c>
      <c r="AN36" t="n">
        <v>1</v>
      </c>
      <c r="AO36" t="n">
        <v>0.6</v>
      </c>
    </row>
    <row r="37">
      <c r="A37" s="275" t="inlineStr">
        <is>
          <t>Nation-state</t>
        </is>
      </c>
      <c r="B37" s="276" t="inlineStr">
        <is>
          <t>Cyber-enabled theft or fraud</t>
        </is>
      </c>
      <c r="C37" s="276" t="inlineStr">
        <is>
          <t>Third-party or software supply chain</t>
        </is>
      </c>
      <c r="D37" s="276" t="b">
        <v>1</v>
      </c>
      <c r="E37" s="276" t="n">
        <v>0.001675977653631285</v>
      </c>
      <c r="F37" s="276" t="n">
        <v>1</v>
      </c>
      <c r="G37" s="276" t="n">
        <v>0.196625</v>
      </c>
      <c r="H37" s="276" t="n">
        <v>1</v>
      </c>
      <c r="I37" s="276" t="n">
        <v>1</v>
      </c>
      <c r="J37" s="276" t="n">
        <v>1</v>
      </c>
      <c r="K37" s="276" t="n">
        <v>1</v>
      </c>
      <c r="L37" s="276" t="b">
        <v>0</v>
      </c>
      <c r="M37" s="276" t="n">
        <v>1</v>
      </c>
      <c r="N37" s="276" t="n">
        <v>0</v>
      </c>
      <c r="O37" s="276" t="n">
        <v>0</v>
      </c>
      <c r="P37" s="276" t="n">
        <v>1</v>
      </c>
      <c r="Q37" s="276" t="n">
        <v>1</v>
      </c>
      <c r="R37" s="276" t="b">
        <v>0</v>
      </c>
      <c r="S37" s="276" t="n">
        <v>1</v>
      </c>
      <c r="T37" s="276" t="n">
        <v>0</v>
      </c>
      <c r="U37" s="276" t="n">
        <v>0</v>
      </c>
      <c r="V37" s="276" t="n">
        <v>1</v>
      </c>
      <c r="W37" s="276" t="n">
        <v>1</v>
      </c>
      <c r="X37" s="276" t="b">
        <v>1</v>
      </c>
      <c r="Y37" s="276" t="n">
        <v>0.55</v>
      </c>
      <c r="Z37" s="277" t="n">
        <v>0.22181427526474</v>
      </c>
      <c r="AA37" t="n">
        <v>0.22181427526474</v>
      </c>
      <c r="AB37" t="n">
        <v>1</v>
      </c>
      <c r="AC37" t="n">
        <v>0.55</v>
      </c>
      <c r="AD37" t="b">
        <v>1</v>
      </c>
      <c r="AE37" t="n">
        <v>0.55</v>
      </c>
      <c r="AF37" t="n">
        <v>0.10376953125</v>
      </c>
      <c r="AG37" t="n">
        <v>0.10376953125</v>
      </c>
      <c r="AH37" t="n">
        <v>1</v>
      </c>
      <c r="AI37" t="n">
        <v>0.55</v>
      </c>
      <c r="AJ37" t="b">
        <v>1</v>
      </c>
      <c r="AK37" t="n">
        <v>0.65</v>
      </c>
      <c r="AL37" t="n">
        <v>0.2456282251531427</v>
      </c>
      <c r="AM37" t="n">
        <v>0.2456282251531427</v>
      </c>
      <c r="AN37" t="n">
        <v>1</v>
      </c>
      <c r="AO37" t="n">
        <v>0.65</v>
      </c>
    </row>
    <row r="38">
      <c r="A38" s="275" t="inlineStr">
        <is>
          <t>Nation-state</t>
        </is>
      </c>
      <c r="B38" s="276" t="inlineStr">
        <is>
          <t>Cyber-enabled theft or fraud</t>
        </is>
      </c>
      <c r="C38" s="276" t="inlineStr">
        <is>
          <t>Direct availability or DDoS</t>
        </is>
      </c>
      <c r="D38" s="276" t="b">
        <v>0</v>
      </c>
      <c r="E38" s="276" t="n">
        <v>0</v>
      </c>
      <c r="F38" s="276" t="n">
        <v>1</v>
      </c>
      <c r="G38" s="276" t="n">
        <v>0</v>
      </c>
      <c r="H38" s="276" t="n">
        <v>1</v>
      </c>
      <c r="I38" s="276" t="n">
        <v>1</v>
      </c>
      <c r="J38" s="276" t="n">
        <v>1</v>
      </c>
      <c r="K38" s="276" t="n">
        <v>1</v>
      </c>
      <c r="L38" s="276" t="b">
        <v>0</v>
      </c>
      <c r="M38" s="276" t="n">
        <v>1</v>
      </c>
      <c r="N38" s="276" t="n">
        <v>0</v>
      </c>
      <c r="O38" s="276" t="n">
        <v>0</v>
      </c>
      <c r="P38" s="276" t="n">
        <v>1</v>
      </c>
      <c r="Q38" s="276" t="n">
        <v>1</v>
      </c>
      <c r="R38" s="276" t="b">
        <v>0</v>
      </c>
      <c r="S38" s="276" t="n">
        <v>1</v>
      </c>
      <c r="T38" s="276" t="n">
        <v>0</v>
      </c>
      <c r="U38" s="276" t="n">
        <v>0</v>
      </c>
      <c r="V38" s="276" t="n">
        <v>1</v>
      </c>
      <c r="W38" s="276" t="n">
        <v>1</v>
      </c>
      <c r="X38" s="276" t="b">
        <v>0</v>
      </c>
      <c r="Y38" s="276" t="n">
        <v>1</v>
      </c>
      <c r="Z38" s="277" t="n">
        <v>0</v>
      </c>
      <c r="AA38" t="n">
        <v>0</v>
      </c>
      <c r="AB38" t="n">
        <v>1</v>
      </c>
      <c r="AC38" t="n">
        <v>1</v>
      </c>
      <c r="AD38" t="b">
        <v>0</v>
      </c>
      <c r="AE38" t="n">
        <v>1</v>
      </c>
      <c r="AF38" t="n">
        <v>0</v>
      </c>
      <c r="AG38" t="n">
        <v>0</v>
      </c>
      <c r="AH38" t="n">
        <v>1</v>
      </c>
      <c r="AI38" t="n">
        <v>1</v>
      </c>
      <c r="AJ38" t="b">
        <v>0</v>
      </c>
      <c r="AK38" t="n">
        <v>1</v>
      </c>
      <c r="AL38" t="n">
        <v>0</v>
      </c>
      <c r="AM38" t="n">
        <v>0</v>
      </c>
      <c r="AN38" t="n">
        <v>1</v>
      </c>
      <c r="AO38" t="n">
        <v>1</v>
      </c>
    </row>
    <row r="39">
      <c r="A39" s="275" t="inlineStr">
        <is>
          <t>Nation-state</t>
        </is>
      </c>
      <c r="B39" s="276" t="inlineStr">
        <is>
          <t>Cyber-enabled theft or fraud</t>
        </is>
      </c>
      <c r="C39" s="276" t="inlineStr">
        <is>
          <t>Insider or trusted access</t>
        </is>
      </c>
      <c r="D39" s="276" t="b">
        <v>1</v>
      </c>
      <c r="E39" s="276" t="n">
        <v>0.0009385474860335197</v>
      </c>
      <c r="F39" s="276" t="n">
        <v>1</v>
      </c>
      <c r="G39" s="276" t="n">
        <v>0.455</v>
      </c>
      <c r="H39" s="276" t="n">
        <v>1</v>
      </c>
      <c r="I39" s="276" t="n">
        <v>1</v>
      </c>
      <c r="J39" s="276" t="n">
        <v>1</v>
      </c>
      <c r="K39" s="276" t="n">
        <v>1</v>
      </c>
      <c r="L39" s="276" t="b">
        <v>0</v>
      </c>
      <c r="M39" s="276" t="n">
        <v>1</v>
      </c>
      <c r="N39" s="276" t="n">
        <v>0</v>
      </c>
      <c r="O39" s="276" t="n">
        <v>0</v>
      </c>
      <c r="P39" s="276" t="n">
        <v>1</v>
      </c>
      <c r="Q39" s="276" t="n">
        <v>1</v>
      </c>
      <c r="R39" s="276" t="b">
        <v>0</v>
      </c>
      <c r="S39" s="276" t="n">
        <v>1</v>
      </c>
      <c r="T39" s="276" t="n">
        <v>0</v>
      </c>
      <c r="U39" s="276" t="n">
        <v>0</v>
      </c>
      <c r="V39" s="276" t="n">
        <v>1</v>
      </c>
      <c r="W39" s="276" t="n">
        <v>1</v>
      </c>
      <c r="X39" s="276" t="b">
        <v>1</v>
      </c>
      <c r="Y39" s="276" t="n">
        <v>0.7</v>
      </c>
      <c r="Z39" s="277" t="n">
        <v>0.2477547340393066</v>
      </c>
      <c r="AA39" t="n">
        <v>0.2477547340393066</v>
      </c>
      <c r="AB39" t="n">
        <v>1</v>
      </c>
      <c r="AC39" t="n">
        <v>0.7</v>
      </c>
      <c r="AD39" t="b">
        <v>0</v>
      </c>
      <c r="AE39" t="n">
        <v>1</v>
      </c>
      <c r="AF39" t="n">
        <v>0</v>
      </c>
      <c r="AG39" t="n">
        <v>0</v>
      </c>
      <c r="AH39" t="n">
        <v>1</v>
      </c>
      <c r="AI39" t="n">
        <v>1</v>
      </c>
      <c r="AJ39" t="b">
        <v>1</v>
      </c>
      <c r="AK39" t="n">
        <v>0.65</v>
      </c>
      <c r="AL39" t="n">
        <v>0.2481303977966309</v>
      </c>
      <c r="AM39" t="n">
        <v>0.2481303977966309</v>
      </c>
      <c r="AN39" t="n">
        <v>1</v>
      </c>
      <c r="AO39" t="n">
        <v>0.65</v>
      </c>
    </row>
    <row r="40">
      <c r="A40" s="275" t="inlineStr">
        <is>
          <t>Cybercriminal</t>
        </is>
      </c>
      <c r="B40" s="276" t="inlineStr">
        <is>
          <t>Critical business-service disruption</t>
        </is>
      </c>
      <c r="C40" s="276" t="inlineStr">
        <is>
          <t>Identity and credential compromise</t>
        </is>
      </c>
      <c r="D40" s="276" t="b">
        <v>1</v>
      </c>
      <c r="E40" s="276" t="n">
        <v>0.04986420423682782</v>
      </c>
      <c r="F40" s="276" t="n">
        <v>1</v>
      </c>
      <c r="G40" s="276" t="n">
        <v>0.05898750000000001</v>
      </c>
      <c r="H40" s="276" t="n">
        <v>1</v>
      </c>
      <c r="I40" s="276" t="n">
        <v>1</v>
      </c>
      <c r="J40" s="276" t="n">
        <v>1</v>
      </c>
      <c r="K40" s="276" t="n">
        <v>1</v>
      </c>
      <c r="L40" s="276" t="b">
        <v>1</v>
      </c>
      <c r="M40" s="276" t="n">
        <v>0.3</v>
      </c>
      <c r="N40" s="276" t="n">
        <v>0.2403645833333333</v>
      </c>
      <c r="O40" s="276" t="n">
        <v>0.2403645833333333</v>
      </c>
      <c r="P40" s="276" t="n">
        <v>1</v>
      </c>
      <c r="Q40" s="276" t="n">
        <v>0.3</v>
      </c>
      <c r="R40" s="276" t="b">
        <v>0</v>
      </c>
      <c r="S40" s="276" t="n">
        <v>1</v>
      </c>
      <c r="T40" s="276" t="n">
        <v>0</v>
      </c>
      <c r="U40" s="276" t="n">
        <v>0</v>
      </c>
      <c r="V40" s="276" t="n">
        <v>1</v>
      </c>
      <c r="W40" s="276" t="n">
        <v>1</v>
      </c>
      <c r="X40" s="276" t="b">
        <v>1</v>
      </c>
      <c r="Y40" s="276" t="n">
        <v>0.55</v>
      </c>
      <c r="Z40" s="277" t="n">
        <v>0.2477547340393066</v>
      </c>
      <c r="AA40" t="n">
        <v>0.2477547340393066</v>
      </c>
      <c r="AB40" t="n">
        <v>1</v>
      </c>
      <c r="AC40" t="n">
        <v>0.55</v>
      </c>
      <c r="AD40" t="b">
        <v>1</v>
      </c>
      <c r="AE40" t="n">
        <v>0.55</v>
      </c>
      <c r="AF40" t="n">
        <v>0</v>
      </c>
      <c r="AG40" t="n">
        <v>0</v>
      </c>
      <c r="AH40" t="n">
        <v>1</v>
      </c>
      <c r="AI40" t="n">
        <v>0.55</v>
      </c>
      <c r="AJ40" t="b">
        <v>1</v>
      </c>
      <c r="AK40" t="n">
        <v>0.65</v>
      </c>
      <c r="AL40" t="n">
        <v>0.1269045829772949</v>
      </c>
      <c r="AM40" t="n">
        <v>0.1269045829772949</v>
      </c>
      <c r="AN40" t="n">
        <v>1</v>
      </c>
      <c r="AO40" t="n">
        <v>0.65</v>
      </c>
    </row>
    <row r="41">
      <c r="A41" s="275" t="inlineStr">
        <is>
          <t>Cybercriminal</t>
        </is>
      </c>
      <c r="B41" s="276" t="inlineStr">
        <is>
          <t>Critical business-service disruption</t>
        </is>
      </c>
      <c r="C41" s="276" t="inlineStr">
        <is>
          <t>User endpoint and social engineering</t>
        </is>
      </c>
      <c r="D41" s="276" t="b">
        <v>1</v>
      </c>
      <c r="E41" s="276" t="n">
        <v>0.06094513851167845</v>
      </c>
      <c r="F41" s="276" t="n">
        <v>1</v>
      </c>
      <c r="G41" s="276" t="n">
        <v>0.025515</v>
      </c>
      <c r="H41" s="276" t="n">
        <v>1</v>
      </c>
      <c r="I41" s="276" t="n">
        <v>1</v>
      </c>
      <c r="J41" s="276" t="n">
        <v>1</v>
      </c>
      <c r="K41" s="276" t="n">
        <v>1</v>
      </c>
      <c r="L41" s="276" t="b">
        <v>1</v>
      </c>
      <c r="M41" s="276" t="n">
        <v>0.35</v>
      </c>
      <c r="N41" s="276" t="n">
        <v>0.20625</v>
      </c>
      <c r="O41" s="276" t="n">
        <v>0.20625</v>
      </c>
      <c r="P41" s="276" t="n">
        <v>1</v>
      </c>
      <c r="Q41" s="276" t="n">
        <v>0.35</v>
      </c>
      <c r="R41" s="276" t="b">
        <v>1</v>
      </c>
      <c r="S41" s="276" t="n">
        <v>0.6</v>
      </c>
      <c r="T41" s="276" t="n">
        <v>0.2124374569163603</v>
      </c>
      <c r="U41" s="276" t="n">
        <v>0.2124374569163603</v>
      </c>
      <c r="V41" s="276" t="n">
        <v>1</v>
      </c>
      <c r="W41" s="276" t="n">
        <v>0.6</v>
      </c>
      <c r="X41" s="276" t="b">
        <v>1</v>
      </c>
      <c r="Y41" s="276" t="n">
        <v>0.45</v>
      </c>
      <c r="Z41" s="277" t="n">
        <v>0.2216183303833008</v>
      </c>
      <c r="AA41" t="n">
        <v>0.2216183303833008</v>
      </c>
      <c r="AB41" t="n">
        <v>1</v>
      </c>
      <c r="AC41" t="n">
        <v>0.45</v>
      </c>
      <c r="AD41" t="b">
        <v>1</v>
      </c>
      <c r="AE41" t="n">
        <v>0.45</v>
      </c>
      <c r="AF41" t="n">
        <v>0.1794642857142857</v>
      </c>
      <c r="AG41" t="n">
        <v>0.1794642857142857</v>
      </c>
      <c r="AH41" t="n">
        <v>1</v>
      </c>
      <c r="AI41" t="n">
        <v>0.45</v>
      </c>
      <c r="AJ41" t="b">
        <v>1</v>
      </c>
      <c r="AK41" t="n">
        <v>0.6</v>
      </c>
      <c r="AL41" t="n">
        <v>0.1226516246795654</v>
      </c>
      <c r="AM41" t="n">
        <v>0.1226516246795654</v>
      </c>
      <c r="AN41" t="n">
        <v>1</v>
      </c>
      <c r="AO41" t="n">
        <v>0.6</v>
      </c>
    </row>
    <row r="42">
      <c r="A42" s="275" t="inlineStr">
        <is>
          <t>Cybercriminal</t>
        </is>
      </c>
      <c r="B42" s="276" t="inlineStr">
        <is>
          <t>Critical business-service disruption</t>
        </is>
      </c>
      <c r="C42" s="276" t="inlineStr">
        <is>
          <t>Public-facing application exploitation</t>
        </is>
      </c>
      <c r="D42" s="276" t="b">
        <v>1</v>
      </c>
      <c r="E42" s="276" t="n">
        <v>0.05606952743074417</v>
      </c>
      <c r="F42" s="276" t="n">
        <v>1</v>
      </c>
      <c r="G42" s="276" t="n">
        <v>0.02025</v>
      </c>
      <c r="H42" s="276" t="n">
        <v>1</v>
      </c>
      <c r="I42" s="276" t="n">
        <v>1</v>
      </c>
      <c r="J42" s="276" t="n">
        <v>1</v>
      </c>
      <c r="K42" s="276" t="n">
        <v>1</v>
      </c>
      <c r="L42" s="276" t="b">
        <v>1</v>
      </c>
      <c r="M42" s="276" t="n">
        <v>0.25</v>
      </c>
      <c r="N42" s="276" t="n">
        <v>0.2496630477905274</v>
      </c>
      <c r="O42" s="276" t="n">
        <v>0.2496630477905274</v>
      </c>
      <c r="P42" s="276" t="n">
        <v>1</v>
      </c>
      <c r="Q42" s="276" t="n">
        <v>0.25</v>
      </c>
      <c r="R42" s="276" t="b">
        <v>1</v>
      </c>
      <c r="S42" s="276" t="n">
        <v>0.6</v>
      </c>
      <c r="T42" s="276" t="n">
        <v>0.1875</v>
      </c>
      <c r="U42" s="276" t="n">
        <v>0.1875</v>
      </c>
      <c r="V42" s="276" t="n">
        <v>1</v>
      </c>
      <c r="W42" s="276" t="n">
        <v>0.6</v>
      </c>
      <c r="X42" s="276" t="b">
        <v>1</v>
      </c>
      <c r="Y42" s="276" t="n">
        <v>0.5</v>
      </c>
      <c r="Z42" s="277" t="n">
        <v>0.2199757778461163</v>
      </c>
      <c r="AA42" t="n">
        <v>0.2199757778461163</v>
      </c>
      <c r="AB42" t="n">
        <v>1</v>
      </c>
      <c r="AC42" t="n">
        <v>0.5</v>
      </c>
      <c r="AD42" t="b">
        <v>1</v>
      </c>
      <c r="AE42" t="n">
        <v>0.45</v>
      </c>
      <c r="AF42" t="n">
        <v>0.1907346013939899</v>
      </c>
      <c r="AG42" t="n">
        <v>0.1907346013939899</v>
      </c>
      <c r="AH42" t="n">
        <v>1</v>
      </c>
      <c r="AI42" t="n">
        <v>0.45</v>
      </c>
      <c r="AJ42" t="b">
        <v>1</v>
      </c>
      <c r="AK42" t="n">
        <v>0.6</v>
      </c>
      <c r="AL42" t="n">
        <v>0.1374199407240924</v>
      </c>
      <c r="AM42" t="n">
        <v>0.1374199407240924</v>
      </c>
      <c r="AN42" t="n">
        <v>1</v>
      </c>
      <c r="AO42" t="n">
        <v>0.6</v>
      </c>
    </row>
    <row r="43">
      <c r="A43" s="275" t="inlineStr">
        <is>
          <t>Cybercriminal</t>
        </is>
      </c>
      <c r="B43" s="276" t="inlineStr">
        <is>
          <t>Critical business-service disruption</t>
        </is>
      </c>
      <c r="C43" s="276" t="inlineStr">
        <is>
          <t>Third-party or software supply chain</t>
        </is>
      </c>
      <c r="D43" s="276" t="b">
        <v>1</v>
      </c>
      <c r="E43" s="276" t="n">
        <v>0.01662140141227594</v>
      </c>
      <c r="F43" s="276" t="n">
        <v>1</v>
      </c>
      <c r="G43" s="276" t="n">
        <v>0.196625</v>
      </c>
      <c r="H43" s="276" t="n">
        <v>1</v>
      </c>
      <c r="I43" s="276" t="n">
        <v>1</v>
      </c>
      <c r="J43" s="276" t="n">
        <v>1</v>
      </c>
      <c r="K43" s="276" t="n">
        <v>1</v>
      </c>
      <c r="L43" s="276" t="b">
        <v>0</v>
      </c>
      <c r="M43" s="276" t="n">
        <v>1</v>
      </c>
      <c r="N43" s="276" t="n">
        <v>0</v>
      </c>
      <c r="O43" s="276" t="n">
        <v>0</v>
      </c>
      <c r="P43" s="276" t="n">
        <v>1</v>
      </c>
      <c r="Q43" s="276" t="n">
        <v>1</v>
      </c>
      <c r="R43" s="276" t="b">
        <v>0</v>
      </c>
      <c r="S43" s="276" t="n">
        <v>1</v>
      </c>
      <c r="T43" s="276" t="n">
        <v>0</v>
      </c>
      <c r="U43" s="276" t="n">
        <v>0</v>
      </c>
      <c r="V43" s="276" t="n">
        <v>1</v>
      </c>
      <c r="W43" s="276" t="n">
        <v>1</v>
      </c>
      <c r="X43" s="276" t="b">
        <v>1</v>
      </c>
      <c r="Y43" s="276" t="n">
        <v>0.55</v>
      </c>
      <c r="Z43" s="277" t="n">
        <v>0.22181427526474</v>
      </c>
      <c r="AA43" t="n">
        <v>0.22181427526474</v>
      </c>
      <c r="AB43" t="n">
        <v>1</v>
      </c>
      <c r="AC43" t="n">
        <v>0.55</v>
      </c>
      <c r="AD43" t="b">
        <v>1</v>
      </c>
      <c r="AE43" t="n">
        <v>0.55</v>
      </c>
      <c r="AF43" t="n">
        <v>0</v>
      </c>
      <c r="AG43" t="n">
        <v>0</v>
      </c>
      <c r="AH43" t="n">
        <v>1</v>
      </c>
      <c r="AI43" t="n">
        <v>0.55</v>
      </c>
      <c r="AJ43" t="b">
        <v>1</v>
      </c>
      <c r="AK43" t="n">
        <v>0.65</v>
      </c>
      <c r="AL43" t="n">
        <v>0.1970353629372337</v>
      </c>
      <c r="AM43" t="n">
        <v>0.1970353629372337</v>
      </c>
      <c r="AN43" t="n">
        <v>1</v>
      </c>
      <c r="AO43" t="n">
        <v>0.65</v>
      </c>
    </row>
    <row r="44">
      <c r="A44" s="275" t="inlineStr">
        <is>
          <t>Cybercriminal</t>
        </is>
      </c>
      <c r="B44" s="276" t="inlineStr">
        <is>
          <t>Critical business-service disruption</t>
        </is>
      </c>
      <c r="C44" s="276" t="inlineStr">
        <is>
          <t>Direct availability or DDoS</t>
        </is>
      </c>
      <c r="D44" s="276" t="b">
        <v>1</v>
      </c>
      <c r="E44" s="276" t="n">
        <v>0.017729494839761</v>
      </c>
      <c r="F44" s="276" t="n">
        <v>1</v>
      </c>
      <c r="G44" s="276" t="n">
        <v>0.36</v>
      </c>
      <c r="H44" s="276" t="n">
        <v>1</v>
      </c>
      <c r="I44" s="276" t="n">
        <v>1</v>
      </c>
      <c r="J44" s="276" t="n">
        <v>1</v>
      </c>
      <c r="K44" s="276" t="n">
        <v>1</v>
      </c>
      <c r="L44" s="276" t="b">
        <v>1</v>
      </c>
      <c r="M44" s="276" t="n">
        <v>0.6</v>
      </c>
      <c r="N44" s="276" t="n">
        <v>0.2866992187499999</v>
      </c>
      <c r="O44" s="276" t="n">
        <v>0.2866992187499999</v>
      </c>
      <c r="P44" s="276" t="n">
        <v>1</v>
      </c>
      <c r="Q44" s="276" t="n">
        <v>0.6</v>
      </c>
      <c r="R44" s="276" t="b">
        <v>0</v>
      </c>
      <c r="S44" s="276" t="n">
        <v>1</v>
      </c>
      <c r="T44" s="276" t="n">
        <v>0</v>
      </c>
      <c r="U44" s="276" t="n">
        <v>0</v>
      </c>
      <c r="V44" s="276" t="n">
        <v>1</v>
      </c>
      <c r="W44" s="276" t="n">
        <v>1</v>
      </c>
      <c r="X44" s="276" t="b">
        <v>0</v>
      </c>
      <c r="Y44" s="276" t="n">
        <v>1</v>
      </c>
      <c r="Z44" s="277" t="n">
        <v>0</v>
      </c>
      <c r="AA44" t="n">
        <v>0</v>
      </c>
      <c r="AB44" t="n">
        <v>1</v>
      </c>
      <c r="AC44" t="n">
        <v>1</v>
      </c>
      <c r="AD44" t="b">
        <v>0</v>
      </c>
      <c r="AE44" t="n">
        <v>1</v>
      </c>
      <c r="AF44" t="n">
        <v>0</v>
      </c>
      <c r="AG44" t="n">
        <v>0</v>
      </c>
      <c r="AH44" t="n">
        <v>1</v>
      </c>
      <c r="AI44" t="n">
        <v>1</v>
      </c>
      <c r="AJ44" t="b">
        <v>1</v>
      </c>
      <c r="AK44" t="n">
        <v>0.6</v>
      </c>
      <c r="AL44" t="n">
        <v>0.225</v>
      </c>
      <c r="AM44" t="n">
        <v>0.225</v>
      </c>
      <c r="AN44" t="n">
        <v>1</v>
      </c>
      <c r="AO44" t="n">
        <v>0.6</v>
      </c>
    </row>
    <row r="45">
      <c r="A45" s="275" t="inlineStr">
        <is>
          <t>Cybercriminal</t>
        </is>
      </c>
      <c r="B45" s="276" t="inlineStr">
        <is>
          <t>Critical business-service disruption</t>
        </is>
      </c>
      <c r="C45" s="276" t="inlineStr">
        <is>
          <t>Insider or trusted access</t>
        </is>
      </c>
      <c r="D45" s="276" t="b">
        <v>1</v>
      </c>
      <c r="E45" s="276" t="n">
        <v>0.002770233568712657</v>
      </c>
      <c r="F45" s="276" t="n">
        <v>1</v>
      </c>
      <c r="G45" s="276" t="n">
        <v>0.29575</v>
      </c>
      <c r="H45" s="276" t="n">
        <v>1</v>
      </c>
      <c r="I45" s="276" t="n">
        <v>1</v>
      </c>
      <c r="J45" s="276" t="n">
        <v>1</v>
      </c>
      <c r="K45" s="276" t="n">
        <v>1</v>
      </c>
      <c r="L45" s="276" t="b">
        <v>0</v>
      </c>
      <c r="M45" s="276" t="n">
        <v>1</v>
      </c>
      <c r="N45" s="276" t="n">
        <v>0</v>
      </c>
      <c r="O45" s="276" t="n">
        <v>0</v>
      </c>
      <c r="P45" s="276" t="n">
        <v>1</v>
      </c>
      <c r="Q45" s="276" t="n">
        <v>1</v>
      </c>
      <c r="R45" s="276" t="b">
        <v>0</v>
      </c>
      <c r="S45" s="276" t="n">
        <v>1</v>
      </c>
      <c r="T45" s="276" t="n">
        <v>0</v>
      </c>
      <c r="U45" s="276" t="n">
        <v>0</v>
      </c>
      <c r="V45" s="276" t="n">
        <v>1</v>
      </c>
      <c r="W45" s="276" t="n">
        <v>1</v>
      </c>
      <c r="X45" s="276" t="b">
        <v>1</v>
      </c>
      <c r="Y45" s="276" t="n">
        <v>0.7</v>
      </c>
      <c r="Z45" s="277" t="n">
        <v>0.2477547340393066</v>
      </c>
      <c r="AA45" t="n">
        <v>0.2477547340393066</v>
      </c>
      <c r="AB45" t="n">
        <v>1</v>
      </c>
      <c r="AC45" t="n">
        <v>0.7</v>
      </c>
      <c r="AD45" t="b">
        <v>1</v>
      </c>
      <c r="AE45" t="n">
        <v>0.65</v>
      </c>
      <c r="AF45" t="n">
        <v>0</v>
      </c>
      <c r="AG45" t="n">
        <v>0</v>
      </c>
      <c r="AH45" t="n">
        <v>1</v>
      </c>
      <c r="AI45" t="n">
        <v>0.65</v>
      </c>
      <c r="AJ45" t="b">
        <v>1</v>
      </c>
      <c r="AK45" t="n">
        <v>0.65</v>
      </c>
      <c r="AL45" t="n">
        <v>0.2206064987182617</v>
      </c>
      <c r="AM45" t="n">
        <v>0.2206064987182617</v>
      </c>
      <c r="AN45" t="n">
        <v>1</v>
      </c>
      <c r="AO45" t="n">
        <v>0.65</v>
      </c>
    </row>
    <row r="46">
      <c r="A46" s="275" t="inlineStr">
        <is>
          <t>Cybercriminal</t>
        </is>
      </c>
      <c r="B46" s="276" t="inlineStr">
        <is>
          <t>Sensitive-data compromise</t>
        </is>
      </c>
      <c r="C46" s="276" t="inlineStr">
        <is>
          <t>Identity and credential compromise</t>
        </is>
      </c>
      <c r="D46" s="276" t="b">
        <v>1</v>
      </c>
      <c r="E46" s="276" t="n">
        <v>0.07063711911357341</v>
      </c>
      <c r="F46" s="276" t="n">
        <v>1</v>
      </c>
      <c r="G46" s="276" t="n">
        <v>0.05898750000000001</v>
      </c>
      <c r="H46" s="276" t="n">
        <v>1</v>
      </c>
      <c r="I46" s="276" t="n">
        <v>1</v>
      </c>
      <c r="J46" s="276" t="n">
        <v>1</v>
      </c>
      <c r="K46" s="276" t="n">
        <v>1</v>
      </c>
      <c r="L46" s="276" t="b">
        <v>1</v>
      </c>
      <c r="M46" s="276" t="n">
        <v>0.3</v>
      </c>
      <c r="N46" s="276" t="n">
        <v>0.2403645833333333</v>
      </c>
      <c r="O46" s="276" t="n">
        <v>0.2403645833333333</v>
      </c>
      <c r="P46" s="276" t="n">
        <v>1</v>
      </c>
      <c r="Q46" s="276" t="n">
        <v>0.3</v>
      </c>
      <c r="R46" s="276" t="b">
        <v>0</v>
      </c>
      <c r="S46" s="276" t="n">
        <v>1</v>
      </c>
      <c r="T46" s="276" t="n">
        <v>0</v>
      </c>
      <c r="U46" s="276" t="n">
        <v>0</v>
      </c>
      <c r="V46" s="276" t="n">
        <v>1</v>
      </c>
      <c r="W46" s="276" t="n">
        <v>1</v>
      </c>
      <c r="X46" s="276" t="b">
        <v>1</v>
      </c>
      <c r="Y46" s="276" t="n">
        <v>0.55</v>
      </c>
      <c r="Z46" s="277" t="n">
        <v>0.2477547340393066</v>
      </c>
      <c r="AA46" t="n">
        <v>0.2477547340393066</v>
      </c>
      <c r="AB46" t="n">
        <v>1</v>
      </c>
      <c r="AC46" t="n">
        <v>0.55</v>
      </c>
      <c r="AD46" t="b">
        <v>1</v>
      </c>
      <c r="AE46" t="n">
        <v>0.55</v>
      </c>
      <c r="AF46" t="n">
        <v>0.1016517857142858</v>
      </c>
      <c r="AG46" t="n">
        <v>0.1016517857142858</v>
      </c>
      <c r="AH46" t="n">
        <v>1</v>
      </c>
      <c r="AI46" t="n">
        <v>0.55</v>
      </c>
      <c r="AJ46" t="b">
        <v>1</v>
      </c>
      <c r="AK46" t="n">
        <v>0.65</v>
      </c>
      <c r="AL46" t="n">
        <v>0.20625</v>
      </c>
      <c r="AM46" t="n">
        <v>0.20625</v>
      </c>
      <c r="AN46" t="n">
        <v>1</v>
      </c>
      <c r="AO46" t="n">
        <v>0.65</v>
      </c>
    </row>
    <row r="47">
      <c r="A47" s="275" t="inlineStr">
        <is>
          <t>Cybercriminal</t>
        </is>
      </c>
      <c r="B47" s="276" t="inlineStr">
        <is>
          <t>Sensitive-data compromise</t>
        </is>
      </c>
      <c r="C47" s="276" t="inlineStr">
        <is>
          <t>User endpoint and social engineering</t>
        </is>
      </c>
      <c r="D47" s="276" t="b">
        <v>1</v>
      </c>
      <c r="E47" s="276" t="n">
        <v>0.04316712834718375</v>
      </c>
      <c r="F47" s="276" t="n">
        <v>1</v>
      </c>
      <c r="G47" s="276" t="n">
        <v>0.025515</v>
      </c>
      <c r="H47" s="276" t="n">
        <v>1</v>
      </c>
      <c r="I47" s="276" t="n">
        <v>1</v>
      </c>
      <c r="J47" s="276" t="n">
        <v>1</v>
      </c>
      <c r="K47" s="276" t="n">
        <v>1</v>
      </c>
      <c r="L47" s="276" t="b">
        <v>1</v>
      </c>
      <c r="M47" s="276" t="n">
        <v>0.35</v>
      </c>
      <c r="N47" s="276" t="n">
        <v>0.20625</v>
      </c>
      <c r="O47" s="276" t="n">
        <v>0.20625</v>
      </c>
      <c r="P47" s="276" t="n">
        <v>1</v>
      </c>
      <c r="Q47" s="276" t="n">
        <v>0.35</v>
      </c>
      <c r="R47" s="276" t="b">
        <v>1</v>
      </c>
      <c r="S47" s="276" t="n">
        <v>0.6</v>
      </c>
      <c r="T47" s="276" t="n">
        <v>0.2124374569163603</v>
      </c>
      <c r="U47" s="276" t="n">
        <v>0.2124374569163603</v>
      </c>
      <c r="V47" s="276" t="n">
        <v>1</v>
      </c>
      <c r="W47" s="276" t="n">
        <v>0.6</v>
      </c>
      <c r="X47" s="276" t="b">
        <v>1</v>
      </c>
      <c r="Y47" s="276" t="n">
        <v>0.45</v>
      </c>
      <c r="Z47" s="277" t="n">
        <v>0.2216183303833008</v>
      </c>
      <c r="AA47" t="n">
        <v>0.2216183303833008</v>
      </c>
      <c r="AB47" t="n">
        <v>1</v>
      </c>
      <c r="AC47" t="n">
        <v>0.45</v>
      </c>
      <c r="AD47" t="b">
        <v>1</v>
      </c>
      <c r="AE47" t="n">
        <v>0.45</v>
      </c>
      <c r="AF47" t="n">
        <v>0.1789397321428572</v>
      </c>
      <c r="AG47" t="n">
        <v>0.1789397321428572</v>
      </c>
      <c r="AH47" t="n">
        <v>1</v>
      </c>
      <c r="AI47" t="n">
        <v>0.45</v>
      </c>
      <c r="AJ47" t="b">
        <v>1</v>
      </c>
      <c r="AK47" t="n">
        <v>0.6</v>
      </c>
      <c r="AL47" t="n">
        <v>0.20625</v>
      </c>
      <c r="AM47" t="n">
        <v>0.20625</v>
      </c>
      <c r="AN47" t="n">
        <v>1</v>
      </c>
      <c r="AO47" t="n">
        <v>0.6</v>
      </c>
    </row>
    <row r="48">
      <c r="A48" s="275" t="inlineStr">
        <is>
          <t>Cybercriminal</t>
        </is>
      </c>
      <c r="B48" s="276" t="inlineStr">
        <is>
          <t>Sensitive-data compromise</t>
        </is>
      </c>
      <c r="C48" s="276" t="inlineStr">
        <is>
          <t>Public-facing application exploitation</t>
        </is>
      </c>
      <c r="D48" s="276" t="b">
        <v>1</v>
      </c>
      <c r="E48" s="276" t="n">
        <v>0.03971375807940906</v>
      </c>
      <c r="F48" s="276" t="n">
        <v>1</v>
      </c>
      <c r="G48" s="276" t="n">
        <v>0.02025</v>
      </c>
      <c r="H48" s="276" t="n">
        <v>1</v>
      </c>
      <c r="I48" s="276" t="n">
        <v>1</v>
      </c>
      <c r="J48" s="276" t="n">
        <v>1</v>
      </c>
      <c r="K48" s="276" t="n">
        <v>1</v>
      </c>
      <c r="L48" s="276" t="b">
        <v>1</v>
      </c>
      <c r="M48" s="276" t="n">
        <v>0.25</v>
      </c>
      <c r="N48" s="276" t="n">
        <v>0.2496630477905274</v>
      </c>
      <c r="O48" s="276" t="n">
        <v>0.2496630477905274</v>
      </c>
      <c r="P48" s="276" t="n">
        <v>1</v>
      </c>
      <c r="Q48" s="276" t="n">
        <v>0.25</v>
      </c>
      <c r="R48" s="276" t="b">
        <v>1</v>
      </c>
      <c r="S48" s="276" t="n">
        <v>0.6</v>
      </c>
      <c r="T48" s="276" t="n">
        <v>0.1875</v>
      </c>
      <c r="U48" s="276" t="n">
        <v>0.1875</v>
      </c>
      <c r="V48" s="276" t="n">
        <v>1</v>
      </c>
      <c r="W48" s="276" t="n">
        <v>0.6</v>
      </c>
      <c r="X48" s="276" t="b">
        <v>1</v>
      </c>
      <c r="Y48" s="276" t="n">
        <v>0.5</v>
      </c>
      <c r="Z48" s="277" t="n">
        <v>0.2199757778461163</v>
      </c>
      <c r="AA48" t="n">
        <v>0.2199757778461163</v>
      </c>
      <c r="AB48" t="n">
        <v>1</v>
      </c>
      <c r="AC48" t="n">
        <v>0.5</v>
      </c>
      <c r="AD48" t="b">
        <v>1</v>
      </c>
      <c r="AE48" t="n">
        <v>0.45</v>
      </c>
      <c r="AF48" t="n">
        <v>0.1907346013939899</v>
      </c>
      <c r="AG48" t="n">
        <v>0.1907346013939899</v>
      </c>
      <c r="AH48" t="n">
        <v>1</v>
      </c>
      <c r="AI48" t="n">
        <v>0.45</v>
      </c>
      <c r="AJ48" t="b">
        <v>1</v>
      </c>
      <c r="AK48" t="n">
        <v>0.6</v>
      </c>
      <c r="AL48" t="n">
        <v>0.20625</v>
      </c>
      <c r="AM48" t="n">
        <v>0.20625</v>
      </c>
      <c r="AN48" t="n">
        <v>1</v>
      </c>
      <c r="AO48" t="n">
        <v>0.6</v>
      </c>
    </row>
    <row r="49">
      <c r="A49" s="275" t="inlineStr">
        <is>
          <t>Cybercriminal</t>
        </is>
      </c>
      <c r="B49" s="276" t="inlineStr">
        <is>
          <t>Sensitive-data compromise</t>
        </is>
      </c>
      <c r="C49" s="276" t="inlineStr">
        <is>
          <t>Third-party or software supply chain</t>
        </is>
      </c>
      <c r="D49" s="276" t="b">
        <v>1</v>
      </c>
      <c r="E49" s="276" t="n">
        <v>0.01334256694367498</v>
      </c>
      <c r="F49" s="276" t="n">
        <v>1</v>
      </c>
      <c r="G49" s="276" t="n">
        <v>0.196625</v>
      </c>
      <c r="H49" s="276" t="n">
        <v>1</v>
      </c>
      <c r="I49" s="276" t="n">
        <v>1</v>
      </c>
      <c r="J49" s="276" t="n">
        <v>1</v>
      </c>
      <c r="K49" s="276" t="n">
        <v>1</v>
      </c>
      <c r="L49" s="276" t="b">
        <v>0</v>
      </c>
      <c r="M49" s="276" t="n">
        <v>1</v>
      </c>
      <c r="N49" s="276" t="n">
        <v>0</v>
      </c>
      <c r="O49" s="276" t="n">
        <v>0</v>
      </c>
      <c r="P49" s="276" t="n">
        <v>1</v>
      </c>
      <c r="Q49" s="276" t="n">
        <v>1</v>
      </c>
      <c r="R49" s="276" t="b">
        <v>0</v>
      </c>
      <c r="S49" s="276" t="n">
        <v>1</v>
      </c>
      <c r="T49" s="276" t="n">
        <v>0</v>
      </c>
      <c r="U49" s="276" t="n">
        <v>0</v>
      </c>
      <c r="V49" s="276" t="n">
        <v>1</v>
      </c>
      <c r="W49" s="276" t="n">
        <v>1</v>
      </c>
      <c r="X49" s="276" t="b">
        <v>1</v>
      </c>
      <c r="Y49" s="276" t="n">
        <v>0.55</v>
      </c>
      <c r="Z49" s="277" t="n">
        <v>0.22181427526474</v>
      </c>
      <c r="AA49" t="n">
        <v>0.22181427526474</v>
      </c>
      <c r="AB49" t="n">
        <v>1</v>
      </c>
      <c r="AC49" t="n">
        <v>0.55</v>
      </c>
      <c r="AD49" t="b">
        <v>1</v>
      </c>
      <c r="AE49" t="n">
        <v>0.55</v>
      </c>
      <c r="AF49" t="n">
        <v>0.10376953125</v>
      </c>
      <c r="AG49" t="n">
        <v>0.10376953125</v>
      </c>
      <c r="AH49" t="n">
        <v>1</v>
      </c>
      <c r="AI49" t="n">
        <v>0.55</v>
      </c>
      <c r="AJ49" t="b">
        <v>1</v>
      </c>
      <c r="AK49" t="n">
        <v>0.65</v>
      </c>
      <c r="AL49" t="n">
        <v>0.20625</v>
      </c>
      <c r="AM49" t="n">
        <v>0.20625</v>
      </c>
      <c r="AN49" t="n">
        <v>1</v>
      </c>
      <c r="AO49" t="n">
        <v>0.65</v>
      </c>
    </row>
    <row r="50">
      <c r="A50" s="275" t="inlineStr">
        <is>
          <t>Cybercriminal</t>
        </is>
      </c>
      <c r="B50" s="276" t="inlineStr">
        <is>
          <t>Sensitive-data compromise</t>
        </is>
      </c>
      <c r="C50" s="276" t="inlineStr">
        <is>
          <t>Direct availability or DDoS</t>
        </is>
      </c>
      <c r="D50" s="276" t="b">
        <v>0</v>
      </c>
      <c r="E50" s="276" t="n">
        <v>0</v>
      </c>
      <c r="F50" s="276" t="n">
        <v>1</v>
      </c>
      <c r="G50" s="276" t="n">
        <v>0</v>
      </c>
      <c r="H50" s="276" t="n">
        <v>1</v>
      </c>
      <c r="I50" s="276" t="n">
        <v>1</v>
      </c>
      <c r="J50" s="276" t="n">
        <v>1</v>
      </c>
      <c r="K50" s="276" t="n">
        <v>1</v>
      </c>
      <c r="L50" s="276" t="b">
        <v>0</v>
      </c>
      <c r="M50" s="276" t="n">
        <v>1</v>
      </c>
      <c r="N50" s="276" t="n">
        <v>0</v>
      </c>
      <c r="O50" s="276" t="n">
        <v>0</v>
      </c>
      <c r="P50" s="276" t="n">
        <v>1</v>
      </c>
      <c r="Q50" s="276" t="n">
        <v>1</v>
      </c>
      <c r="R50" s="276" t="b">
        <v>0</v>
      </c>
      <c r="S50" s="276" t="n">
        <v>1</v>
      </c>
      <c r="T50" s="276" t="n">
        <v>0</v>
      </c>
      <c r="U50" s="276" t="n">
        <v>0</v>
      </c>
      <c r="V50" s="276" t="n">
        <v>1</v>
      </c>
      <c r="W50" s="276" t="n">
        <v>1</v>
      </c>
      <c r="X50" s="276" t="b">
        <v>0</v>
      </c>
      <c r="Y50" s="276" t="n">
        <v>1</v>
      </c>
      <c r="Z50" s="277" t="n">
        <v>0</v>
      </c>
      <c r="AA50" t="n">
        <v>0</v>
      </c>
      <c r="AB50" t="n">
        <v>1</v>
      </c>
      <c r="AC50" t="n">
        <v>1</v>
      </c>
      <c r="AD50" t="b">
        <v>0</v>
      </c>
      <c r="AE50" t="n">
        <v>1</v>
      </c>
      <c r="AF50" t="n">
        <v>0</v>
      </c>
      <c r="AG50" t="n">
        <v>0</v>
      </c>
      <c r="AH50" t="n">
        <v>1</v>
      </c>
      <c r="AI50" t="n">
        <v>1</v>
      </c>
      <c r="AJ50" t="b">
        <v>0</v>
      </c>
      <c r="AK50" t="n">
        <v>1</v>
      </c>
      <c r="AL50" t="n">
        <v>0</v>
      </c>
      <c r="AM50" t="n">
        <v>0</v>
      </c>
      <c r="AN50" t="n">
        <v>1</v>
      </c>
      <c r="AO50" t="n">
        <v>1</v>
      </c>
    </row>
    <row r="51">
      <c r="A51" s="275" t="inlineStr">
        <is>
          <t>Cybercriminal</t>
        </is>
      </c>
      <c r="B51" s="276" t="inlineStr">
        <is>
          <t>Sensitive-data compromise</t>
        </is>
      </c>
      <c r="C51" s="276" t="inlineStr">
        <is>
          <t>Insider or trusted access</t>
        </is>
      </c>
      <c r="D51" s="276" t="b">
        <v>1</v>
      </c>
      <c r="E51" s="276" t="n">
        <v>0.003139427516158819</v>
      </c>
      <c r="F51" s="276" t="n">
        <v>1</v>
      </c>
      <c r="G51" s="276" t="n">
        <v>0.29575</v>
      </c>
      <c r="H51" s="276" t="n">
        <v>1</v>
      </c>
      <c r="I51" s="276" t="n">
        <v>1</v>
      </c>
      <c r="J51" s="276" t="n">
        <v>1</v>
      </c>
      <c r="K51" s="276" t="n">
        <v>1</v>
      </c>
      <c r="L51" s="276" t="b">
        <v>0</v>
      </c>
      <c r="M51" s="276" t="n">
        <v>1</v>
      </c>
      <c r="N51" s="276" t="n">
        <v>0</v>
      </c>
      <c r="O51" s="276" t="n">
        <v>0</v>
      </c>
      <c r="P51" s="276" t="n">
        <v>1</v>
      </c>
      <c r="Q51" s="276" t="n">
        <v>1</v>
      </c>
      <c r="R51" s="276" t="b">
        <v>0</v>
      </c>
      <c r="S51" s="276" t="n">
        <v>1</v>
      </c>
      <c r="T51" s="276" t="n">
        <v>0</v>
      </c>
      <c r="U51" s="276" t="n">
        <v>0</v>
      </c>
      <c r="V51" s="276" t="n">
        <v>1</v>
      </c>
      <c r="W51" s="276" t="n">
        <v>1</v>
      </c>
      <c r="X51" s="276" t="b">
        <v>1</v>
      </c>
      <c r="Y51" s="276" t="n">
        <v>0.7</v>
      </c>
      <c r="Z51" s="277" t="n">
        <v>0.2477547340393066</v>
      </c>
      <c r="AA51" t="n">
        <v>0.2477547340393066</v>
      </c>
      <c r="AB51" t="n">
        <v>1</v>
      </c>
      <c r="AC51" t="n">
        <v>0.7</v>
      </c>
      <c r="AD51" t="b">
        <v>1</v>
      </c>
      <c r="AE51" t="n">
        <v>0.65</v>
      </c>
      <c r="AF51" t="n">
        <v>0.106734375</v>
      </c>
      <c r="AG51" t="n">
        <v>0.106734375</v>
      </c>
      <c r="AH51" t="n">
        <v>1</v>
      </c>
      <c r="AI51" t="n">
        <v>0.65</v>
      </c>
      <c r="AJ51" t="b">
        <v>1</v>
      </c>
      <c r="AK51" t="n">
        <v>0.65</v>
      </c>
      <c r="AL51" t="n">
        <v>0.20625</v>
      </c>
      <c r="AM51" t="n">
        <v>0.20625</v>
      </c>
      <c r="AN51" t="n">
        <v>1</v>
      </c>
      <c r="AO51" t="n">
        <v>0.65</v>
      </c>
    </row>
    <row r="52">
      <c r="A52" s="275" t="inlineStr">
        <is>
          <t>Cybercriminal</t>
        </is>
      </c>
      <c r="B52" s="276" t="inlineStr">
        <is>
          <t>Data or transaction-integrity compromise</t>
        </is>
      </c>
      <c r="C52" s="276" t="inlineStr">
        <is>
          <t>Identity and credential compromise</t>
        </is>
      </c>
      <c r="D52" s="276" t="b">
        <v>1</v>
      </c>
      <c r="E52" s="276" t="n">
        <v>0.02507262569832402</v>
      </c>
      <c r="F52" s="276" t="n">
        <v>1</v>
      </c>
      <c r="G52" s="276" t="n">
        <v>0.05898750000000001</v>
      </c>
      <c r="H52" s="276" t="n">
        <v>1</v>
      </c>
      <c r="I52" s="276" t="n">
        <v>1</v>
      </c>
      <c r="J52" s="276" t="n">
        <v>1</v>
      </c>
      <c r="K52" s="276" t="n">
        <v>1</v>
      </c>
      <c r="L52" s="276" t="b">
        <v>1</v>
      </c>
      <c r="M52" s="276" t="n">
        <v>0.3</v>
      </c>
      <c r="N52" s="276" t="n">
        <v>0.2403645833333333</v>
      </c>
      <c r="O52" s="276" t="n">
        <v>0.2403645833333333</v>
      </c>
      <c r="P52" s="276" t="n">
        <v>1</v>
      </c>
      <c r="Q52" s="276" t="n">
        <v>0.3</v>
      </c>
      <c r="R52" s="276" t="b">
        <v>0</v>
      </c>
      <c r="S52" s="276" t="n">
        <v>1</v>
      </c>
      <c r="T52" s="276" t="n">
        <v>0</v>
      </c>
      <c r="U52" s="276" t="n">
        <v>0</v>
      </c>
      <c r="V52" s="276" t="n">
        <v>1</v>
      </c>
      <c r="W52" s="276" t="n">
        <v>1</v>
      </c>
      <c r="X52" s="276" t="b">
        <v>1</v>
      </c>
      <c r="Y52" s="276" t="n">
        <v>0.55</v>
      </c>
      <c r="Z52" s="277" t="n">
        <v>0.2477547340393066</v>
      </c>
      <c r="AA52" t="n">
        <v>0.2477547340393066</v>
      </c>
      <c r="AB52" t="n">
        <v>1</v>
      </c>
      <c r="AC52" t="n">
        <v>0.55</v>
      </c>
      <c r="AD52" t="b">
        <v>1</v>
      </c>
      <c r="AE52" t="n">
        <v>0.55</v>
      </c>
      <c r="AF52" t="n">
        <v>0.1016517857142858</v>
      </c>
      <c r="AG52" t="n">
        <v>0.1016517857142858</v>
      </c>
      <c r="AH52" t="n">
        <v>1</v>
      </c>
      <c r="AI52" t="n">
        <v>0.55</v>
      </c>
      <c r="AJ52" t="b">
        <v>1</v>
      </c>
      <c r="AK52" t="n">
        <v>0.65</v>
      </c>
      <c r="AL52" t="n">
        <v>0.1269045829772949</v>
      </c>
      <c r="AM52" t="n">
        <v>0.1269045829772949</v>
      </c>
      <c r="AN52" t="n">
        <v>1</v>
      </c>
      <c r="AO52" t="n">
        <v>0.65</v>
      </c>
    </row>
    <row r="53">
      <c r="A53" s="275" t="inlineStr">
        <is>
          <t>Cybercriminal</t>
        </is>
      </c>
      <c r="B53" s="276" t="inlineStr">
        <is>
          <t>Data or transaction-integrity compromise</t>
        </is>
      </c>
      <c r="C53" s="276" t="inlineStr">
        <is>
          <t>User endpoint and social engineering</t>
        </is>
      </c>
      <c r="D53" s="276" t="b">
        <v>1</v>
      </c>
      <c r="E53" s="276" t="n">
        <v>0.01424581005586592</v>
      </c>
      <c r="F53" s="276" t="n">
        <v>1</v>
      </c>
      <c r="G53" s="276" t="n">
        <v>0.025515</v>
      </c>
      <c r="H53" s="276" t="n">
        <v>1</v>
      </c>
      <c r="I53" s="276" t="n">
        <v>1</v>
      </c>
      <c r="J53" s="276" t="n">
        <v>1</v>
      </c>
      <c r="K53" s="276" t="n">
        <v>1</v>
      </c>
      <c r="L53" s="276" t="b">
        <v>1</v>
      </c>
      <c r="M53" s="276" t="n">
        <v>0.35</v>
      </c>
      <c r="N53" s="276" t="n">
        <v>0.20625</v>
      </c>
      <c r="O53" s="276" t="n">
        <v>0.20625</v>
      </c>
      <c r="P53" s="276" t="n">
        <v>1</v>
      </c>
      <c r="Q53" s="276" t="n">
        <v>0.35</v>
      </c>
      <c r="R53" s="276" t="b">
        <v>1</v>
      </c>
      <c r="S53" s="276" t="n">
        <v>0.6</v>
      </c>
      <c r="T53" s="276" t="n">
        <v>0.2124374569163603</v>
      </c>
      <c r="U53" s="276" t="n">
        <v>0.2124374569163603</v>
      </c>
      <c r="V53" s="276" t="n">
        <v>1</v>
      </c>
      <c r="W53" s="276" t="n">
        <v>0.6</v>
      </c>
      <c r="X53" s="276" t="b">
        <v>1</v>
      </c>
      <c r="Y53" s="276" t="n">
        <v>0.45</v>
      </c>
      <c r="Z53" s="277" t="n">
        <v>0.2216183303833008</v>
      </c>
      <c r="AA53" t="n">
        <v>0.2216183303833008</v>
      </c>
      <c r="AB53" t="n">
        <v>1</v>
      </c>
      <c r="AC53" t="n">
        <v>0.45</v>
      </c>
      <c r="AD53" t="b">
        <v>1</v>
      </c>
      <c r="AE53" t="n">
        <v>0.45</v>
      </c>
      <c r="AF53" t="n">
        <v>0.1789397321428572</v>
      </c>
      <c r="AG53" t="n">
        <v>0.1789397321428572</v>
      </c>
      <c r="AH53" t="n">
        <v>1</v>
      </c>
      <c r="AI53" t="n">
        <v>0.45</v>
      </c>
      <c r="AJ53" t="b">
        <v>1</v>
      </c>
      <c r="AK53" t="n">
        <v>0.6</v>
      </c>
      <c r="AL53" t="n">
        <v>0.1226516246795654</v>
      </c>
      <c r="AM53" t="n">
        <v>0.1226516246795654</v>
      </c>
      <c r="AN53" t="n">
        <v>1</v>
      </c>
      <c r="AO53" t="n">
        <v>0.6</v>
      </c>
    </row>
    <row r="54">
      <c r="A54" s="275" t="inlineStr">
        <is>
          <t>Cybercriminal</t>
        </is>
      </c>
      <c r="B54" s="276" t="inlineStr">
        <is>
          <t>Data or transaction-integrity compromise</t>
        </is>
      </c>
      <c r="C54" s="276" t="inlineStr">
        <is>
          <t>Public-facing application exploitation</t>
        </is>
      </c>
      <c r="D54" s="276" t="b">
        <v>1</v>
      </c>
      <c r="E54" s="276" t="n">
        <v>0.01671508379888268</v>
      </c>
      <c r="F54" s="276" t="n">
        <v>1</v>
      </c>
      <c r="G54" s="276" t="n">
        <v>0.02025</v>
      </c>
      <c r="H54" s="276" t="n">
        <v>1</v>
      </c>
      <c r="I54" s="276" t="n">
        <v>1</v>
      </c>
      <c r="J54" s="276" t="n">
        <v>1</v>
      </c>
      <c r="K54" s="276" t="n">
        <v>1</v>
      </c>
      <c r="L54" s="276" t="b">
        <v>1</v>
      </c>
      <c r="M54" s="276" t="n">
        <v>0.25</v>
      </c>
      <c r="N54" s="276" t="n">
        <v>0.2496630477905274</v>
      </c>
      <c r="O54" s="276" t="n">
        <v>0.2496630477905274</v>
      </c>
      <c r="P54" s="276" t="n">
        <v>1</v>
      </c>
      <c r="Q54" s="276" t="n">
        <v>0.25</v>
      </c>
      <c r="R54" s="276" t="b">
        <v>1</v>
      </c>
      <c r="S54" s="276" t="n">
        <v>0.6</v>
      </c>
      <c r="T54" s="276" t="n">
        <v>0.1875</v>
      </c>
      <c r="U54" s="276" t="n">
        <v>0.1875</v>
      </c>
      <c r="V54" s="276" t="n">
        <v>1</v>
      </c>
      <c r="W54" s="276" t="n">
        <v>0.6</v>
      </c>
      <c r="X54" s="276" t="b">
        <v>1</v>
      </c>
      <c r="Y54" s="276" t="n">
        <v>0.5</v>
      </c>
      <c r="Z54" s="277" t="n">
        <v>0.2199757778461163</v>
      </c>
      <c r="AA54" t="n">
        <v>0.2199757778461163</v>
      </c>
      <c r="AB54" t="n">
        <v>1</v>
      </c>
      <c r="AC54" t="n">
        <v>0.5</v>
      </c>
      <c r="AD54" t="b">
        <v>1</v>
      </c>
      <c r="AE54" t="n">
        <v>0.45</v>
      </c>
      <c r="AF54" t="n">
        <v>0.1907346013939899</v>
      </c>
      <c r="AG54" t="n">
        <v>0.1907346013939899</v>
      </c>
      <c r="AH54" t="n">
        <v>1</v>
      </c>
      <c r="AI54" t="n">
        <v>0.45</v>
      </c>
      <c r="AJ54" t="b">
        <v>1</v>
      </c>
      <c r="AK54" t="n">
        <v>0.6</v>
      </c>
      <c r="AL54" t="n">
        <v>0.1374199407240924</v>
      </c>
      <c r="AM54" t="n">
        <v>0.1374199407240924</v>
      </c>
      <c r="AN54" t="n">
        <v>1</v>
      </c>
      <c r="AO54" t="n">
        <v>0.6</v>
      </c>
    </row>
    <row r="55">
      <c r="A55" s="275" t="inlineStr">
        <is>
          <t>Cybercriminal</t>
        </is>
      </c>
      <c r="B55" s="276" t="inlineStr">
        <is>
          <t>Data or transaction-integrity compromise</t>
        </is>
      </c>
      <c r="C55" s="276" t="inlineStr">
        <is>
          <t>Third-party or software supply chain</t>
        </is>
      </c>
      <c r="D55" s="276" t="b">
        <v>1</v>
      </c>
      <c r="E55" s="276" t="n">
        <v>0.007597765363128493</v>
      </c>
      <c r="F55" s="276" t="n">
        <v>1</v>
      </c>
      <c r="G55" s="276" t="n">
        <v>0.196625</v>
      </c>
      <c r="H55" s="276" t="n">
        <v>1</v>
      </c>
      <c r="I55" s="276" t="n">
        <v>1</v>
      </c>
      <c r="J55" s="276" t="n">
        <v>1</v>
      </c>
      <c r="K55" s="276" t="n">
        <v>1</v>
      </c>
      <c r="L55" s="276" t="b">
        <v>0</v>
      </c>
      <c r="M55" s="276" t="n">
        <v>1</v>
      </c>
      <c r="N55" s="276" t="n">
        <v>0</v>
      </c>
      <c r="O55" s="276" t="n">
        <v>0</v>
      </c>
      <c r="P55" s="276" t="n">
        <v>1</v>
      </c>
      <c r="Q55" s="276" t="n">
        <v>1</v>
      </c>
      <c r="R55" s="276" t="b">
        <v>0</v>
      </c>
      <c r="S55" s="276" t="n">
        <v>1</v>
      </c>
      <c r="T55" s="276" t="n">
        <v>0</v>
      </c>
      <c r="U55" s="276" t="n">
        <v>0</v>
      </c>
      <c r="V55" s="276" t="n">
        <v>1</v>
      </c>
      <c r="W55" s="276" t="n">
        <v>1</v>
      </c>
      <c r="X55" s="276" t="b">
        <v>1</v>
      </c>
      <c r="Y55" s="276" t="n">
        <v>0.55</v>
      </c>
      <c r="Z55" s="277" t="n">
        <v>0.22181427526474</v>
      </c>
      <c r="AA55" t="n">
        <v>0.22181427526474</v>
      </c>
      <c r="AB55" t="n">
        <v>1</v>
      </c>
      <c r="AC55" t="n">
        <v>0.55</v>
      </c>
      <c r="AD55" t="b">
        <v>1</v>
      </c>
      <c r="AE55" t="n">
        <v>0.55</v>
      </c>
      <c r="AF55" t="n">
        <v>0.10376953125</v>
      </c>
      <c r="AG55" t="n">
        <v>0.10376953125</v>
      </c>
      <c r="AH55" t="n">
        <v>1</v>
      </c>
      <c r="AI55" t="n">
        <v>0.55</v>
      </c>
      <c r="AJ55" t="b">
        <v>1</v>
      </c>
      <c r="AK55" t="n">
        <v>0.65</v>
      </c>
      <c r="AL55" t="n">
        <v>0.1970353629372337</v>
      </c>
      <c r="AM55" t="n">
        <v>0.1970353629372337</v>
      </c>
      <c r="AN55" t="n">
        <v>1</v>
      </c>
      <c r="AO55" t="n">
        <v>0.65</v>
      </c>
    </row>
    <row r="56">
      <c r="A56" s="275" t="inlineStr">
        <is>
          <t>Cybercriminal</t>
        </is>
      </c>
      <c r="B56" s="276" t="inlineStr">
        <is>
          <t>Data or transaction-integrity compromise</t>
        </is>
      </c>
      <c r="C56" s="276" t="inlineStr">
        <is>
          <t>Direct availability or DDoS</t>
        </is>
      </c>
      <c r="D56" s="276" t="b">
        <v>0</v>
      </c>
      <c r="E56" s="276" t="n">
        <v>0</v>
      </c>
      <c r="F56" s="276" t="n">
        <v>1</v>
      </c>
      <c r="G56" s="276" t="n">
        <v>0</v>
      </c>
      <c r="H56" s="276" t="n">
        <v>1</v>
      </c>
      <c r="I56" s="276" t="n">
        <v>1</v>
      </c>
      <c r="J56" s="276" t="n">
        <v>1</v>
      </c>
      <c r="K56" s="276" t="n">
        <v>1</v>
      </c>
      <c r="L56" s="276" t="b">
        <v>0</v>
      </c>
      <c r="M56" s="276" t="n">
        <v>1</v>
      </c>
      <c r="N56" s="276" t="n">
        <v>0</v>
      </c>
      <c r="O56" s="276" t="n">
        <v>0</v>
      </c>
      <c r="P56" s="276" t="n">
        <v>1</v>
      </c>
      <c r="Q56" s="276" t="n">
        <v>1</v>
      </c>
      <c r="R56" s="276" t="b">
        <v>0</v>
      </c>
      <c r="S56" s="276" t="n">
        <v>1</v>
      </c>
      <c r="T56" s="276" t="n">
        <v>0</v>
      </c>
      <c r="U56" s="276" t="n">
        <v>0</v>
      </c>
      <c r="V56" s="276" t="n">
        <v>1</v>
      </c>
      <c r="W56" s="276" t="n">
        <v>1</v>
      </c>
      <c r="X56" s="276" t="b">
        <v>0</v>
      </c>
      <c r="Y56" s="276" t="n">
        <v>1</v>
      </c>
      <c r="Z56" s="277" t="n">
        <v>0</v>
      </c>
      <c r="AA56" t="n">
        <v>0</v>
      </c>
      <c r="AB56" t="n">
        <v>1</v>
      </c>
      <c r="AC56" t="n">
        <v>1</v>
      </c>
      <c r="AD56" t="b">
        <v>0</v>
      </c>
      <c r="AE56" t="n">
        <v>1</v>
      </c>
      <c r="AF56" t="n">
        <v>0</v>
      </c>
      <c r="AG56" t="n">
        <v>0</v>
      </c>
      <c r="AH56" t="n">
        <v>1</v>
      </c>
      <c r="AI56" t="n">
        <v>1</v>
      </c>
      <c r="AJ56" t="b">
        <v>0</v>
      </c>
      <c r="AK56" t="n">
        <v>1</v>
      </c>
      <c r="AL56" t="n">
        <v>0</v>
      </c>
      <c r="AM56" t="n">
        <v>0</v>
      </c>
      <c r="AN56" t="n">
        <v>1</v>
      </c>
      <c r="AO56" t="n">
        <v>1</v>
      </c>
    </row>
    <row r="57">
      <c r="A57" s="275" t="inlineStr">
        <is>
          <t>Cybercriminal</t>
        </is>
      </c>
      <c r="B57" s="276" t="inlineStr">
        <is>
          <t>Data or transaction-integrity compromise</t>
        </is>
      </c>
      <c r="C57" s="276" t="inlineStr">
        <is>
          <t>Insider or trusted access</t>
        </is>
      </c>
      <c r="D57" s="276" t="b">
        <v>1</v>
      </c>
      <c r="E57" s="276" t="n">
        <v>0.004368715083798883</v>
      </c>
      <c r="F57" s="276" t="n">
        <v>1</v>
      </c>
      <c r="G57" s="276" t="n">
        <v>0.29575</v>
      </c>
      <c r="H57" s="276" t="n">
        <v>1</v>
      </c>
      <c r="I57" s="276" t="n">
        <v>1</v>
      </c>
      <c r="J57" s="276" t="n">
        <v>1</v>
      </c>
      <c r="K57" s="276" t="n">
        <v>1</v>
      </c>
      <c r="L57" s="276" t="b">
        <v>0</v>
      </c>
      <c r="M57" s="276" t="n">
        <v>1</v>
      </c>
      <c r="N57" s="276" t="n">
        <v>0</v>
      </c>
      <c r="O57" s="276" t="n">
        <v>0</v>
      </c>
      <c r="P57" s="276" t="n">
        <v>1</v>
      </c>
      <c r="Q57" s="276" t="n">
        <v>1</v>
      </c>
      <c r="R57" s="276" t="b">
        <v>0</v>
      </c>
      <c r="S57" s="276" t="n">
        <v>1</v>
      </c>
      <c r="T57" s="276" t="n">
        <v>0</v>
      </c>
      <c r="U57" s="276" t="n">
        <v>0</v>
      </c>
      <c r="V57" s="276" t="n">
        <v>1</v>
      </c>
      <c r="W57" s="276" t="n">
        <v>1</v>
      </c>
      <c r="X57" s="276" t="b">
        <v>1</v>
      </c>
      <c r="Y57" s="276" t="n">
        <v>0.7</v>
      </c>
      <c r="Z57" s="277" t="n">
        <v>0.2477547340393066</v>
      </c>
      <c r="AA57" t="n">
        <v>0.2477547340393066</v>
      </c>
      <c r="AB57" t="n">
        <v>1</v>
      </c>
      <c r="AC57" t="n">
        <v>0.7</v>
      </c>
      <c r="AD57" t="b">
        <v>1</v>
      </c>
      <c r="AE57" t="n">
        <v>0.65</v>
      </c>
      <c r="AF57" t="n">
        <v>0.106734375</v>
      </c>
      <c r="AG57" t="n">
        <v>0.106734375</v>
      </c>
      <c r="AH57" t="n">
        <v>1</v>
      </c>
      <c r="AI57" t="n">
        <v>0.65</v>
      </c>
      <c r="AJ57" t="b">
        <v>1</v>
      </c>
      <c r="AK57" t="n">
        <v>0.65</v>
      </c>
      <c r="AL57" t="n">
        <v>0.2206064987182617</v>
      </c>
      <c r="AM57" t="n">
        <v>0.2206064987182617</v>
      </c>
      <c r="AN57" t="n">
        <v>1</v>
      </c>
      <c r="AO57" t="n">
        <v>0.65</v>
      </c>
    </row>
    <row r="58">
      <c r="A58" s="275" t="inlineStr">
        <is>
          <t>Cybercriminal</t>
        </is>
      </c>
      <c r="B58" s="276" t="inlineStr">
        <is>
          <t>Cyber-enabled theft or fraud</t>
        </is>
      </c>
      <c r="C58" s="276" t="inlineStr">
        <is>
          <t>Identity and credential compromise</t>
        </is>
      </c>
      <c r="D58" s="276" t="b">
        <v>1</v>
      </c>
      <c r="E58" s="276" t="n">
        <v>0.1295489891135303</v>
      </c>
      <c r="F58" s="276" t="n">
        <v>1</v>
      </c>
      <c r="G58" s="276" t="n">
        <v>0.10725</v>
      </c>
      <c r="H58" s="276" t="n">
        <v>1</v>
      </c>
      <c r="I58" s="276" t="n">
        <v>1</v>
      </c>
      <c r="J58" s="276" t="n">
        <v>1</v>
      </c>
      <c r="K58" s="276" t="n">
        <v>1</v>
      </c>
      <c r="L58" s="276" t="b">
        <v>1</v>
      </c>
      <c r="M58" s="276" t="n">
        <v>0.3</v>
      </c>
      <c r="N58" s="276" t="n">
        <v>0.2403645833333333</v>
      </c>
      <c r="O58" s="276" t="n">
        <v>0.2403645833333333</v>
      </c>
      <c r="P58" s="276" t="n">
        <v>1</v>
      </c>
      <c r="Q58" s="276" t="n">
        <v>0.3</v>
      </c>
      <c r="R58" s="276" t="b">
        <v>0</v>
      </c>
      <c r="S58" s="276" t="n">
        <v>1</v>
      </c>
      <c r="T58" s="276" t="n">
        <v>0</v>
      </c>
      <c r="U58" s="276" t="n">
        <v>0</v>
      </c>
      <c r="V58" s="276" t="n">
        <v>1</v>
      </c>
      <c r="W58" s="276" t="n">
        <v>1</v>
      </c>
      <c r="X58" s="276" t="b">
        <v>1</v>
      </c>
      <c r="Y58" s="276" t="n">
        <v>0.55</v>
      </c>
      <c r="Z58" s="277" t="n">
        <v>0.2477547340393066</v>
      </c>
      <c r="AA58" t="n">
        <v>0.2477547340393066</v>
      </c>
      <c r="AB58" t="n">
        <v>1</v>
      </c>
      <c r="AC58" t="n">
        <v>0.55</v>
      </c>
      <c r="AD58" t="b">
        <v>0</v>
      </c>
      <c r="AE58" t="n">
        <v>1</v>
      </c>
      <c r="AF58" t="n">
        <v>0</v>
      </c>
      <c r="AG58" t="n">
        <v>0</v>
      </c>
      <c r="AH58" t="n">
        <v>1</v>
      </c>
      <c r="AI58" t="n">
        <v>1</v>
      </c>
      <c r="AJ58" t="b">
        <v>1</v>
      </c>
      <c r="AK58" t="n">
        <v>0.65</v>
      </c>
      <c r="AL58" t="n">
        <v>0.2544820668147161</v>
      </c>
      <c r="AM58" t="n">
        <v>0.2544820668147161</v>
      </c>
      <c r="AN58" t="n">
        <v>1</v>
      </c>
      <c r="AO58" t="n">
        <v>0.65</v>
      </c>
    </row>
    <row r="59">
      <c r="A59" s="275" t="inlineStr">
        <is>
          <t>Cybercriminal</t>
        </is>
      </c>
      <c r="B59" s="276" t="inlineStr">
        <is>
          <t>Cyber-enabled theft or fraud</t>
        </is>
      </c>
      <c r="C59" s="276" t="inlineStr">
        <is>
          <t>User endpoint and social engineering</t>
        </is>
      </c>
      <c r="D59" s="276" t="b">
        <v>1</v>
      </c>
      <c r="E59" s="276" t="n">
        <v>0.04626749611197511</v>
      </c>
      <c r="F59" s="276" t="n">
        <v>1</v>
      </c>
      <c r="G59" s="276" t="n">
        <v>0.126</v>
      </c>
      <c r="H59" s="276" t="n">
        <v>1</v>
      </c>
      <c r="I59" s="276" t="n">
        <v>1</v>
      </c>
      <c r="J59" s="276" t="n">
        <v>1</v>
      </c>
      <c r="K59" s="276" t="n">
        <v>1</v>
      </c>
      <c r="L59" s="276" t="b">
        <v>1</v>
      </c>
      <c r="M59" s="276" t="n">
        <v>0.35</v>
      </c>
      <c r="N59" s="276" t="n">
        <v>0.20625</v>
      </c>
      <c r="O59" s="276" t="n">
        <v>0.20625</v>
      </c>
      <c r="P59" s="276" t="n">
        <v>1</v>
      </c>
      <c r="Q59" s="276" t="n">
        <v>0.35</v>
      </c>
      <c r="R59" s="276" t="b">
        <v>1</v>
      </c>
      <c r="S59" s="276" t="n">
        <v>0.6</v>
      </c>
      <c r="T59" s="276" t="n">
        <v>0.2124374569163603</v>
      </c>
      <c r="U59" s="276" t="n">
        <v>0.2124374569163603</v>
      </c>
      <c r="V59" s="276" t="n">
        <v>1</v>
      </c>
      <c r="W59" s="276" t="n">
        <v>0.6</v>
      </c>
      <c r="X59" s="276" t="b">
        <v>0</v>
      </c>
      <c r="Y59" s="276" t="n">
        <v>1</v>
      </c>
      <c r="Z59" s="277" t="n">
        <v>0</v>
      </c>
      <c r="AA59" t="n">
        <v>0</v>
      </c>
      <c r="AB59" t="n">
        <v>1</v>
      </c>
      <c r="AC59" t="n">
        <v>1</v>
      </c>
      <c r="AD59" t="b">
        <v>0</v>
      </c>
      <c r="AE59" t="n">
        <v>1</v>
      </c>
      <c r="AF59" t="n">
        <v>0</v>
      </c>
      <c r="AG59" t="n">
        <v>0</v>
      </c>
      <c r="AH59" t="n">
        <v>1</v>
      </c>
      <c r="AI59" t="n">
        <v>1</v>
      </c>
      <c r="AJ59" t="b">
        <v>1</v>
      </c>
      <c r="AK59" t="n">
        <v>0.6</v>
      </c>
      <c r="AL59" t="n">
        <v>0.2481303977966309</v>
      </c>
      <c r="AM59" t="n">
        <v>0.2481303977966309</v>
      </c>
      <c r="AN59" t="n">
        <v>1</v>
      </c>
      <c r="AO59" t="n">
        <v>0.6</v>
      </c>
    </row>
    <row r="60">
      <c r="A60" s="275" t="inlineStr">
        <is>
          <t>Cybercriminal</t>
        </is>
      </c>
      <c r="B60" s="276" t="inlineStr">
        <is>
          <t>Cyber-enabled theft or fraud</t>
        </is>
      </c>
      <c r="C60" s="276" t="inlineStr">
        <is>
          <t>Public-facing application exploitation</t>
        </is>
      </c>
      <c r="D60" s="276" t="b">
        <v>1</v>
      </c>
      <c r="E60" s="276" t="n">
        <v>0.03257231726283048</v>
      </c>
      <c r="F60" s="276" t="n">
        <v>1</v>
      </c>
      <c r="G60" s="276" t="n">
        <v>0.02025</v>
      </c>
      <c r="H60" s="276" t="n">
        <v>1</v>
      </c>
      <c r="I60" s="276" t="n">
        <v>1</v>
      </c>
      <c r="J60" s="276" t="n">
        <v>1</v>
      </c>
      <c r="K60" s="276" t="n">
        <v>1</v>
      </c>
      <c r="L60" s="276" t="b">
        <v>1</v>
      </c>
      <c r="M60" s="276" t="n">
        <v>0.25</v>
      </c>
      <c r="N60" s="276" t="n">
        <v>0.2496630477905274</v>
      </c>
      <c r="O60" s="276" t="n">
        <v>0.2496630477905274</v>
      </c>
      <c r="P60" s="276" t="n">
        <v>1</v>
      </c>
      <c r="Q60" s="276" t="n">
        <v>0.25</v>
      </c>
      <c r="R60" s="276" t="b">
        <v>1</v>
      </c>
      <c r="S60" s="276" t="n">
        <v>0.6</v>
      </c>
      <c r="T60" s="276" t="n">
        <v>0.1875</v>
      </c>
      <c r="U60" s="276" t="n">
        <v>0.1875</v>
      </c>
      <c r="V60" s="276" t="n">
        <v>1</v>
      </c>
      <c r="W60" s="276" t="n">
        <v>0.6</v>
      </c>
      <c r="X60" s="276" t="b">
        <v>1</v>
      </c>
      <c r="Y60" s="276" t="n">
        <v>0.5</v>
      </c>
      <c r="Z60" s="277" t="n">
        <v>0.2199757778461163</v>
      </c>
      <c r="AA60" t="n">
        <v>0.2199757778461163</v>
      </c>
      <c r="AB60" t="n">
        <v>1</v>
      </c>
      <c r="AC60" t="n">
        <v>0.5</v>
      </c>
      <c r="AD60" t="b">
        <v>1</v>
      </c>
      <c r="AE60" t="n">
        <v>0.45</v>
      </c>
      <c r="AF60" t="n">
        <v>0.1907346013939899</v>
      </c>
      <c r="AG60" t="n">
        <v>0.1907346013939899</v>
      </c>
      <c r="AH60" t="n">
        <v>1</v>
      </c>
      <c r="AI60" t="n">
        <v>0.45</v>
      </c>
      <c r="AJ60" t="b">
        <v>1</v>
      </c>
      <c r="AK60" t="n">
        <v>0.6</v>
      </c>
      <c r="AL60" t="n">
        <v>0.2426256179809571</v>
      </c>
      <c r="AM60" t="n">
        <v>0.2426256179809571</v>
      </c>
      <c r="AN60" t="n">
        <v>1</v>
      </c>
      <c r="AO60" t="n">
        <v>0.6</v>
      </c>
    </row>
    <row r="61">
      <c r="A61" s="275" t="inlineStr">
        <is>
          <t>Cybercriminal</t>
        </is>
      </c>
      <c r="B61" s="276" t="inlineStr">
        <is>
          <t>Cyber-enabled theft or fraud</t>
        </is>
      </c>
      <c r="C61" s="276" t="inlineStr">
        <is>
          <t>Third-party or software supply chain</t>
        </is>
      </c>
      <c r="D61" s="276" t="b">
        <v>1</v>
      </c>
      <c r="E61" s="276" t="n">
        <v>0.01233799896319337</v>
      </c>
      <c r="F61" s="276" t="n">
        <v>1</v>
      </c>
      <c r="G61" s="276" t="n">
        <v>0.196625</v>
      </c>
      <c r="H61" s="276" t="n">
        <v>1</v>
      </c>
      <c r="I61" s="276" t="n">
        <v>1</v>
      </c>
      <c r="J61" s="276" t="n">
        <v>1</v>
      </c>
      <c r="K61" s="276" t="n">
        <v>1</v>
      </c>
      <c r="L61" s="276" t="b">
        <v>0</v>
      </c>
      <c r="M61" s="276" t="n">
        <v>1</v>
      </c>
      <c r="N61" s="276" t="n">
        <v>0</v>
      </c>
      <c r="O61" s="276" t="n">
        <v>0</v>
      </c>
      <c r="P61" s="276" t="n">
        <v>1</v>
      </c>
      <c r="Q61" s="276" t="n">
        <v>1</v>
      </c>
      <c r="R61" s="276" t="b">
        <v>0</v>
      </c>
      <c r="S61" s="276" t="n">
        <v>1</v>
      </c>
      <c r="T61" s="276" t="n">
        <v>0</v>
      </c>
      <c r="U61" s="276" t="n">
        <v>0</v>
      </c>
      <c r="V61" s="276" t="n">
        <v>1</v>
      </c>
      <c r="W61" s="276" t="n">
        <v>1</v>
      </c>
      <c r="X61" s="276" t="b">
        <v>1</v>
      </c>
      <c r="Y61" s="276" t="n">
        <v>0.55</v>
      </c>
      <c r="Z61" s="277" t="n">
        <v>0.22181427526474</v>
      </c>
      <c r="AA61" t="n">
        <v>0.22181427526474</v>
      </c>
      <c r="AB61" t="n">
        <v>1</v>
      </c>
      <c r="AC61" t="n">
        <v>0.55</v>
      </c>
      <c r="AD61" t="b">
        <v>1</v>
      </c>
      <c r="AE61" t="n">
        <v>0.55</v>
      </c>
      <c r="AF61" t="n">
        <v>0.10376953125</v>
      </c>
      <c r="AG61" t="n">
        <v>0.10376953125</v>
      </c>
      <c r="AH61" t="n">
        <v>1</v>
      </c>
      <c r="AI61" t="n">
        <v>0.55</v>
      </c>
      <c r="AJ61" t="b">
        <v>1</v>
      </c>
      <c r="AK61" t="n">
        <v>0.65</v>
      </c>
      <c r="AL61" t="n">
        <v>0.2456282251531427</v>
      </c>
      <c r="AM61" t="n">
        <v>0.2456282251531427</v>
      </c>
      <c r="AN61" t="n">
        <v>1</v>
      </c>
      <c r="AO61" t="n">
        <v>0.65</v>
      </c>
    </row>
    <row r="62">
      <c r="A62" s="275" t="inlineStr">
        <is>
          <t>Cybercriminal</t>
        </is>
      </c>
      <c r="B62" s="276" t="inlineStr">
        <is>
          <t>Cyber-enabled theft or fraud</t>
        </is>
      </c>
      <c r="C62" s="276" t="inlineStr">
        <is>
          <t>Direct availability or DDoS</t>
        </is>
      </c>
      <c r="D62" s="276" t="b">
        <v>0</v>
      </c>
      <c r="E62" s="276" t="n">
        <v>0</v>
      </c>
      <c r="F62" s="276" t="n">
        <v>1</v>
      </c>
      <c r="G62" s="276" t="n">
        <v>0</v>
      </c>
      <c r="H62" s="276" t="n">
        <v>1</v>
      </c>
      <c r="I62" s="276" t="n">
        <v>1</v>
      </c>
      <c r="J62" s="276" t="n">
        <v>1</v>
      </c>
      <c r="K62" s="276" t="n">
        <v>1</v>
      </c>
      <c r="L62" s="276" t="b">
        <v>0</v>
      </c>
      <c r="M62" s="276" t="n">
        <v>1</v>
      </c>
      <c r="N62" s="276" t="n">
        <v>0</v>
      </c>
      <c r="O62" s="276" t="n">
        <v>0</v>
      </c>
      <c r="P62" s="276" t="n">
        <v>1</v>
      </c>
      <c r="Q62" s="276" t="n">
        <v>1</v>
      </c>
      <c r="R62" s="276" t="b">
        <v>0</v>
      </c>
      <c r="S62" s="276" t="n">
        <v>1</v>
      </c>
      <c r="T62" s="276" t="n">
        <v>0</v>
      </c>
      <c r="U62" s="276" t="n">
        <v>0</v>
      </c>
      <c r="V62" s="276" t="n">
        <v>1</v>
      </c>
      <c r="W62" s="276" t="n">
        <v>1</v>
      </c>
      <c r="X62" s="276" t="b">
        <v>0</v>
      </c>
      <c r="Y62" s="276" t="n">
        <v>1</v>
      </c>
      <c r="Z62" s="277" t="n">
        <v>0</v>
      </c>
      <c r="AA62" t="n">
        <v>0</v>
      </c>
      <c r="AB62" t="n">
        <v>1</v>
      </c>
      <c r="AC62" t="n">
        <v>1</v>
      </c>
      <c r="AD62" t="b">
        <v>0</v>
      </c>
      <c r="AE62" t="n">
        <v>1</v>
      </c>
      <c r="AF62" t="n">
        <v>0</v>
      </c>
      <c r="AG62" t="n">
        <v>0</v>
      </c>
      <c r="AH62" t="n">
        <v>1</v>
      </c>
      <c r="AI62" t="n">
        <v>1</v>
      </c>
      <c r="AJ62" t="b">
        <v>0</v>
      </c>
      <c r="AK62" t="n">
        <v>1</v>
      </c>
      <c r="AL62" t="n">
        <v>0</v>
      </c>
      <c r="AM62" t="n">
        <v>0</v>
      </c>
      <c r="AN62" t="n">
        <v>1</v>
      </c>
      <c r="AO62" t="n">
        <v>1</v>
      </c>
    </row>
    <row r="63">
      <c r="A63" s="275" t="inlineStr">
        <is>
          <t>Cybercriminal</t>
        </is>
      </c>
      <c r="B63" s="276" t="inlineStr">
        <is>
          <t>Cyber-enabled theft or fraud</t>
        </is>
      </c>
      <c r="C63" s="276" t="inlineStr">
        <is>
          <t>Insider or trusted access</t>
        </is>
      </c>
      <c r="D63" s="276" t="b">
        <v>1</v>
      </c>
      <c r="E63" s="276" t="n">
        <v>0.01727319854847071</v>
      </c>
      <c r="F63" s="276" t="n">
        <v>1</v>
      </c>
      <c r="G63" s="276" t="n">
        <v>0.455</v>
      </c>
      <c r="H63" s="276" t="n">
        <v>1</v>
      </c>
      <c r="I63" s="276" t="n">
        <v>1</v>
      </c>
      <c r="J63" s="276" t="n">
        <v>1</v>
      </c>
      <c r="K63" s="276" t="n">
        <v>1</v>
      </c>
      <c r="L63" s="276" t="b">
        <v>0</v>
      </c>
      <c r="M63" s="276" t="n">
        <v>1</v>
      </c>
      <c r="N63" s="276" t="n">
        <v>0</v>
      </c>
      <c r="O63" s="276" t="n">
        <v>0</v>
      </c>
      <c r="P63" s="276" t="n">
        <v>1</v>
      </c>
      <c r="Q63" s="276" t="n">
        <v>1</v>
      </c>
      <c r="R63" s="276" t="b">
        <v>0</v>
      </c>
      <c r="S63" s="276" t="n">
        <v>1</v>
      </c>
      <c r="T63" s="276" t="n">
        <v>0</v>
      </c>
      <c r="U63" s="276" t="n">
        <v>0</v>
      </c>
      <c r="V63" s="276" t="n">
        <v>1</v>
      </c>
      <c r="W63" s="276" t="n">
        <v>1</v>
      </c>
      <c r="X63" s="276" t="b">
        <v>1</v>
      </c>
      <c r="Y63" s="276" t="n">
        <v>0.7</v>
      </c>
      <c r="Z63" s="277" t="n">
        <v>0.2477547340393066</v>
      </c>
      <c r="AA63" t="n">
        <v>0.2477547340393066</v>
      </c>
      <c r="AB63" t="n">
        <v>1</v>
      </c>
      <c r="AC63" t="n">
        <v>0.7</v>
      </c>
      <c r="AD63" t="b">
        <v>0</v>
      </c>
      <c r="AE63" t="n">
        <v>1</v>
      </c>
      <c r="AF63" t="n">
        <v>0</v>
      </c>
      <c r="AG63" t="n">
        <v>0</v>
      </c>
      <c r="AH63" t="n">
        <v>1</v>
      </c>
      <c r="AI63" t="n">
        <v>1</v>
      </c>
      <c r="AJ63" t="b">
        <v>1</v>
      </c>
      <c r="AK63" t="n">
        <v>0.65</v>
      </c>
      <c r="AL63" t="n">
        <v>0.2481303977966309</v>
      </c>
      <c r="AM63" t="n">
        <v>0.2481303977966309</v>
      </c>
      <c r="AN63" t="n">
        <v>1</v>
      </c>
      <c r="AO63" t="n">
        <v>0.65</v>
      </c>
    </row>
    <row r="64">
      <c r="A64" s="275" t="inlineStr">
        <is>
          <t>Malicious insider</t>
        </is>
      </c>
      <c r="B64" s="276" t="inlineStr">
        <is>
          <t>Critical business-service disruption</t>
        </is>
      </c>
      <c r="C64" s="276" t="inlineStr">
        <is>
          <t>Identity and credential compromise</t>
        </is>
      </c>
      <c r="D64" s="276" t="b">
        <v>1</v>
      </c>
      <c r="E64" s="276" t="n">
        <v>0.002304147465437788</v>
      </c>
      <c r="F64" s="276" t="n">
        <v>1</v>
      </c>
      <c r="G64" s="276" t="n">
        <v>0.05898750000000001</v>
      </c>
      <c r="H64" s="276" t="n">
        <v>1</v>
      </c>
      <c r="I64" s="276" t="n">
        <v>1</v>
      </c>
      <c r="J64" s="276" t="n">
        <v>1</v>
      </c>
      <c r="K64" s="276" t="n">
        <v>1</v>
      </c>
      <c r="L64" s="276" t="b">
        <v>1</v>
      </c>
      <c r="M64" s="276" t="n">
        <v>0.3</v>
      </c>
      <c r="N64" s="276" t="n">
        <v>0.2391796875</v>
      </c>
      <c r="O64" s="276" t="n">
        <v>0.2391796875</v>
      </c>
      <c r="P64" s="276" t="n">
        <v>1</v>
      </c>
      <c r="Q64" s="276" t="n">
        <v>0.3</v>
      </c>
      <c r="R64" s="276" t="b">
        <v>0</v>
      </c>
      <c r="S64" s="276" t="n">
        <v>1</v>
      </c>
      <c r="T64" s="276" t="n">
        <v>0</v>
      </c>
      <c r="U64" s="276" t="n">
        <v>0</v>
      </c>
      <c r="V64" s="276" t="n">
        <v>1</v>
      </c>
      <c r="W64" s="276" t="n">
        <v>1</v>
      </c>
      <c r="X64" s="276" t="b">
        <v>1</v>
      </c>
      <c r="Y64" s="276" t="n">
        <v>0.55</v>
      </c>
      <c r="Z64" s="277" t="n">
        <v>0.2477547340393066</v>
      </c>
      <c r="AA64" t="n">
        <v>0.2477547340393066</v>
      </c>
      <c r="AB64" t="n">
        <v>1</v>
      </c>
      <c r="AC64" t="n">
        <v>0.55</v>
      </c>
      <c r="AD64" t="b">
        <v>1</v>
      </c>
      <c r="AE64" t="n">
        <v>0.55</v>
      </c>
      <c r="AF64" t="n">
        <v>0</v>
      </c>
      <c r="AG64" t="n">
        <v>0</v>
      </c>
      <c r="AH64" t="n">
        <v>1</v>
      </c>
      <c r="AI64" t="n">
        <v>0.55</v>
      </c>
      <c r="AJ64" t="b">
        <v>1</v>
      </c>
      <c r="AK64" t="n">
        <v>0.65</v>
      </c>
      <c r="AL64" t="n">
        <v>0.1269045829772949</v>
      </c>
      <c r="AM64" t="n">
        <v>0.1269045829772949</v>
      </c>
      <c r="AN64" t="n">
        <v>1</v>
      </c>
      <c r="AO64" t="n">
        <v>0.65</v>
      </c>
    </row>
    <row r="65">
      <c r="A65" s="275" t="inlineStr">
        <is>
          <t>Malicious insider</t>
        </is>
      </c>
      <c r="B65" s="276" t="inlineStr">
        <is>
          <t>Critical business-service disruption</t>
        </is>
      </c>
      <c r="C65" s="276" t="inlineStr">
        <is>
          <t>User endpoint and social engineering</t>
        </is>
      </c>
      <c r="D65" s="276" t="b">
        <v>1</v>
      </c>
      <c r="E65" s="276" t="n">
        <v>0.002027649769585254</v>
      </c>
      <c r="F65" s="276" t="n">
        <v>1</v>
      </c>
      <c r="G65" s="276" t="n">
        <v>0.025515</v>
      </c>
      <c r="H65" s="276" t="n">
        <v>1</v>
      </c>
      <c r="I65" s="276" t="n">
        <v>1</v>
      </c>
      <c r="J65" s="276" t="n">
        <v>1</v>
      </c>
      <c r="K65" s="276" t="n">
        <v>1</v>
      </c>
      <c r="L65" s="276" t="b">
        <v>1</v>
      </c>
      <c r="M65" s="276" t="n">
        <v>0.35</v>
      </c>
      <c r="N65" s="276" t="n">
        <v>0.20625</v>
      </c>
      <c r="O65" s="276" t="n">
        <v>0.20625</v>
      </c>
      <c r="P65" s="276" t="n">
        <v>1</v>
      </c>
      <c r="Q65" s="276" t="n">
        <v>0.35</v>
      </c>
      <c r="R65" s="276" t="b">
        <v>1</v>
      </c>
      <c r="S65" s="276" t="n">
        <v>0.6</v>
      </c>
      <c r="T65" s="276" t="n">
        <v>0.1875</v>
      </c>
      <c r="U65" s="276" t="n">
        <v>0.1875</v>
      </c>
      <c r="V65" s="276" t="n">
        <v>1</v>
      </c>
      <c r="W65" s="276" t="n">
        <v>0.6</v>
      </c>
      <c r="X65" s="276" t="b">
        <v>1</v>
      </c>
      <c r="Y65" s="276" t="n">
        <v>0.45</v>
      </c>
      <c r="Z65" s="277" t="n">
        <v>0.2216183303833008</v>
      </c>
      <c r="AA65" t="n">
        <v>0.2216183303833008</v>
      </c>
      <c r="AB65" t="n">
        <v>1</v>
      </c>
      <c r="AC65" t="n">
        <v>0.45</v>
      </c>
      <c r="AD65" t="b">
        <v>1</v>
      </c>
      <c r="AE65" t="n">
        <v>0.45</v>
      </c>
      <c r="AF65" t="n">
        <v>0.1794642857142857</v>
      </c>
      <c r="AG65" t="n">
        <v>0.1794642857142857</v>
      </c>
      <c r="AH65" t="n">
        <v>1</v>
      </c>
      <c r="AI65" t="n">
        <v>0.45</v>
      </c>
      <c r="AJ65" t="b">
        <v>1</v>
      </c>
      <c r="AK65" t="n">
        <v>0.6</v>
      </c>
      <c r="AL65" t="n">
        <v>0.1226516246795654</v>
      </c>
      <c r="AM65" t="n">
        <v>0.1226516246795654</v>
      </c>
      <c r="AN65" t="n">
        <v>1</v>
      </c>
      <c r="AO65" t="n">
        <v>0.6</v>
      </c>
    </row>
    <row r="66">
      <c r="A66" s="275" t="inlineStr">
        <is>
          <t>Malicious insider</t>
        </is>
      </c>
      <c r="B66" s="276" t="inlineStr">
        <is>
          <t>Critical business-service disruption</t>
        </is>
      </c>
      <c r="C66" s="276" t="inlineStr">
        <is>
          <t>Public-facing application exploitation</t>
        </is>
      </c>
      <c r="D66" s="276" t="b">
        <v>0</v>
      </c>
      <c r="E66" s="276" t="n">
        <v>0</v>
      </c>
      <c r="F66" s="276" t="n">
        <v>1</v>
      </c>
      <c r="G66" s="276" t="n">
        <v>0</v>
      </c>
      <c r="H66" s="276" t="n">
        <v>1</v>
      </c>
      <c r="I66" s="276" t="n">
        <v>1</v>
      </c>
      <c r="J66" s="276" t="n">
        <v>1</v>
      </c>
      <c r="K66" s="276" t="n">
        <v>1</v>
      </c>
      <c r="L66" s="276" t="b">
        <v>1</v>
      </c>
      <c r="M66" s="276" t="n">
        <v>0.25</v>
      </c>
      <c r="N66" s="276" t="n">
        <v>0</v>
      </c>
      <c r="O66" s="276" t="n">
        <v>0</v>
      </c>
      <c r="P66" s="276" t="n">
        <v>1</v>
      </c>
      <c r="Q66" s="276" t="n">
        <v>0</v>
      </c>
      <c r="R66" s="276" t="b">
        <v>1</v>
      </c>
      <c r="S66" s="276" t="n">
        <v>0.6</v>
      </c>
      <c r="T66" s="276" t="n">
        <v>0.1875</v>
      </c>
      <c r="U66" s="276" t="n">
        <v>0.1875</v>
      </c>
      <c r="V66" s="276" t="n">
        <v>1</v>
      </c>
      <c r="W66" s="276" t="n">
        <v>0.6</v>
      </c>
      <c r="X66" s="276" t="b">
        <v>1</v>
      </c>
      <c r="Y66" s="276" t="n">
        <v>0.5</v>
      </c>
      <c r="Z66" s="277" t="n">
        <v>0.2199757778461163</v>
      </c>
      <c r="AA66" t="n">
        <v>0.2199757778461163</v>
      </c>
      <c r="AB66" t="n">
        <v>1</v>
      </c>
      <c r="AC66" t="n">
        <v>0.5</v>
      </c>
      <c r="AD66" t="b">
        <v>1</v>
      </c>
      <c r="AE66" t="n">
        <v>0.45</v>
      </c>
      <c r="AF66" t="n">
        <v>0.1907346013939899</v>
      </c>
      <c r="AG66" t="n">
        <v>0.1907346013939899</v>
      </c>
      <c r="AH66" t="n">
        <v>1</v>
      </c>
      <c r="AI66" t="n">
        <v>0.45</v>
      </c>
      <c r="AJ66" t="b">
        <v>1</v>
      </c>
      <c r="AK66" t="n">
        <v>0.6</v>
      </c>
      <c r="AL66" t="n">
        <v>0.1374199407240924</v>
      </c>
      <c r="AM66" t="n">
        <v>0.1374199407240924</v>
      </c>
      <c r="AN66" t="n">
        <v>1</v>
      </c>
      <c r="AO66" t="n">
        <v>0.6</v>
      </c>
    </row>
    <row r="67">
      <c r="A67" s="275" t="inlineStr">
        <is>
          <t>Malicious insider</t>
        </is>
      </c>
      <c r="B67" s="276" t="inlineStr">
        <is>
          <t>Critical business-service disruption</t>
        </is>
      </c>
      <c r="C67" s="276" t="inlineStr">
        <is>
          <t>Third-party or software supply chain</t>
        </is>
      </c>
      <c r="D67" s="276" t="b">
        <v>1</v>
      </c>
      <c r="E67" s="276" t="n">
        <v>0.002304147465437788</v>
      </c>
      <c r="F67" s="276" t="n">
        <v>1</v>
      </c>
      <c r="G67" s="276" t="n">
        <v>0.196625</v>
      </c>
      <c r="H67" s="276" t="n">
        <v>1</v>
      </c>
      <c r="I67" s="276" t="n">
        <v>1</v>
      </c>
      <c r="J67" s="276" t="n">
        <v>1</v>
      </c>
      <c r="K67" s="276" t="n">
        <v>1</v>
      </c>
      <c r="L67" s="276" t="b">
        <v>0</v>
      </c>
      <c r="M67" s="276" t="n">
        <v>1</v>
      </c>
      <c r="N67" s="276" t="n">
        <v>0</v>
      </c>
      <c r="O67" s="276" t="n">
        <v>0</v>
      </c>
      <c r="P67" s="276" t="n">
        <v>1</v>
      </c>
      <c r="Q67" s="276" t="n">
        <v>1</v>
      </c>
      <c r="R67" s="276" t="b">
        <v>0</v>
      </c>
      <c r="S67" s="276" t="n">
        <v>1</v>
      </c>
      <c r="T67" s="276" t="n">
        <v>0</v>
      </c>
      <c r="U67" s="276" t="n">
        <v>0</v>
      </c>
      <c r="V67" s="276" t="n">
        <v>1</v>
      </c>
      <c r="W67" s="276" t="n">
        <v>1</v>
      </c>
      <c r="X67" s="276" t="b">
        <v>1</v>
      </c>
      <c r="Y67" s="276" t="n">
        <v>0.55</v>
      </c>
      <c r="Z67" s="277" t="n">
        <v>0.22181427526474</v>
      </c>
      <c r="AA67" t="n">
        <v>0.22181427526474</v>
      </c>
      <c r="AB67" t="n">
        <v>1</v>
      </c>
      <c r="AC67" t="n">
        <v>0.55</v>
      </c>
      <c r="AD67" t="b">
        <v>1</v>
      </c>
      <c r="AE67" t="n">
        <v>0.55</v>
      </c>
      <c r="AF67" t="n">
        <v>0</v>
      </c>
      <c r="AG67" t="n">
        <v>0</v>
      </c>
      <c r="AH67" t="n">
        <v>1</v>
      </c>
      <c r="AI67" t="n">
        <v>0.55</v>
      </c>
      <c r="AJ67" t="b">
        <v>1</v>
      </c>
      <c r="AK67" t="n">
        <v>0.65</v>
      </c>
      <c r="AL67" t="n">
        <v>0.1970353629372337</v>
      </c>
      <c r="AM67" t="n">
        <v>0.1970353629372337</v>
      </c>
      <c r="AN67" t="n">
        <v>1</v>
      </c>
      <c r="AO67" t="n">
        <v>0.65</v>
      </c>
    </row>
    <row r="68">
      <c r="A68" s="275" t="inlineStr">
        <is>
          <t>Malicious insider</t>
        </is>
      </c>
      <c r="B68" s="276" t="inlineStr">
        <is>
          <t>Critical business-service disruption</t>
        </is>
      </c>
      <c r="C68" s="276" t="inlineStr">
        <is>
          <t>Direct availability or DDoS</t>
        </is>
      </c>
      <c r="D68" s="276" t="b">
        <v>0</v>
      </c>
      <c r="E68" s="276" t="n">
        <v>0</v>
      </c>
      <c r="F68" s="276" t="n">
        <v>1</v>
      </c>
      <c r="G68" s="276" t="n">
        <v>0</v>
      </c>
      <c r="H68" s="276" t="n">
        <v>1</v>
      </c>
      <c r="I68" s="276" t="n">
        <v>1</v>
      </c>
      <c r="J68" s="276" t="n">
        <v>1</v>
      </c>
      <c r="K68" s="276" t="n">
        <v>1</v>
      </c>
      <c r="L68" s="276" t="b">
        <v>1</v>
      </c>
      <c r="M68" s="276" t="n">
        <v>0.6</v>
      </c>
      <c r="N68" s="276" t="n">
        <v>0</v>
      </c>
      <c r="O68" s="276" t="n">
        <v>0</v>
      </c>
      <c r="P68" s="276" t="n">
        <v>1</v>
      </c>
      <c r="Q68" s="276" t="n">
        <v>0</v>
      </c>
      <c r="R68" s="276" t="b">
        <v>0</v>
      </c>
      <c r="S68" s="276" t="n">
        <v>1</v>
      </c>
      <c r="T68" s="276" t="n">
        <v>0</v>
      </c>
      <c r="U68" s="276" t="n">
        <v>0</v>
      </c>
      <c r="V68" s="276" t="n">
        <v>1</v>
      </c>
      <c r="W68" s="276" t="n">
        <v>1</v>
      </c>
      <c r="X68" s="276" t="b">
        <v>0</v>
      </c>
      <c r="Y68" s="276" t="n">
        <v>1</v>
      </c>
      <c r="Z68" s="277" t="n">
        <v>0</v>
      </c>
      <c r="AA68" t="n">
        <v>0</v>
      </c>
      <c r="AB68" t="n">
        <v>1</v>
      </c>
      <c r="AC68" t="n">
        <v>1</v>
      </c>
      <c r="AD68" t="b">
        <v>0</v>
      </c>
      <c r="AE68" t="n">
        <v>1</v>
      </c>
      <c r="AF68" t="n">
        <v>0</v>
      </c>
      <c r="AG68" t="n">
        <v>0</v>
      </c>
      <c r="AH68" t="n">
        <v>1</v>
      </c>
      <c r="AI68" t="n">
        <v>1</v>
      </c>
      <c r="AJ68" t="b">
        <v>1</v>
      </c>
      <c r="AK68" t="n">
        <v>0.6</v>
      </c>
      <c r="AL68" t="n">
        <v>0</v>
      </c>
      <c r="AM68" t="n">
        <v>0</v>
      </c>
      <c r="AN68" t="n">
        <v>1</v>
      </c>
      <c r="AO68" t="n">
        <v>0</v>
      </c>
    </row>
    <row r="69">
      <c r="A69" s="275" t="inlineStr">
        <is>
          <t>Malicious insider</t>
        </is>
      </c>
      <c r="B69" s="276" t="inlineStr">
        <is>
          <t>Critical business-service disruption</t>
        </is>
      </c>
      <c r="C69" s="276" t="inlineStr">
        <is>
          <t>Insider or trusted access</t>
        </is>
      </c>
      <c r="D69" s="276" t="b">
        <v>1</v>
      </c>
      <c r="E69" s="276" t="n">
        <v>0.01336405529953917</v>
      </c>
      <c r="F69" s="276" t="n">
        <v>1</v>
      </c>
      <c r="G69" s="276" t="n">
        <v>0.29575</v>
      </c>
      <c r="H69" s="276" t="n">
        <v>1</v>
      </c>
      <c r="I69" s="276" t="n">
        <v>1</v>
      </c>
      <c r="J69" s="276" t="n">
        <v>1</v>
      </c>
      <c r="K69" s="276" t="n">
        <v>1</v>
      </c>
      <c r="L69" s="276" t="b">
        <v>0</v>
      </c>
      <c r="M69" s="276" t="n">
        <v>1</v>
      </c>
      <c r="N69" s="276" t="n">
        <v>0</v>
      </c>
      <c r="O69" s="276" t="n">
        <v>0</v>
      </c>
      <c r="P69" s="276" t="n">
        <v>1</v>
      </c>
      <c r="Q69" s="276" t="n">
        <v>1</v>
      </c>
      <c r="R69" s="276" t="b">
        <v>0</v>
      </c>
      <c r="S69" s="276" t="n">
        <v>1</v>
      </c>
      <c r="T69" s="276" t="n">
        <v>0</v>
      </c>
      <c r="U69" s="276" t="n">
        <v>0</v>
      </c>
      <c r="V69" s="276" t="n">
        <v>1</v>
      </c>
      <c r="W69" s="276" t="n">
        <v>1</v>
      </c>
      <c r="X69" s="276" t="b">
        <v>1</v>
      </c>
      <c r="Y69" s="276" t="n">
        <v>0.7</v>
      </c>
      <c r="Z69" s="277" t="n">
        <v>0.2477547340393066</v>
      </c>
      <c r="AA69" t="n">
        <v>0.2477547340393066</v>
      </c>
      <c r="AB69" t="n">
        <v>1</v>
      </c>
      <c r="AC69" t="n">
        <v>0.7</v>
      </c>
      <c r="AD69" t="b">
        <v>1</v>
      </c>
      <c r="AE69" t="n">
        <v>0.65</v>
      </c>
      <c r="AF69" t="n">
        <v>0</v>
      </c>
      <c r="AG69" t="n">
        <v>0</v>
      </c>
      <c r="AH69" t="n">
        <v>1</v>
      </c>
      <c r="AI69" t="n">
        <v>0.65</v>
      </c>
      <c r="AJ69" t="b">
        <v>1</v>
      </c>
      <c r="AK69" t="n">
        <v>0.65</v>
      </c>
      <c r="AL69" t="n">
        <v>0.2206064987182617</v>
      </c>
      <c r="AM69" t="n">
        <v>0.2206064987182617</v>
      </c>
      <c r="AN69" t="n">
        <v>1</v>
      </c>
      <c r="AO69" t="n">
        <v>0.65</v>
      </c>
    </row>
    <row r="70">
      <c r="A70" s="275" t="inlineStr">
        <is>
          <t>Malicious insider</t>
        </is>
      </c>
      <c r="B70" s="276" t="inlineStr">
        <is>
          <t>Sensitive-data compromise</t>
        </is>
      </c>
      <c r="C70" s="276" t="inlineStr">
        <is>
          <t>Identity and credential compromise</t>
        </is>
      </c>
      <c r="D70" s="276" t="b">
        <v>1</v>
      </c>
      <c r="E70" s="276" t="n">
        <v>0.004513540621865597</v>
      </c>
      <c r="F70" s="276" t="n">
        <v>1</v>
      </c>
      <c r="G70" s="276" t="n">
        <v>0.05898750000000001</v>
      </c>
      <c r="H70" s="276" t="n">
        <v>1</v>
      </c>
      <c r="I70" s="276" t="n">
        <v>1</v>
      </c>
      <c r="J70" s="276" t="n">
        <v>1</v>
      </c>
      <c r="K70" s="276" t="n">
        <v>1</v>
      </c>
      <c r="L70" s="276" t="b">
        <v>1</v>
      </c>
      <c r="M70" s="276" t="n">
        <v>0.3</v>
      </c>
      <c r="N70" s="276" t="n">
        <v>0.2391796875</v>
      </c>
      <c r="O70" s="276" t="n">
        <v>0.2391796875</v>
      </c>
      <c r="P70" s="276" t="n">
        <v>1</v>
      </c>
      <c r="Q70" s="276" t="n">
        <v>0.3</v>
      </c>
      <c r="R70" s="276" t="b">
        <v>0</v>
      </c>
      <c r="S70" s="276" t="n">
        <v>1</v>
      </c>
      <c r="T70" s="276" t="n">
        <v>0</v>
      </c>
      <c r="U70" s="276" t="n">
        <v>0</v>
      </c>
      <c r="V70" s="276" t="n">
        <v>1</v>
      </c>
      <c r="W70" s="276" t="n">
        <v>1</v>
      </c>
      <c r="X70" s="276" t="b">
        <v>1</v>
      </c>
      <c r="Y70" s="276" t="n">
        <v>0.55</v>
      </c>
      <c r="Z70" s="277" t="n">
        <v>0.2477547340393066</v>
      </c>
      <c r="AA70" t="n">
        <v>0.2477547340393066</v>
      </c>
      <c r="AB70" t="n">
        <v>1</v>
      </c>
      <c r="AC70" t="n">
        <v>0.55</v>
      </c>
      <c r="AD70" t="b">
        <v>1</v>
      </c>
      <c r="AE70" t="n">
        <v>0.55</v>
      </c>
      <c r="AF70" t="n">
        <v>0.1016517857142858</v>
      </c>
      <c r="AG70" t="n">
        <v>0.1016517857142858</v>
      </c>
      <c r="AH70" t="n">
        <v>1</v>
      </c>
      <c r="AI70" t="n">
        <v>0.55</v>
      </c>
      <c r="AJ70" t="b">
        <v>1</v>
      </c>
      <c r="AK70" t="n">
        <v>0.65</v>
      </c>
      <c r="AL70" t="n">
        <v>0.20625</v>
      </c>
      <c r="AM70" t="n">
        <v>0.20625</v>
      </c>
      <c r="AN70" t="n">
        <v>1</v>
      </c>
      <c r="AO70" t="n">
        <v>0.65</v>
      </c>
    </row>
    <row r="71">
      <c r="A71" s="275" t="inlineStr">
        <is>
          <t>Malicious insider</t>
        </is>
      </c>
      <c r="B71" s="276" t="inlineStr">
        <is>
          <t>Sensitive-data compromise</t>
        </is>
      </c>
      <c r="C71" s="276" t="inlineStr">
        <is>
          <t>User endpoint and social engineering</t>
        </is>
      </c>
      <c r="D71" s="276" t="b">
        <v>1</v>
      </c>
      <c r="E71" s="276" t="n">
        <v>0.001985957873620863</v>
      </c>
      <c r="F71" s="276" t="n">
        <v>1</v>
      </c>
      <c r="G71" s="276" t="n">
        <v>0.025515</v>
      </c>
      <c r="H71" s="276" t="n">
        <v>1</v>
      </c>
      <c r="I71" s="276" t="n">
        <v>1</v>
      </c>
      <c r="J71" s="276" t="n">
        <v>1</v>
      </c>
      <c r="K71" s="276" t="n">
        <v>1</v>
      </c>
      <c r="L71" s="276" t="b">
        <v>1</v>
      </c>
      <c r="M71" s="276" t="n">
        <v>0.35</v>
      </c>
      <c r="N71" s="276" t="n">
        <v>0.20625</v>
      </c>
      <c r="O71" s="276" t="n">
        <v>0.20625</v>
      </c>
      <c r="P71" s="276" t="n">
        <v>1</v>
      </c>
      <c r="Q71" s="276" t="n">
        <v>0.35</v>
      </c>
      <c r="R71" s="276" t="b">
        <v>1</v>
      </c>
      <c r="S71" s="276" t="n">
        <v>0.6</v>
      </c>
      <c r="T71" s="276" t="n">
        <v>0.1875</v>
      </c>
      <c r="U71" s="276" t="n">
        <v>0.1875</v>
      </c>
      <c r="V71" s="276" t="n">
        <v>1</v>
      </c>
      <c r="W71" s="276" t="n">
        <v>0.6</v>
      </c>
      <c r="X71" s="276" t="b">
        <v>1</v>
      </c>
      <c r="Y71" s="276" t="n">
        <v>0.45</v>
      </c>
      <c r="Z71" s="277" t="n">
        <v>0.2216183303833008</v>
      </c>
      <c r="AA71" t="n">
        <v>0.2216183303833008</v>
      </c>
      <c r="AB71" t="n">
        <v>1</v>
      </c>
      <c r="AC71" t="n">
        <v>0.45</v>
      </c>
      <c r="AD71" t="b">
        <v>1</v>
      </c>
      <c r="AE71" t="n">
        <v>0.45</v>
      </c>
      <c r="AF71" t="n">
        <v>0.1789397321428572</v>
      </c>
      <c r="AG71" t="n">
        <v>0.1789397321428572</v>
      </c>
      <c r="AH71" t="n">
        <v>1</v>
      </c>
      <c r="AI71" t="n">
        <v>0.45</v>
      </c>
      <c r="AJ71" t="b">
        <v>1</v>
      </c>
      <c r="AK71" t="n">
        <v>0.6</v>
      </c>
      <c r="AL71" t="n">
        <v>0.20625</v>
      </c>
      <c r="AM71" t="n">
        <v>0.20625</v>
      </c>
      <c r="AN71" t="n">
        <v>1</v>
      </c>
      <c r="AO71" t="n">
        <v>0.6</v>
      </c>
    </row>
    <row r="72">
      <c r="A72" s="275" t="inlineStr">
        <is>
          <t>Malicious insider</t>
        </is>
      </c>
      <c r="B72" s="276" t="inlineStr">
        <is>
          <t>Sensitive-data compromise</t>
        </is>
      </c>
      <c r="C72" s="276" t="inlineStr">
        <is>
          <t>Public-facing application exploitation</t>
        </is>
      </c>
      <c r="D72" s="276" t="b">
        <v>0</v>
      </c>
      <c r="E72" s="276" t="n">
        <v>0</v>
      </c>
      <c r="F72" s="276" t="n">
        <v>1</v>
      </c>
      <c r="G72" s="276" t="n">
        <v>0</v>
      </c>
      <c r="H72" s="276" t="n">
        <v>1</v>
      </c>
      <c r="I72" s="276" t="n">
        <v>1</v>
      </c>
      <c r="J72" s="276" t="n">
        <v>1</v>
      </c>
      <c r="K72" s="276" t="n">
        <v>1</v>
      </c>
      <c r="L72" s="276" t="b">
        <v>1</v>
      </c>
      <c r="M72" s="276" t="n">
        <v>0.25</v>
      </c>
      <c r="N72" s="276" t="n">
        <v>0</v>
      </c>
      <c r="O72" s="276" t="n">
        <v>0</v>
      </c>
      <c r="P72" s="276" t="n">
        <v>1</v>
      </c>
      <c r="Q72" s="276" t="n">
        <v>0</v>
      </c>
      <c r="R72" s="276" t="b">
        <v>1</v>
      </c>
      <c r="S72" s="276" t="n">
        <v>0.6</v>
      </c>
      <c r="T72" s="276" t="n">
        <v>0.1875</v>
      </c>
      <c r="U72" s="276" t="n">
        <v>0.1875</v>
      </c>
      <c r="V72" s="276" t="n">
        <v>1</v>
      </c>
      <c r="W72" s="276" t="n">
        <v>0.6</v>
      </c>
      <c r="X72" s="276" t="b">
        <v>1</v>
      </c>
      <c r="Y72" s="276" t="n">
        <v>0.5</v>
      </c>
      <c r="Z72" s="277" t="n">
        <v>0.2199757778461163</v>
      </c>
      <c r="AA72" t="n">
        <v>0.2199757778461163</v>
      </c>
      <c r="AB72" t="n">
        <v>1</v>
      </c>
      <c r="AC72" t="n">
        <v>0.5</v>
      </c>
      <c r="AD72" t="b">
        <v>1</v>
      </c>
      <c r="AE72" t="n">
        <v>0.45</v>
      </c>
      <c r="AF72" t="n">
        <v>0.1907346013939899</v>
      </c>
      <c r="AG72" t="n">
        <v>0.1907346013939899</v>
      </c>
      <c r="AH72" t="n">
        <v>1</v>
      </c>
      <c r="AI72" t="n">
        <v>0.45</v>
      </c>
      <c r="AJ72" t="b">
        <v>1</v>
      </c>
      <c r="AK72" t="n">
        <v>0.6</v>
      </c>
      <c r="AL72" t="n">
        <v>0.20625</v>
      </c>
      <c r="AM72" t="n">
        <v>0.20625</v>
      </c>
      <c r="AN72" t="n">
        <v>1</v>
      </c>
      <c r="AO72" t="n">
        <v>0.6</v>
      </c>
    </row>
    <row r="73">
      <c r="A73" s="275" t="inlineStr">
        <is>
          <t>Malicious insider</t>
        </is>
      </c>
      <c r="B73" s="276" t="inlineStr">
        <is>
          <t>Sensitive-data compromise</t>
        </is>
      </c>
      <c r="C73" s="276" t="inlineStr">
        <is>
          <t>Third-party or software supply chain</t>
        </is>
      </c>
      <c r="D73" s="276" t="b">
        <v>1</v>
      </c>
      <c r="E73" s="276" t="n">
        <v>0.002557673019057172</v>
      </c>
      <c r="F73" s="276" t="n">
        <v>1</v>
      </c>
      <c r="G73" s="276" t="n">
        <v>0.196625</v>
      </c>
      <c r="H73" s="276" t="n">
        <v>1</v>
      </c>
      <c r="I73" s="276" t="n">
        <v>1</v>
      </c>
      <c r="J73" s="276" t="n">
        <v>1</v>
      </c>
      <c r="K73" s="276" t="n">
        <v>1</v>
      </c>
      <c r="L73" s="276" t="b">
        <v>0</v>
      </c>
      <c r="M73" s="276" t="n">
        <v>1</v>
      </c>
      <c r="N73" s="276" t="n">
        <v>0</v>
      </c>
      <c r="O73" s="276" t="n">
        <v>0</v>
      </c>
      <c r="P73" s="276" t="n">
        <v>1</v>
      </c>
      <c r="Q73" s="276" t="n">
        <v>1</v>
      </c>
      <c r="R73" s="276" t="b">
        <v>0</v>
      </c>
      <c r="S73" s="276" t="n">
        <v>1</v>
      </c>
      <c r="T73" s="276" t="n">
        <v>0</v>
      </c>
      <c r="U73" s="276" t="n">
        <v>0</v>
      </c>
      <c r="V73" s="276" t="n">
        <v>1</v>
      </c>
      <c r="W73" s="276" t="n">
        <v>1</v>
      </c>
      <c r="X73" s="276" t="b">
        <v>1</v>
      </c>
      <c r="Y73" s="276" t="n">
        <v>0.55</v>
      </c>
      <c r="Z73" s="277" t="n">
        <v>0.22181427526474</v>
      </c>
      <c r="AA73" t="n">
        <v>0.22181427526474</v>
      </c>
      <c r="AB73" t="n">
        <v>1</v>
      </c>
      <c r="AC73" t="n">
        <v>0.55</v>
      </c>
      <c r="AD73" t="b">
        <v>1</v>
      </c>
      <c r="AE73" t="n">
        <v>0.55</v>
      </c>
      <c r="AF73" t="n">
        <v>0.10376953125</v>
      </c>
      <c r="AG73" t="n">
        <v>0.10376953125</v>
      </c>
      <c r="AH73" t="n">
        <v>1</v>
      </c>
      <c r="AI73" t="n">
        <v>0.55</v>
      </c>
      <c r="AJ73" t="b">
        <v>1</v>
      </c>
      <c r="AK73" t="n">
        <v>0.65</v>
      </c>
      <c r="AL73" t="n">
        <v>0.20625</v>
      </c>
      <c r="AM73" t="n">
        <v>0.20625</v>
      </c>
      <c r="AN73" t="n">
        <v>1</v>
      </c>
      <c r="AO73" t="n">
        <v>0.65</v>
      </c>
    </row>
    <row r="74">
      <c r="A74" s="275" t="inlineStr">
        <is>
          <t>Malicious insider</t>
        </is>
      </c>
      <c r="B74" s="276" t="inlineStr">
        <is>
          <t>Sensitive-data compromise</t>
        </is>
      </c>
      <c r="C74" s="276" t="inlineStr">
        <is>
          <t>Direct availability or DDoS</t>
        </is>
      </c>
      <c r="D74" s="276" t="b">
        <v>0</v>
      </c>
      <c r="E74" s="276" t="n">
        <v>0</v>
      </c>
      <c r="F74" s="276" t="n">
        <v>1</v>
      </c>
      <c r="G74" s="276" t="n">
        <v>0</v>
      </c>
      <c r="H74" s="276" t="n">
        <v>1</v>
      </c>
      <c r="I74" s="276" t="n">
        <v>1</v>
      </c>
      <c r="J74" s="276" t="n">
        <v>1</v>
      </c>
      <c r="K74" s="276" t="n">
        <v>1</v>
      </c>
      <c r="L74" s="276" t="b">
        <v>0</v>
      </c>
      <c r="M74" s="276" t="n">
        <v>1</v>
      </c>
      <c r="N74" s="276" t="n">
        <v>0</v>
      </c>
      <c r="O74" s="276" t="n">
        <v>0</v>
      </c>
      <c r="P74" s="276" t="n">
        <v>1</v>
      </c>
      <c r="Q74" s="276" t="n">
        <v>1</v>
      </c>
      <c r="R74" s="276" t="b">
        <v>0</v>
      </c>
      <c r="S74" s="276" t="n">
        <v>1</v>
      </c>
      <c r="T74" s="276" t="n">
        <v>0</v>
      </c>
      <c r="U74" s="276" t="n">
        <v>0</v>
      </c>
      <c r="V74" s="276" t="n">
        <v>1</v>
      </c>
      <c r="W74" s="276" t="n">
        <v>1</v>
      </c>
      <c r="X74" s="276" t="b">
        <v>0</v>
      </c>
      <c r="Y74" s="276" t="n">
        <v>1</v>
      </c>
      <c r="Z74" s="277" t="n">
        <v>0</v>
      </c>
      <c r="AA74" t="n">
        <v>0</v>
      </c>
      <c r="AB74" t="n">
        <v>1</v>
      </c>
      <c r="AC74" t="n">
        <v>1</v>
      </c>
      <c r="AD74" t="b">
        <v>0</v>
      </c>
      <c r="AE74" t="n">
        <v>1</v>
      </c>
      <c r="AF74" t="n">
        <v>0</v>
      </c>
      <c r="AG74" t="n">
        <v>0</v>
      </c>
      <c r="AH74" t="n">
        <v>1</v>
      </c>
      <c r="AI74" t="n">
        <v>1</v>
      </c>
      <c r="AJ74" t="b">
        <v>0</v>
      </c>
      <c r="AK74" t="n">
        <v>1</v>
      </c>
      <c r="AL74" t="n">
        <v>0</v>
      </c>
      <c r="AM74" t="n">
        <v>0</v>
      </c>
      <c r="AN74" t="n">
        <v>1</v>
      </c>
      <c r="AO74" t="n">
        <v>1</v>
      </c>
    </row>
    <row r="75">
      <c r="A75" s="275" t="inlineStr">
        <is>
          <t>Malicious insider</t>
        </is>
      </c>
      <c r="B75" s="276" t="inlineStr">
        <is>
          <t>Sensitive-data compromise</t>
        </is>
      </c>
      <c r="C75" s="276" t="inlineStr">
        <is>
          <t>Insider or trusted access</t>
        </is>
      </c>
      <c r="D75" s="276" t="b">
        <v>1</v>
      </c>
      <c r="E75" s="276" t="n">
        <v>0.02094282848545637</v>
      </c>
      <c r="F75" s="276" t="n">
        <v>1</v>
      </c>
      <c r="G75" s="276" t="n">
        <v>0.29575</v>
      </c>
      <c r="H75" s="276" t="n">
        <v>1</v>
      </c>
      <c r="I75" s="276" t="n">
        <v>1</v>
      </c>
      <c r="J75" s="276" t="n">
        <v>1</v>
      </c>
      <c r="K75" s="276" t="n">
        <v>1</v>
      </c>
      <c r="L75" s="276" t="b">
        <v>0</v>
      </c>
      <c r="M75" s="276" t="n">
        <v>1</v>
      </c>
      <c r="N75" s="276" t="n">
        <v>0</v>
      </c>
      <c r="O75" s="276" t="n">
        <v>0</v>
      </c>
      <c r="P75" s="276" t="n">
        <v>1</v>
      </c>
      <c r="Q75" s="276" t="n">
        <v>1</v>
      </c>
      <c r="R75" s="276" t="b">
        <v>0</v>
      </c>
      <c r="S75" s="276" t="n">
        <v>1</v>
      </c>
      <c r="T75" s="276" t="n">
        <v>0</v>
      </c>
      <c r="U75" s="276" t="n">
        <v>0</v>
      </c>
      <c r="V75" s="276" t="n">
        <v>1</v>
      </c>
      <c r="W75" s="276" t="n">
        <v>1</v>
      </c>
      <c r="X75" s="276" t="b">
        <v>1</v>
      </c>
      <c r="Y75" s="276" t="n">
        <v>0.7</v>
      </c>
      <c r="Z75" s="277" t="n">
        <v>0.2477547340393066</v>
      </c>
      <c r="AA75" t="n">
        <v>0.2477547340393066</v>
      </c>
      <c r="AB75" t="n">
        <v>1</v>
      </c>
      <c r="AC75" t="n">
        <v>0.7</v>
      </c>
      <c r="AD75" t="b">
        <v>1</v>
      </c>
      <c r="AE75" t="n">
        <v>0.65</v>
      </c>
      <c r="AF75" t="n">
        <v>0.106734375</v>
      </c>
      <c r="AG75" t="n">
        <v>0.106734375</v>
      </c>
      <c r="AH75" t="n">
        <v>1</v>
      </c>
      <c r="AI75" t="n">
        <v>0.65</v>
      </c>
      <c r="AJ75" t="b">
        <v>1</v>
      </c>
      <c r="AK75" t="n">
        <v>0.65</v>
      </c>
      <c r="AL75" t="n">
        <v>0.20625</v>
      </c>
      <c r="AM75" t="n">
        <v>0.20625</v>
      </c>
      <c r="AN75" t="n">
        <v>1</v>
      </c>
      <c r="AO75" t="n">
        <v>0.65</v>
      </c>
    </row>
    <row r="76">
      <c r="A76" s="275" t="inlineStr">
        <is>
          <t>Malicious insider</t>
        </is>
      </c>
      <c r="B76" s="276" t="inlineStr">
        <is>
          <t>Data or transaction-integrity compromise</t>
        </is>
      </c>
      <c r="C76" s="276" t="inlineStr">
        <is>
          <t>Identity and credential compromise</t>
        </is>
      </c>
      <c r="D76" s="276" t="b">
        <v>1</v>
      </c>
      <c r="E76" s="276" t="n">
        <v>0.001218971631205674</v>
      </c>
      <c r="F76" s="276" t="n">
        <v>1</v>
      </c>
      <c r="G76" s="276" t="n">
        <v>0.05898750000000001</v>
      </c>
      <c r="H76" s="276" t="n">
        <v>1</v>
      </c>
      <c r="I76" s="276" t="n">
        <v>1</v>
      </c>
      <c r="J76" s="276" t="n">
        <v>1</v>
      </c>
      <c r="K76" s="276" t="n">
        <v>1</v>
      </c>
      <c r="L76" s="276" t="b">
        <v>1</v>
      </c>
      <c r="M76" s="276" t="n">
        <v>0.3</v>
      </c>
      <c r="N76" s="276" t="n">
        <v>0.2391796875</v>
      </c>
      <c r="O76" s="276" t="n">
        <v>0.2391796875</v>
      </c>
      <c r="P76" s="276" t="n">
        <v>1</v>
      </c>
      <c r="Q76" s="276" t="n">
        <v>0.3</v>
      </c>
      <c r="R76" s="276" t="b">
        <v>0</v>
      </c>
      <c r="S76" s="276" t="n">
        <v>1</v>
      </c>
      <c r="T76" s="276" t="n">
        <v>0</v>
      </c>
      <c r="U76" s="276" t="n">
        <v>0</v>
      </c>
      <c r="V76" s="276" t="n">
        <v>1</v>
      </c>
      <c r="W76" s="276" t="n">
        <v>1</v>
      </c>
      <c r="X76" s="276" t="b">
        <v>1</v>
      </c>
      <c r="Y76" s="276" t="n">
        <v>0.55</v>
      </c>
      <c r="Z76" s="277" t="n">
        <v>0.2477547340393066</v>
      </c>
      <c r="AA76" t="n">
        <v>0.2477547340393066</v>
      </c>
      <c r="AB76" t="n">
        <v>1</v>
      </c>
      <c r="AC76" t="n">
        <v>0.55</v>
      </c>
      <c r="AD76" t="b">
        <v>1</v>
      </c>
      <c r="AE76" t="n">
        <v>0.55</v>
      </c>
      <c r="AF76" t="n">
        <v>0.1016517857142858</v>
      </c>
      <c r="AG76" t="n">
        <v>0.1016517857142858</v>
      </c>
      <c r="AH76" t="n">
        <v>1</v>
      </c>
      <c r="AI76" t="n">
        <v>0.55</v>
      </c>
      <c r="AJ76" t="b">
        <v>1</v>
      </c>
      <c r="AK76" t="n">
        <v>0.65</v>
      </c>
      <c r="AL76" t="n">
        <v>0.1269045829772949</v>
      </c>
      <c r="AM76" t="n">
        <v>0.1269045829772949</v>
      </c>
      <c r="AN76" t="n">
        <v>1</v>
      </c>
      <c r="AO76" t="n">
        <v>0.65</v>
      </c>
    </row>
    <row r="77">
      <c r="A77" s="275" t="inlineStr">
        <is>
          <t>Malicious insider</t>
        </is>
      </c>
      <c r="B77" s="276" t="inlineStr">
        <is>
          <t>Data or transaction-integrity compromise</t>
        </is>
      </c>
      <c r="C77" s="276" t="inlineStr">
        <is>
          <t>User endpoint and social engineering</t>
        </is>
      </c>
      <c r="D77" s="276" t="b">
        <v>1</v>
      </c>
      <c r="E77" s="276" t="n">
        <v>0.0004986702127659574</v>
      </c>
      <c r="F77" s="276" t="n">
        <v>1</v>
      </c>
      <c r="G77" s="276" t="n">
        <v>0.025515</v>
      </c>
      <c r="H77" s="276" t="n">
        <v>1</v>
      </c>
      <c r="I77" s="276" t="n">
        <v>1</v>
      </c>
      <c r="J77" s="276" t="n">
        <v>1</v>
      </c>
      <c r="K77" s="276" t="n">
        <v>1</v>
      </c>
      <c r="L77" s="276" t="b">
        <v>1</v>
      </c>
      <c r="M77" s="276" t="n">
        <v>0.35</v>
      </c>
      <c r="N77" s="276" t="n">
        <v>0.20625</v>
      </c>
      <c r="O77" s="276" t="n">
        <v>0.20625</v>
      </c>
      <c r="P77" s="276" t="n">
        <v>1</v>
      </c>
      <c r="Q77" s="276" t="n">
        <v>0.35</v>
      </c>
      <c r="R77" s="276" t="b">
        <v>1</v>
      </c>
      <c r="S77" s="276" t="n">
        <v>0.6</v>
      </c>
      <c r="T77" s="276" t="n">
        <v>0.1875</v>
      </c>
      <c r="U77" s="276" t="n">
        <v>0.1875</v>
      </c>
      <c r="V77" s="276" t="n">
        <v>1</v>
      </c>
      <c r="W77" s="276" t="n">
        <v>0.6</v>
      </c>
      <c r="X77" s="276" t="b">
        <v>1</v>
      </c>
      <c r="Y77" s="276" t="n">
        <v>0.45</v>
      </c>
      <c r="Z77" s="277" t="n">
        <v>0.2216183303833008</v>
      </c>
      <c r="AA77" t="n">
        <v>0.2216183303833008</v>
      </c>
      <c r="AB77" t="n">
        <v>1</v>
      </c>
      <c r="AC77" t="n">
        <v>0.45</v>
      </c>
      <c r="AD77" t="b">
        <v>1</v>
      </c>
      <c r="AE77" t="n">
        <v>0.45</v>
      </c>
      <c r="AF77" t="n">
        <v>0.1789397321428572</v>
      </c>
      <c r="AG77" t="n">
        <v>0.1789397321428572</v>
      </c>
      <c r="AH77" t="n">
        <v>1</v>
      </c>
      <c r="AI77" t="n">
        <v>0.45</v>
      </c>
      <c r="AJ77" t="b">
        <v>1</v>
      </c>
      <c r="AK77" t="n">
        <v>0.6</v>
      </c>
      <c r="AL77" t="n">
        <v>0.1226516246795654</v>
      </c>
      <c r="AM77" t="n">
        <v>0.1226516246795654</v>
      </c>
      <c r="AN77" t="n">
        <v>1</v>
      </c>
      <c r="AO77" t="n">
        <v>0.6</v>
      </c>
    </row>
    <row r="78">
      <c r="A78" s="275" t="inlineStr">
        <is>
          <t>Malicious insider</t>
        </is>
      </c>
      <c r="B78" s="276" t="inlineStr">
        <is>
          <t>Data or transaction-integrity compromise</t>
        </is>
      </c>
      <c r="C78" s="276" t="inlineStr">
        <is>
          <t>Public-facing application exploitation</t>
        </is>
      </c>
      <c r="D78" s="276" t="b">
        <v>0</v>
      </c>
      <c r="E78" s="276" t="n">
        <v>0</v>
      </c>
      <c r="F78" s="276" t="n">
        <v>1</v>
      </c>
      <c r="G78" s="276" t="n">
        <v>0</v>
      </c>
      <c r="H78" s="276" t="n">
        <v>1</v>
      </c>
      <c r="I78" s="276" t="n">
        <v>1</v>
      </c>
      <c r="J78" s="276" t="n">
        <v>1</v>
      </c>
      <c r="K78" s="276" t="n">
        <v>1</v>
      </c>
      <c r="L78" s="276" t="b">
        <v>1</v>
      </c>
      <c r="M78" s="276" t="n">
        <v>0.25</v>
      </c>
      <c r="N78" s="276" t="n">
        <v>0</v>
      </c>
      <c r="O78" s="276" t="n">
        <v>0</v>
      </c>
      <c r="P78" s="276" t="n">
        <v>1</v>
      </c>
      <c r="Q78" s="276" t="n">
        <v>0</v>
      </c>
      <c r="R78" s="276" t="b">
        <v>1</v>
      </c>
      <c r="S78" s="276" t="n">
        <v>0.6</v>
      </c>
      <c r="T78" s="276" t="n">
        <v>0.1875</v>
      </c>
      <c r="U78" s="276" t="n">
        <v>0.1875</v>
      </c>
      <c r="V78" s="276" t="n">
        <v>1</v>
      </c>
      <c r="W78" s="276" t="n">
        <v>0.6</v>
      </c>
      <c r="X78" s="276" t="b">
        <v>1</v>
      </c>
      <c r="Y78" s="276" t="n">
        <v>0.5</v>
      </c>
      <c r="Z78" s="277" t="n">
        <v>0.2199757778461163</v>
      </c>
      <c r="AA78" t="n">
        <v>0.2199757778461163</v>
      </c>
      <c r="AB78" t="n">
        <v>1</v>
      </c>
      <c r="AC78" t="n">
        <v>0.5</v>
      </c>
      <c r="AD78" t="b">
        <v>1</v>
      </c>
      <c r="AE78" t="n">
        <v>0.45</v>
      </c>
      <c r="AF78" t="n">
        <v>0.1907346013939899</v>
      </c>
      <c r="AG78" t="n">
        <v>0.1907346013939899</v>
      </c>
      <c r="AH78" t="n">
        <v>1</v>
      </c>
      <c r="AI78" t="n">
        <v>0.45</v>
      </c>
      <c r="AJ78" t="b">
        <v>1</v>
      </c>
      <c r="AK78" t="n">
        <v>0.6</v>
      </c>
      <c r="AL78" t="n">
        <v>0.1374199407240924</v>
      </c>
      <c r="AM78" t="n">
        <v>0.1374199407240924</v>
      </c>
      <c r="AN78" t="n">
        <v>1</v>
      </c>
      <c r="AO78" t="n">
        <v>0.6</v>
      </c>
    </row>
    <row r="79">
      <c r="A79" s="275" t="inlineStr">
        <is>
          <t>Malicious insider</t>
        </is>
      </c>
      <c r="B79" s="276" t="inlineStr">
        <is>
          <t>Data or transaction-integrity compromise</t>
        </is>
      </c>
      <c r="C79" s="276" t="inlineStr">
        <is>
          <t>Third-party or software supply chain</t>
        </is>
      </c>
      <c r="D79" s="276" t="b">
        <v>1</v>
      </c>
      <c r="E79" s="276" t="n">
        <v>0.001108156028368795</v>
      </c>
      <c r="F79" s="276" t="n">
        <v>1</v>
      </c>
      <c r="G79" s="276" t="n">
        <v>0.196625</v>
      </c>
      <c r="H79" s="276" t="n">
        <v>1</v>
      </c>
      <c r="I79" s="276" t="n">
        <v>1</v>
      </c>
      <c r="J79" s="276" t="n">
        <v>1</v>
      </c>
      <c r="K79" s="276" t="n">
        <v>1</v>
      </c>
      <c r="L79" s="276" t="b">
        <v>0</v>
      </c>
      <c r="M79" s="276" t="n">
        <v>1</v>
      </c>
      <c r="N79" s="276" t="n">
        <v>0</v>
      </c>
      <c r="O79" s="276" t="n">
        <v>0</v>
      </c>
      <c r="P79" s="276" t="n">
        <v>1</v>
      </c>
      <c r="Q79" s="276" t="n">
        <v>1</v>
      </c>
      <c r="R79" s="276" t="b">
        <v>0</v>
      </c>
      <c r="S79" s="276" t="n">
        <v>1</v>
      </c>
      <c r="T79" s="276" t="n">
        <v>0</v>
      </c>
      <c r="U79" s="276" t="n">
        <v>0</v>
      </c>
      <c r="V79" s="276" t="n">
        <v>1</v>
      </c>
      <c r="W79" s="276" t="n">
        <v>1</v>
      </c>
      <c r="X79" s="276" t="b">
        <v>1</v>
      </c>
      <c r="Y79" s="276" t="n">
        <v>0.55</v>
      </c>
      <c r="Z79" s="277" t="n">
        <v>0.22181427526474</v>
      </c>
      <c r="AA79" t="n">
        <v>0.22181427526474</v>
      </c>
      <c r="AB79" t="n">
        <v>1</v>
      </c>
      <c r="AC79" t="n">
        <v>0.55</v>
      </c>
      <c r="AD79" t="b">
        <v>1</v>
      </c>
      <c r="AE79" t="n">
        <v>0.55</v>
      </c>
      <c r="AF79" t="n">
        <v>0.10376953125</v>
      </c>
      <c r="AG79" t="n">
        <v>0.10376953125</v>
      </c>
      <c r="AH79" t="n">
        <v>1</v>
      </c>
      <c r="AI79" t="n">
        <v>0.55</v>
      </c>
      <c r="AJ79" t="b">
        <v>1</v>
      </c>
      <c r="AK79" t="n">
        <v>0.65</v>
      </c>
      <c r="AL79" t="n">
        <v>0.1970353629372337</v>
      </c>
      <c r="AM79" t="n">
        <v>0.1970353629372337</v>
      </c>
      <c r="AN79" t="n">
        <v>1</v>
      </c>
      <c r="AO79" t="n">
        <v>0.65</v>
      </c>
    </row>
    <row r="80">
      <c r="A80" s="275" t="inlineStr">
        <is>
          <t>Malicious insider</t>
        </is>
      </c>
      <c r="B80" s="276" t="inlineStr">
        <is>
          <t>Data or transaction-integrity compromise</t>
        </is>
      </c>
      <c r="C80" s="276" t="inlineStr">
        <is>
          <t>Direct availability or DDoS</t>
        </is>
      </c>
      <c r="D80" s="276" t="b">
        <v>0</v>
      </c>
      <c r="E80" s="276" t="n">
        <v>0</v>
      </c>
      <c r="F80" s="276" t="n">
        <v>1</v>
      </c>
      <c r="G80" s="276" t="n">
        <v>0</v>
      </c>
      <c r="H80" s="276" t="n">
        <v>1</v>
      </c>
      <c r="I80" s="276" t="n">
        <v>1</v>
      </c>
      <c r="J80" s="276" t="n">
        <v>1</v>
      </c>
      <c r="K80" s="276" t="n">
        <v>1</v>
      </c>
      <c r="L80" s="276" t="b">
        <v>0</v>
      </c>
      <c r="M80" s="276" t="n">
        <v>1</v>
      </c>
      <c r="N80" s="276" t="n">
        <v>0</v>
      </c>
      <c r="O80" s="276" t="n">
        <v>0</v>
      </c>
      <c r="P80" s="276" t="n">
        <v>1</v>
      </c>
      <c r="Q80" s="276" t="n">
        <v>1</v>
      </c>
      <c r="R80" s="276" t="b">
        <v>0</v>
      </c>
      <c r="S80" s="276" t="n">
        <v>1</v>
      </c>
      <c r="T80" s="276" t="n">
        <v>0</v>
      </c>
      <c r="U80" s="276" t="n">
        <v>0</v>
      </c>
      <c r="V80" s="276" t="n">
        <v>1</v>
      </c>
      <c r="W80" s="276" t="n">
        <v>1</v>
      </c>
      <c r="X80" s="276" t="b">
        <v>0</v>
      </c>
      <c r="Y80" s="276" t="n">
        <v>1</v>
      </c>
      <c r="Z80" s="277" t="n">
        <v>0</v>
      </c>
      <c r="AA80" t="n">
        <v>0</v>
      </c>
      <c r="AB80" t="n">
        <v>1</v>
      </c>
      <c r="AC80" t="n">
        <v>1</v>
      </c>
      <c r="AD80" t="b">
        <v>0</v>
      </c>
      <c r="AE80" t="n">
        <v>1</v>
      </c>
      <c r="AF80" t="n">
        <v>0</v>
      </c>
      <c r="AG80" t="n">
        <v>0</v>
      </c>
      <c r="AH80" t="n">
        <v>1</v>
      </c>
      <c r="AI80" t="n">
        <v>1</v>
      </c>
      <c r="AJ80" t="b">
        <v>0</v>
      </c>
      <c r="AK80" t="n">
        <v>1</v>
      </c>
      <c r="AL80" t="n">
        <v>0</v>
      </c>
      <c r="AM80" t="n">
        <v>0</v>
      </c>
      <c r="AN80" t="n">
        <v>1</v>
      </c>
      <c r="AO80" t="n">
        <v>1</v>
      </c>
    </row>
    <row r="81">
      <c r="A81" s="275" t="inlineStr">
        <is>
          <t>Malicious insider</t>
        </is>
      </c>
      <c r="B81" s="276" t="inlineStr">
        <is>
          <t>Data or transaction-integrity compromise</t>
        </is>
      </c>
      <c r="C81" s="276" t="inlineStr">
        <is>
          <t>Insider or trusted access</t>
        </is>
      </c>
      <c r="D81" s="276" t="b">
        <v>1</v>
      </c>
      <c r="E81" s="276" t="n">
        <v>0.02217420212765958</v>
      </c>
      <c r="F81" s="276" t="n">
        <v>1</v>
      </c>
      <c r="G81" s="276" t="n">
        <v>0.29575</v>
      </c>
      <c r="H81" s="276" t="n">
        <v>1</v>
      </c>
      <c r="I81" s="276" t="n">
        <v>1</v>
      </c>
      <c r="J81" s="276" t="n">
        <v>1</v>
      </c>
      <c r="K81" s="276" t="n">
        <v>1</v>
      </c>
      <c r="L81" s="276" t="b">
        <v>0</v>
      </c>
      <c r="M81" s="276" t="n">
        <v>1</v>
      </c>
      <c r="N81" s="276" t="n">
        <v>0</v>
      </c>
      <c r="O81" s="276" t="n">
        <v>0</v>
      </c>
      <c r="P81" s="276" t="n">
        <v>1</v>
      </c>
      <c r="Q81" s="276" t="n">
        <v>1</v>
      </c>
      <c r="R81" s="276" t="b">
        <v>0</v>
      </c>
      <c r="S81" s="276" t="n">
        <v>1</v>
      </c>
      <c r="T81" s="276" t="n">
        <v>0</v>
      </c>
      <c r="U81" s="276" t="n">
        <v>0</v>
      </c>
      <c r="V81" s="276" t="n">
        <v>1</v>
      </c>
      <c r="W81" s="276" t="n">
        <v>1</v>
      </c>
      <c r="X81" s="276" t="b">
        <v>1</v>
      </c>
      <c r="Y81" s="276" t="n">
        <v>0.7</v>
      </c>
      <c r="Z81" s="277" t="n">
        <v>0.2477547340393066</v>
      </c>
      <c r="AA81" t="n">
        <v>0.2477547340393066</v>
      </c>
      <c r="AB81" t="n">
        <v>1</v>
      </c>
      <c r="AC81" t="n">
        <v>0.7</v>
      </c>
      <c r="AD81" t="b">
        <v>1</v>
      </c>
      <c r="AE81" t="n">
        <v>0.65</v>
      </c>
      <c r="AF81" t="n">
        <v>0.106734375</v>
      </c>
      <c r="AG81" t="n">
        <v>0.106734375</v>
      </c>
      <c r="AH81" t="n">
        <v>1</v>
      </c>
      <c r="AI81" t="n">
        <v>0.65</v>
      </c>
      <c r="AJ81" t="b">
        <v>1</v>
      </c>
      <c r="AK81" t="n">
        <v>0.65</v>
      </c>
      <c r="AL81" t="n">
        <v>0.2206064987182617</v>
      </c>
      <c r="AM81" t="n">
        <v>0.2206064987182617</v>
      </c>
      <c r="AN81" t="n">
        <v>1</v>
      </c>
      <c r="AO81" t="n">
        <v>0.65</v>
      </c>
    </row>
    <row r="82">
      <c r="A82" s="275" t="inlineStr">
        <is>
          <t>Malicious insider</t>
        </is>
      </c>
      <c r="B82" s="276" t="inlineStr">
        <is>
          <t>Cyber-enabled theft or fraud</t>
        </is>
      </c>
      <c r="C82" s="276" t="inlineStr">
        <is>
          <t>Identity and credential compromise</t>
        </is>
      </c>
      <c r="D82" s="276" t="b">
        <v>1</v>
      </c>
      <c r="E82" s="276" t="n">
        <v>0.001616777531411678</v>
      </c>
      <c r="F82" s="276" t="n">
        <v>1</v>
      </c>
      <c r="G82" s="276" t="n">
        <v>0.10725</v>
      </c>
      <c r="H82" s="276" t="n">
        <v>1</v>
      </c>
      <c r="I82" s="276" t="n">
        <v>1</v>
      </c>
      <c r="J82" s="276" t="n">
        <v>1</v>
      </c>
      <c r="K82" s="276" t="n">
        <v>1</v>
      </c>
      <c r="L82" s="276" t="b">
        <v>1</v>
      </c>
      <c r="M82" s="276" t="n">
        <v>0.3</v>
      </c>
      <c r="N82" s="276" t="n">
        <v>0.2391796875</v>
      </c>
      <c r="O82" s="276" t="n">
        <v>0.2391796875</v>
      </c>
      <c r="P82" s="276" t="n">
        <v>1</v>
      </c>
      <c r="Q82" s="276" t="n">
        <v>0.3</v>
      </c>
      <c r="R82" s="276" t="b">
        <v>0</v>
      </c>
      <c r="S82" s="276" t="n">
        <v>1</v>
      </c>
      <c r="T82" s="276" t="n">
        <v>0</v>
      </c>
      <c r="U82" s="276" t="n">
        <v>0</v>
      </c>
      <c r="V82" s="276" t="n">
        <v>1</v>
      </c>
      <c r="W82" s="276" t="n">
        <v>1</v>
      </c>
      <c r="X82" s="276" t="b">
        <v>1</v>
      </c>
      <c r="Y82" s="276" t="n">
        <v>0.55</v>
      </c>
      <c r="Z82" s="277" t="n">
        <v>0.2477547340393066</v>
      </c>
      <c r="AA82" t="n">
        <v>0.2477547340393066</v>
      </c>
      <c r="AB82" t="n">
        <v>1</v>
      </c>
      <c r="AC82" t="n">
        <v>0.55</v>
      </c>
      <c r="AD82" t="b">
        <v>0</v>
      </c>
      <c r="AE82" t="n">
        <v>1</v>
      </c>
      <c r="AF82" t="n">
        <v>0</v>
      </c>
      <c r="AG82" t="n">
        <v>0</v>
      </c>
      <c r="AH82" t="n">
        <v>1</v>
      </c>
      <c r="AI82" t="n">
        <v>1</v>
      </c>
      <c r="AJ82" t="b">
        <v>1</v>
      </c>
      <c r="AK82" t="n">
        <v>0.65</v>
      </c>
      <c r="AL82" t="n">
        <v>0.2544820668147161</v>
      </c>
      <c r="AM82" t="n">
        <v>0.2544820668147161</v>
      </c>
      <c r="AN82" t="n">
        <v>1</v>
      </c>
      <c r="AO82" t="n">
        <v>0.65</v>
      </c>
    </row>
    <row r="83">
      <c r="A83" s="275" t="inlineStr">
        <is>
          <t>Malicious insider</t>
        </is>
      </c>
      <c r="B83" s="276" t="inlineStr">
        <is>
          <t>Cyber-enabled theft or fraud</t>
        </is>
      </c>
      <c r="C83" s="276" t="inlineStr">
        <is>
          <t>User endpoint and social engineering</t>
        </is>
      </c>
      <c r="D83" s="276" t="b">
        <v>1</v>
      </c>
      <c r="E83" s="276" t="n">
        <v>0.0004157427937915743</v>
      </c>
      <c r="F83" s="276" t="n">
        <v>1</v>
      </c>
      <c r="G83" s="276" t="n">
        <v>0.126</v>
      </c>
      <c r="H83" s="276" t="n">
        <v>1</v>
      </c>
      <c r="I83" s="276" t="n">
        <v>1</v>
      </c>
      <c r="J83" s="276" t="n">
        <v>1</v>
      </c>
      <c r="K83" s="276" t="n">
        <v>1</v>
      </c>
      <c r="L83" s="276" t="b">
        <v>1</v>
      </c>
      <c r="M83" s="276" t="n">
        <v>0.35</v>
      </c>
      <c r="N83" s="276" t="n">
        <v>0.20625</v>
      </c>
      <c r="O83" s="276" t="n">
        <v>0.20625</v>
      </c>
      <c r="P83" s="276" t="n">
        <v>1</v>
      </c>
      <c r="Q83" s="276" t="n">
        <v>0.35</v>
      </c>
      <c r="R83" s="276" t="b">
        <v>1</v>
      </c>
      <c r="S83" s="276" t="n">
        <v>0.6</v>
      </c>
      <c r="T83" s="276" t="n">
        <v>0.1875</v>
      </c>
      <c r="U83" s="276" t="n">
        <v>0.1875</v>
      </c>
      <c r="V83" s="276" t="n">
        <v>1</v>
      </c>
      <c r="W83" s="276" t="n">
        <v>0.6</v>
      </c>
      <c r="X83" s="276" t="b">
        <v>0</v>
      </c>
      <c r="Y83" s="276" t="n">
        <v>1</v>
      </c>
      <c r="Z83" s="277" t="n">
        <v>0</v>
      </c>
      <c r="AA83" t="n">
        <v>0</v>
      </c>
      <c r="AB83" t="n">
        <v>1</v>
      </c>
      <c r="AC83" t="n">
        <v>1</v>
      </c>
      <c r="AD83" t="b">
        <v>0</v>
      </c>
      <c r="AE83" t="n">
        <v>1</v>
      </c>
      <c r="AF83" t="n">
        <v>0</v>
      </c>
      <c r="AG83" t="n">
        <v>0</v>
      </c>
      <c r="AH83" t="n">
        <v>1</v>
      </c>
      <c r="AI83" t="n">
        <v>1</v>
      </c>
      <c r="AJ83" t="b">
        <v>1</v>
      </c>
      <c r="AK83" t="n">
        <v>0.6</v>
      </c>
      <c r="AL83" t="n">
        <v>0.2481303977966309</v>
      </c>
      <c r="AM83" t="n">
        <v>0.2481303977966309</v>
      </c>
      <c r="AN83" t="n">
        <v>1</v>
      </c>
      <c r="AO83" t="n">
        <v>0.6</v>
      </c>
    </row>
    <row r="84">
      <c r="A84" s="275" t="inlineStr">
        <is>
          <t>Malicious insider</t>
        </is>
      </c>
      <c r="B84" s="276" t="inlineStr">
        <is>
          <t>Cyber-enabled theft or fraud</t>
        </is>
      </c>
      <c r="C84" s="276" t="inlineStr">
        <is>
          <t>Public-facing application exploitation</t>
        </is>
      </c>
      <c r="D84" s="276" t="b">
        <v>0</v>
      </c>
      <c r="E84" s="276" t="n">
        <v>0</v>
      </c>
      <c r="F84" s="276" t="n">
        <v>1</v>
      </c>
      <c r="G84" s="276" t="n">
        <v>0</v>
      </c>
      <c r="H84" s="276" t="n">
        <v>1</v>
      </c>
      <c r="I84" s="276" t="n">
        <v>1</v>
      </c>
      <c r="J84" s="276" t="n">
        <v>1</v>
      </c>
      <c r="K84" s="276" t="n">
        <v>1</v>
      </c>
      <c r="L84" s="276" t="b">
        <v>1</v>
      </c>
      <c r="M84" s="276" t="n">
        <v>0.25</v>
      </c>
      <c r="N84" s="276" t="n">
        <v>0</v>
      </c>
      <c r="O84" s="276" t="n">
        <v>0</v>
      </c>
      <c r="P84" s="276" t="n">
        <v>1</v>
      </c>
      <c r="Q84" s="276" t="n">
        <v>0</v>
      </c>
      <c r="R84" s="276" t="b">
        <v>1</v>
      </c>
      <c r="S84" s="276" t="n">
        <v>0.6</v>
      </c>
      <c r="T84" s="276" t="n">
        <v>0.1875</v>
      </c>
      <c r="U84" s="276" t="n">
        <v>0.1875</v>
      </c>
      <c r="V84" s="276" t="n">
        <v>1</v>
      </c>
      <c r="W84" s="276" t="n">
        <v>0.6</v>
      </c>
      <c r="X84" s="276" t="b">
        <v>1</v>
      </c>
      <c r="Y84" s="276" t="n">
        <v>0.5</v>
      </c>
      <c r="Z84" s="277" t="n">
        <v>0.2199757778461163</v>
      </c>
      <c r="AA84" t="n">
        <v>0.2199757778461163</v>
      </c>
      <c r="AB84" t="n">
        <v>1</v>
      </c>
      <c r="AC84" t="n">
        <v>0.5</v>
      </c>
      <c r="AD84" t="b">
        <v>1</v>
      </c>
      <c r="AE84" t="n">
        <v>0.45</v>
      </c>
      <c r="AF84" t="n">
        <v>0.1907346013939899</v>
      </c>
      <c r="AG84" t="n">
        <v>0.1907346013939899</v>
      </c>
      <c r="AH84" t="n">
        <v>1</v>
      </c>
      <c r="AI84" t="n">
        <v>0.45</v>
      </c>
      <c r="AJ84" t="b">
        <v>1</v>
      </c>
      <c r="AK84" t="n">
        <v>0.6</v>
      </c>
      <c r="AL84" t="n">
        <v>0.2426256179809571</v>
      </c>
      <c r="AM84" t="n">
        <v>0.2426256179809571</v>
      </c>
      <c r="AN84" t="n">
        <v>1</v>
      </c>
      <c r="AO84" t="n">
        <v>0.6</v>
      </c>
    </row>
    <row r="85">
      <c r="A85" s="275" t="inlineStr">
        <is>
          <t>Malicious insider</t>
        </is>
      </c>
      <c r="B85" s="276" t="inlineStr">
        <is>
          <t>Cyber-enabled theft or fraud</t>
        </is>
      </c>
      <c r="C85" s="276" t="inlineStr">
        <is>
          <t>Third-party or software supply chain</t>
        </is>
      </c>
      <c r="D85" s="276" t="b">
        <v>1</v>
      </c>
      <c r="E85" s="276" t="n">
        <v>0.0004619364375461938</v>
      </c>
      <c r="F85" s="276" t="n">
        <v>1</v>
      </c>
      <c r="G85" s="276" t="n">
        <v>0.196625</v>
      </c>
      <c r="H85" s="276" t="n">
        <v>1</v>
      </c>
      <c r="I85" s="276" t="n">
        <v>1</v>
      </c>
      <c r="J85" s="276" t="n">
        <v>1</v>
      </c>
      <c r="K85" s="276" t="n">
        <v>1</v>
      </c>
      <c r="L85" s="276" t="b">
        <v>0</v>
      </c>
      <c r="M85" s="276" t="n">
        <v>1</v>
      </c>
      <c r="N85" s="276" t="n">
        <v>0</v>
      </c>
      <c r="O85" s="276" t="n">
        <v>0</v>
      </c>
      <c r="P85" s="276" t="n">
        <v>1</v>
      </c>
      <c r="Q85" s="276" t="n">
        <v>1</v>
      </c>
      <c r="R85" s="276" t="b">
        <v>0</v>
      </c>
      <c r="S85" s="276" t="n">
        <v>1</v>
      </c>
      <c r="T85" s="276" t="n">
        <v>0</v>
      </c>
      <c r="U85" s="276" t="n">
        <v>0</v>
      </c>
      <c r="V85" s="276" t="n">
        <v>1</v>
      </c>
      <c r="W85" s="276" t="n">
        <v>1</v>
      </c>
      <c r="X85" s="276" t="b">
        <v>1</v>
      </c>
      <c r="Y85" s="276" t="n">
        <v>0.55</v>
      </c>
      <c r="Z85" s="277" t="n">
        <v>0.22181427526474</v>
      </c>
      <c r="AA85" t="n">
        <v>0.22181427526474</v>
      </c>
      <c r="AB85" t="n">
        <v>1</v>
      </c>
      <c r="AC85" t="n">
        <v>0.55</v>
      </c>
      <c r="AD85" t="b">
        <v>1</v>
      </c>
      <c r="AE85" t="n">
        <v>0.55</v>
      </c>
      <c r="AF85" t="n">
        <v>0.10376953125</v>
      </c>
      <c r="AG85" t="n">
        <v>0.10376953125</v>
      </c>
      <c r="AH85" t="n">
        <v>1</v>
      </c>
      <c r="AI85" t="n">
        <v>0.55</v>
      </c>
      <c r="AJ85" t="b">
        <v>1</v>
      </c>
      <c r="AK85" t="n">
        <v>0.65</v>
      </c>
      <c r="AL85" t="n">
        <v>0.2456282251531427</v>
      </c>
      <c r="AM85" t="n">
        <v>0.2456282251531427</v>
      </c>
      <c r="AN85" t="n">
        <v>1</v>
      </c>
      <c r="AO85" t="n">
        <v>0.65</v>
      </c>
    </row>
    <row r="86">
      <c r="A86" s="275" t="inlineStr">
        <is>
          <t>Malicious insider</t>
        </is>
      </c>
      <c r="B86" s="276" t="inlineStr">
        <is>
          <t>Cyber-enabled theft or fraud</t>
        </is>
      </c>
      <c r="C86" s="276" t="inlineStr">
        <is>
          <t>Direct availability or DDoS</t>
        </is>
      </c>
      <c r="D86" s="276" t="b">
        <v>0</v>
      </c>
      <c r="E86" s="276" t="n">
        <v>0</v>
      </c>
      <c r="F86" s="276" t="n">
        <v>1</v>
      </c>
      <c r="G86" s="276" t="n">
        <v>0</v>
      </c>
      <c r="H86" s="276" t="n">
        <v>1</v>
      </c>
      <c r="I86" s="276" t="n">
        <v>1</v>
      </c>
      <c r="J86" s="276" t="n">
        <v>1</v>
      </c>
      <c r="K86" s="276" t="n">
        <v>1</v>
      </c>
      <c r="L86" s="276" t="b">
        <v>0</v>
      </c>
      <c r="M86" s="276" t="n">
        <v>1</v>
      </c>
      <c r="N86" s="276" t="n">
        <v>0</v>
      </c>
      <c r="O86" s="276" t="n">
        <v>0</v>
      </c>
      <c r="P86" s="276" t="n">
        <v>1</v>
      </c>
      <c r="Q86" s="276" t="n">
        <v>1</v>
      </c>
      <c r="R86" s="276" t="b">
        <v>0</v>
      </c>
      <c r="S86" s="276" t="n">
        <v>1</v>
      </c>
      <c r="T86" s="276" t="n">
        <v>0</v>
      </c>
      <c r="U86" s="276" t="n">
        <v>0</v>
      </c>
      <c r="V86" s="276" t="n">
        <v>1</v>
      </c>
      <c r="W86" s="276" t="n">
        <v>1</v>
      </c>
      <c r="X86" s="276" t="b">
        <v>0</v>
      </c>
      <c r="Y86" s="276" t="n">
        <v>1</v>
      </c>
      <c r="Z86" s="277" t="n">
        <v>0</v>
      </c>
      <c r="AA86" t="n">
        <v>0</v>
      </c>
      <c r="AB86" t="n">
        <v>1</v>
      </c>
      <c r="AC86" t="n">
        <v>1</v>
      </c>
      <c r="AD86" t="b">
        <v>0</v>
      </c>
      <c r="AE86" t="n">
        <v>1</v>
      </c>
      <c r="AF86" t="n">
        <v>0</v>
      </c>
      <c r="AG86" t="n">
        <v>0</v>
      </c>
      <c r="AH86" t="n">
        <v>1</v>
      </c>
      <c r="AI86" t="n">
        <v>1</v>
      </c>
      <c r="AJ86" t="b">
        <v>0</v>
      </c>
      <c r="AK86" t="n">
        <v>1</v>
      </c>
      <c r="AL86" t="n">
        <v>0</v>
      </c>
      <c r="AM86" t="n">
        <v>0</v>
      </c>
      <c r="AN86" t="n">
        <v>1</v>
      </c>
      <c r="AO86" t="n">
        <v>1</v>
      </c>
    </row>
    <row r="87">
      <c r="A87" s="275" t="inlineStr">
        <is>
          <t>Malicious insider</t>
        </is>
      </c>
      <c r="B87" s="276" t="inlineStr">
        <is>
          <t>Cyber-enabled theft or fraud</t>
        </is>
      </c>
      <c r="C87" s="276" t="inlineStr">
        <is>
          <t>Insider or trusted access</t>
        </is>
      </c>
      <c r="D87" s="276" t="b">
        <v>1</v>
      </c>
      <c r="E87" s="276" t="n">
        <v>0.02250554323725056</v>
      </c>
      <c r="F87" s="276" t="n">
        <v>1</v>
      </c>
      <c r="G87" s="276" t="n">
        <v>0.455</v>
      </c>
      <c r="H87" s="276" t="n">
        <v>1</v>
      </c>
      <c r="I87" s="276" t="n">
        <v>1</v>
      </c>
      <c r="J87" s="276" t="n">
        <v>1</v>
      </c>
      <c r="K87" s="276" t="n">
        <v>1</v>
      </c>
      <c r="L87" s="276" t="b">
        <v>0</v>
      </c>
      <c r="M87" s="276" t="n">
        <v>1</v>
      </c>
      <c r="N87" s="276" t="n">
        <v>0</v>
      </c>
      <c r="O87" s="276" t="n">
        <v>0</v>
      </c>
      <c r="P87" s="276" t="n">
        <v>1</v>
      </c>
      <c r="Q87" s="276" t="n">
        <v>1</v>
      </c>
      <c r="R87" s="276" t="b">
        <v>0</v>
      </c>
      <c r="S87" s="276" t="n">
        <v>1</v>
      </c>
      <c r="T87" s="276" t="n">
        <v>0</v>
      </c>
      <c r="U87" s="276" t="n">
        <v>0</v>
      </c>
      <c r="V87" s="276" t="n">
        <v>1</v>
      </c>
      <c r="W87" s="276" t="n">
        <v>1</v>
      </c>
      <c r="X87" s="276" t="b">
        <v>1</v>
      </c>
      <c r="Y87" s="276" t="n">
        <v>0.7</v>
      </c>
      <c r="Z87" s="277" t="n">
        <v>0.2477547340393066</v>
      </c>
      <c r="AA87" t="n">
        <v>0.2477547340393066</v>
      </c>
      <c r="AB87" t="n">
        <v>1</v>
      </c>
      <c r="AC87" t="n">
        <v>0.7</v>
      </c>
      <c r="AD87" t="b">
        <v>0</v>
      </c>
      <c r="AE87" t="n">
        <v>1</v>
      </c>
      <c r="AF87" t="n">
        <v>0</v>
      </c>
      <c r="AG87" t="n">
        <v>0</v>
      </c>
      <c r="AH87" t="n">
        <v>1</v>
      </c>
      <c r="AI87" t="n">
        <v>1</v>
      </c>
      <c r="AJ87" t="b">
        <v>1</v>
      </c>
      <c r="AK87" t="n">
        <v>0.65</v>
      </c>
      <c r="AL87" t="n">
        <v>0.2481303977966309</v>
      </c>
      <c r="AM87" t="n">
        <v>0.2481303977966309</v>
      </c>
      <c r="AN87" t="n">
        <v>1</v>
      </c>
      <c r="AO87" t="n">
        <v>0.65</v>
      </c>
    </row>
    <row r="88">
      <c r="A88" s="275" t="inlineStr">
        <is>
          <t>Hacktivist</t>
        </is>
      </c>
      <c r="B88" s="276" t="inlineStr">
        <is>
          <t>Critical business-service disruption</t>
        </is>
      </c>
      <c r="C88" s="276" t="inlineStr">
        <is>
          <t>Identity and credential compromise</t>
        </is>
      </c>
      <c r="D88" s="276" t="b">
        <v>1</v>
      </c>
      <c r="E88" s="276" t="n">
        <v>0.005751533742331289</v>
      </c>
      <c r="F88" s="276" t="n">
        <v>1</v>
      </c>
      <c r="G88" s="276" t="n">
        <v>0.05898750000000001</v>
      </c>
      <c r="H88" s="276" t="n">
        <v>1</v>
      </c>
      <c r="I88" s="276" t="n">
        <v>1</v>
      </c>
      <c r="J88" s="276" t="n">
        <v>1</v>
      </c>
      <c r="K88" s="276" t="n">
        <v>1</v>
      </c>
      <c r="L88" s="276" t="b">
        <v>1</v>
      </c>
      <c r="M88" s="276" t="n">
        <v>0.3</v>
      </c>
      <c r="N88" s="276" t="n">
        <v>0.2403645833333333</v>
      </c>
      <c r="O88" s="276" t="n">
        <v>0.2403645833333333</v>
      </c>
      <c r="P88" s="276" t="n">
        <v>1</v>
      </c>
      <c r="Q88" s="276" t="n">
        <v>0.3</v>
      </c>
      <c r="R88" s="276" t="b">
        <v>0</v>
      </c>
      <c r="S88" s="276" t="n">
        <v>1</v>
      </c>
      <c r="T88" s="276" t="n">
        <v>0</v>
      </c>
      <c r="U88" s="276" t="n">
        <v>0</v>
      </c>
      <c r="V88" s="276" t="n">
        <v>1</v>
      </c>
      <c r="W88" s="276" t="n">
        <v>1</v>
      </c>
      <c r="X88" s="276" t="b">
        <v>1</v>
      </c>
      <c r="Y88" s="276" t="n">
        <v>0.55</v>
      </c>
      <c r="Z88" s="277" t="n">
        <v>0.2477547340393066</v>
      </c>
      <c r="AA88" t="n">
        <v>0.2477547340393066</v>
      </c>
      <c r="AB88" t="n">
        <v>1</v>
      </c>
      <c r="AC88" t="n">
        <v>0.55</v>
      </c>
      <c r="AD88" t="b">
        <v>1</v>
      </c>
      <c r="AE88" t="n">
        <v>0.55</v>
      </c>
      <c r="AF88" t="n">
        <v>0</v>
      </c>
      <c r="AG88" t="n">
        <v>0</v>
      </c>
      <c r="AH88" t="n">
        <v>1</v>
      </c>
      <c r="AI88" t="n">
        <v>0.55</v>
      </c>
      <c r="AJ88" t="b">
        <v>1</v>
      </c>
      <c r="AK88" t="n">
        <v>0.65</v>
      </c>
      <c r="AL88" t="n">
        <v>0.2206064987182617</v>
      </c>
      <c r="AM88" t="n">
        <v>0.2206064987182617</v>
      </c>
      <c r="AN88" t="n">
        <v>1</v>
      </c>
      <c r="AO88" t="n">
        <v>0.65</v>
      </c>
    </row>
    <row r="89">
      <c r="A89" s="275" t="inlineStr">
        <is>
          <t>Hacktivist</t>
        </is>
      </c>
      <c r="B89" s="276" t="inlineStr">
        <is>
          <t>Critical business-service disruption</t>
        </is>
      </c>
      <c r="C89" s="276" t="inlineStr">
        <is>
          <t>User endpoint and social engineering</t>
        </is>
      </c>
      <c r="D89" s="276" t="b">
        <v>1</v>
      </c>
      <c r="E89" s="276" t="n">
        <v>0.006748466257668713</v>
      </c>
      <c r="F89" s="276" t="n">
        <v>1</v>
      </c>
      <c r="G89" s="276" t="n">
        <v>0.025515</v>
      </c>
      <c r="H89" s="276" t="n">
        <v>1</v>
      </c>
      <c r="I89" s="276" t="n">
        <v>1</v>
      </c>
      <c r="J89" s="276" t="n">
        <v>1</v>
      </c>
      <c r="K89" s="276" t="n">
        <v>1</v>
      </c>
      <c r="L89" s="276" t="b">
        <v>1</v>
      </c>
      <c r="M89" s="276" t="n">
        <v>0.35</v>
      </c>
      <c r="N89" s="276" t="n">
        <v>0.20625</v>
      </c>
      <c r="O89" s="276" t="n">
        <v>0.20625</v>
      </c>
      <c r="P89" s="276" t="n">
        <v>1</v>
      </c>
      <c r="Q89" s="276" t="n">
        <v>0.35</v>
      </c>
      <c r="R89" s="276" t="b">
        <v>1</v>
      </c>
      <c r="S89" s="276" t="n">
        <v>0.6</v>
      </c>
      <c r="T89" s="276" t="n">
        <v>0.1875</v>
      </c>
      <c r="U89" s="276" t="n">
        <v>0.1875</v>
      </c>
      <c r="V89" s="276" t="n">
        <v>1</v>
      </c>
      <c r="W89" s="276" t="n">
        <v>0.6</v>
      </c>
      <c r="X89" s="276" t="b">
        <v>1</v>
      </c>
      <c r="Y89" s="276" t="n">
        <v>0.45</v>
      </c>
      <c r="Z89" s="277" t="n">
        <v>0.2216183303833008</v>
      </c>
      <c r="AA89" t="n">
        <v>0.2216183303833008</v>
      </c>
      <c r="AB89" t="n">
        <v>1</v>
      </c>
      <c r="AC89" t="n">
        <v>0.45</v>
      </c>
      <c r="AD89" t="b">
        <v>1</v>
      </c>
      <c r="AE89" t="n">
        <v>0.45</v>
      </c>
      <c r="AF89" t="n">
        <v>0.1794642857142857</v>
      </c>
      <c r="AG89" t="n">
        <v>0.1794642857142857</v>
      </c>
      <c r="AH89" t="n">
        <v>1</v>
      </c>
      <c r="AI89" t="n">
        <v>0.45</v>
      </c>
      <c r="AJ89" t="b">
        <v>1</v>
      </c>
      <c r="AK89" t="n">
        <v>0.6</v>
      </c>
      <c r="AL89" t="n">
        <v>0.2206064987182617</v>
      </c>
      <c r="AM89" t="n">
        <v>0.2206064987182617</v>
      </c>
      <c r="AN89" t="n">
        <v>1</v>
      </c>
      <c r="AO89" t="n">
        <v>0.6</v>
      </c>
    </row>
    <row r="90">
      <c r="A90" s="275" t="inlineStr">
        <is>
          <t>Hacktivist</t>
        </is>
      </c>
      <c r="B90" s="276" t="inlineStr">
        <is>
          <t>Critical business-service disruption</t>
        </is>
      </c>
      <c r="C90" s="276" t="inlineStr">
        <is>
          <t>Public-facing application exploitation</t>
        </is>
      </c>
      <c r="D90" s="276" t="b">
        <v>1</v>
      </c>
      <c r="E90" s="276" t="n">
        <v>0.01322852760736197</v>
      </c>
      <c r="F90" s="276" t="n">
        <v>1</v>
      </c>
      <c r="G90" s="276" t="n">
        <v>0.02025</v>
      </c>
      <c r="H90" s="276" t="n">
        <v>1</v>
      </c>
      <c r="I90" s="276" t="n">
        <v>1</v>
      </c>
      <c r="J90" s="276" t="n">
        <v>1</v>
      </c>
      <c r="K90" s="276" t="n">
        <v>1</v>
      </c>
      <c r="L90" s="276" t="b">
        <v>1</v>
      </c>
      <c r="M90" s="276" t="n">
        <v>0.25</v>
      </c>
      <c r="N90" s="276" t="n">
        <v>0.2496630477905274</v>
      </c>
      <c r="O90" s="276" t="n">
        <v>0.2496630477905274</v>
      </c>
      <c r="P90" s="276" t="n">
        <v>1</v>
      </c>
      <c r="Q90" s="276" t="n">
        <v>0.25</v>
      </c>
      <c r="R90" s="276" t="b">
        <v>1</v>
      </c>
      <c r="S90" s="276" t="n">
        <v>0.6</v>
      </c>
      <c r="T90" s="276" t="n">
        <v>0.1875</v>
      </c>
      <c r="U90" s="276" t="n">
        <v>0.1875</v>
      </c>
      <c r="V90" s="276" t="n">
        <v>1</v>
      </c>
      <c r="W90" s="276" t="n">
        <v>0.6</v>
      </c>
      <c r="X90" s="276" t="b">
        <v>1</v>
      </c>
      <c r="Y90" s="276" t="n">
        <v>0.5</v>
      </c>
      <c r="Z90" s="277" t="n">
        <v>0.2199757778461163</v>
      </c>
      <c r="AA90" t="n">
        <v>0.2199757778461163</v>
      </c>
      <c r="AB90" t="n">
        <v>1</v>
      </c>
      <c r="AC90" t="n">
        <v>0.5</v>
      </c>
      <c r="AD90" t="b">
        <v>1</v>
      </c>
      <c r="AE90" t="n">
        <v>0.45</v>
      </c>
      <c r="AF90" t="n">
        <v>0.1907346013939899</v>
      </c>
      <c r="AG90" t="n">
        <v>0.1907346013939899</v>
      </c>
      <c r="AH90" t="n">
        <v>1</v>
      </c>
      <c r="AI90" t="n">
        <v>0.45</v>
      </c>
      <c r="AJ90" t="b">
        <v>1</v>
      </c>
      <c r="AK90" t="n">
        <v>0.6</v>
      </c>
      <c r="AL90" t="n">
        <v>0.2206064987182617</v>
      </c>
      <c r="AM90" t="n">
        <v>0.2206064987182617</v>
      </c>
      <c r="AN90" t="n">
        <v>1</v>
      </c>
      <c r="AO90" t="n">
        <v>0.6</v>
      </c>
    </row>
    <row r="91">
      <c r="A91" s="275" t="inlineStr">
        <is>
          <t>Hacktivist</t>
        </is>
      </c>
      <c r="B91" s="276" t="inlineStr">
        <is>
          <t>Critical business-service disruption</t>
        </is>
      </c>
      <c r="C91" s="276" t="inlineStr">
        <is>
          <t>Third-party or software supply chain</t>
        </is>
      </c>
      <c r="D91" s="276" t="b">
        <v>1</v>
      </c>
      <c r="E91" s="276" t="n">
        <v>0.002875766871165644</v>
      </c>
      <c r="F91" s="276" t="n">
        <v>1</v>
      </c>
      <c r="G91" s="276" t="n">
        <v>0.196625</v>
      </c>
      <c r="H91" s="276" t="n">
        <v>1</v>
      </c>
      <c r="I91" s="276" t="n">
        <v>1</v>
      </c>
      <c r="J91" s="276" t="n">
        <v>1</v>
      </c>
      <c r="K91" s="276" t="n">
        <v>1</v>
      </c>
      <c r="L91" s="276" t="b">
        <v>0</v>
      </c>
      <c r="M91" s="276" t="n">
        <v>1</v>
      </c>
      <c r="N91" s="276" t="n">
        <v>0</v>
      </c>
      <c r="O91" s="276" t="n">
        <v>0</v>
      </c>
      <c r="P91" s="276" t="n">
        <v>1</v>
      </c>
      <c r="Q91" s="276" t="n">
        <v>1</v>
      </c>
      <c r="R91" s="276" t="b">
        <v>0</v>
      </c>
      <c r="S91" s="276" t="n">
        <v>1</v>
      </c>
      <c r="T91" s="276" t="n">
        <v>0</v>
      </c>
      <c r="U91" s="276" t="n">
        <v>0</v>
      </c>
      <c r="V91" s="276" t="n">
        <v>1</v>
      </c>
      <c r="W91" s="276" t="n">
        <v>1</v>
      </c>
      <c r="X91" s="276" t="b">
        <v>1</v>
      </c>
      <c r="Y91" s="276" t="n">
        <v>0.55</v>
      </c>
      <c r="Z91" s="277" t="n">
        <v>0.22181427526474</v>
      </c>
      <c r="AA91" t="n">
        <v>0.22181427526474</v>
      </c>
      <c r="AB91" t="n">
        <v>1</v>
      </c>
      <c r="AC91" t="n">
        <v>0.55</v>
      </c>
      <c r="AD91" t="b">
        <v>1</v>
      </c>
      <c r="AE91" t="n">
        <v>0.55</v>
      </c>
      <c r="AF91" t="n">
        <v>0</v>
      </c>
      <c r="AG91" t="n">
        <v>0</v>
      </c>
      <c r="AH91" t="n">
        <v>1</v>
      </c>
      <c r="AI91" t="n">
        <v>0.55</v>
      </c>
      <c r="AJ91" t="b">
        <v>1</v>
      </c>
      <c r="AK91" t="n">
        <v>0.65</v>
      </c>
      <c r="AL91" t="n">
        <v>0.2206064987182617</v>
      </c>
      <c r="AM91" t="n">
        <v>0.2206064987182617</v>
      </c>
      <c r="AN91" t="n">
        <v>1</v>
      </c>
      <c r="AO91" t="n">
        <v>0.65</v>
      </c>
    </row>
    <row r="92">
      <c r="A92" s="275" t="inlineStr">
        <is>
          <t>Hacktivist</t>
        </is>
      </c>
      <c r="B92" s="276" t="inlineStr">
        <is>
          <t>Critical business-service disruption</t>
        </is>
      </c>
      <c r="C92" s="276" t="inlineStr">
        <is>
          <t>Direct availability or DDoS</t>
        </is>
      </c>
      <c r="D92" s="276" t="b">
        <v>1</v>
      </c>
      <c r="E92" s="276" t="n">
        <v>0.04601226993865031</v>
      </c>
      <c r="F92" s="276" t="n">
        <v>1</v>
      </c>
      <c r="G92" s="276" t="n">
        <v>0.36</v>
      </c>
      <c r="H92" s="276" t="n">
        <v>1</v>
      </c>
      <c r="I92" s="276" t="n">
        <v>1</v>
      </c>
      <c r="J92" s="276" t="n">
        <v>1</v>
      </c>
      <c r="K92" s="276" t="n">
        <v>1</v>
      </c>
      <c r="L92" s="276" t="b">
        <v>1</v>
      </c>
      <c r="M92" s="276" t="n">
        <v>0.6</v>
      </c>
      <c r="N92" s="276" t="n">
        <v>0.2866992187499999</v>
      </c>
      <c r="O92" s="276" t="n">
        <v>0.2866992187499999</v>
      </c>
      <c r="P92" s="276" t="n">
        <v>1</v>
      </c>
      <c r="Q92" s="276" t="n">
        <v>0.6</v>
      </c>
      <c r="R92" s="276" t="b">
        <v>0</v>
      </c>
      <c r="S92" s="276" t="n">
        <v>1</v>
      </c>
      <c r="T92" s="276" t="n">
        <v>0</v>
      </c>
      <c r="U92" s="276" t="n">
        <v>0</v>
      </c>
      <c r="V92" s="276" t="n">
        <v>1</v>
      </c>
      <c r="W92" s="276" t="n">
        <v>1</v>
      </c>
      <c r="X92" s="276" t="b">
        <v>0</v>
      </c>
      <c r="Y92" s="276" t="n">
        <v>1</v>
      </c>
      <c r="Z92" s="277" t="n">
        <v>0</v>
      </c>
      <c r="AA92" t="n">
        <v>0</v>
      </c>
      <c r="AB92" t="n">
        <v>1</v>
      </c>
      <c r="AC92" t="n">
        <v>1</v>
      </c>
      <c r="AD92" t="b">
        <v>0</v>
      </c>
      <c r="AE92" t="n">
        <v>1</v>
      </c>
      <c r="AF92" t="n">
        <v>0</v>
      </c>
      <c r="AG92" t="n">
        <v>0</v>
      </c>
      <c r="AH92" t="n">
        <v>1</v>
      </c>
      <c r="AI92" t="n">
        <v>1</v>
      </c>
      <c r="AJ92" t="b">
        <v>1</v>
      </c>
      <c r="AK92" t="n">
        <v>0.6</v>
      </c>
      <c r="AL92" t="n">
        <v>0.225</v>
      </c>
      <c r="AM92" t="n">
        <v>0.225</v>
      </c>
      <c r="AN92" t="n">
        <v>1</v>
      </c>
      <c r="AO92" t="n">
        <v>0.6</v>
      </c>
    </row>
    <row r="93">
      <c r="A93" s="275" t="inlineStr">
        <is>
          <t>Hacktivist</t>
        </is>
      </c>
      <c r="B93" s="276" t="inlineStr">
        <is>
          <t>Critical business-service disruption</t>
        </is>
      </c>
      <c r="C93" s="276" t="inlineStr">
        <is>
          <t>Insider or trusted access</t>
        </is>
      </c>
      <c r="D93" s="276" t="b">
        <v>1</v>
      </c>
      <c r="E93" s="276" t="n">
        <v>0.000383435582822086</v>
      </c>
      <c r="F93" s="276" t="n">
        <v>1</v>
      </c>
      <c r="G93" s="276" t="n">
        <v>0.29575</v>
      </c>
      <c r="H93" s="276" t="n">
        <v>1</v>
      </c>
      <c r="I93" s="276" t="n">
        <v>1</v>
      </c>
      <c r="J93" s="276" t="n">
        <v>1</v>
      </c>
      <c r="K93" s="276" t="n">
        <v>1</v>
      </c>
      <c r="L93" s="276" t="b">
        <v>0</v>
      </c>
      <c r="M93" s="276" t="n">
        <v>1</v>
      </c>
      <c r="N93" s="276" t="n">
        <v>0</v>
      </c>
      <c r="O93" s="276" t="n">
        <v>0</v>
      </c>
      <c r="P93" s="276" t="n">
        <v>1</v>
      </c>
      <c r="Q93" s="276" t="n">
        <v>1</v>
      </c>
      <c r="R93" s="276" t="b">
        <v>0</v>
      </c>
      <c r="S93" s="276" t="n">
        <v>1</v>
      </c>
      <c r="T93" s="276" t="n">
        <v>0</v>
      </c>
      <c r="U93" s="276" t="n">
        <v>0</v>
      </c>
      <c r="V93" s="276" t="n">
        <v>1</v>
      </c>
      <c r="W93" s="276" t="n">
        <v>1</v>
      </c>
      <c r="X93" s="276" t="b">
        <v>1</v>
      </c>
      <c r="Y93" s="276" t="n">
        <v>0.7</v>
      </c>
      <c r="Z93" s="277" t="n">
        <v>0.2477547340393066</v>
      </c>
      <c r="AA93" t="n">
        <v>0.2477547340393066</v>
      </c>
      <c r="AB93" t="n">
        <v>1</v>
      </c>
      <c r="AC93" t="n">
        <v>0.7</v>
      </c>
      <c r="AD93" t="b">
        <v>1</v>
      </c>
      <c r="AE93" t="n">
        <v>0.65</v>
      </c>
      <c r="AF93" t="n">
        <v>0</v>
      </c>
      <c r="AG93" t="n">
        <v>0</v>
      </c>
      <c r="AH93" t="n">
        <v>1</v>
      </c>
      <c r="AI93" t="n">
        <v>0.65</v>
      </c>
      <c r="AJ93" t="b">
        <v>1</v>
      </c>
      <c r="AK93" t="n">
        <v>0.65</v>
      </c>
      <c r="AL93" t="n">
        <v>0.2206064987182617</v>
      </c>
      <c r="AM93" t="n">
        <v>0.2206064987182617</v>
      </c>
      <c r="AN93" t="n">
        <v>1</v>
      </c>
      <c r="AO93" t="n">
        <v>0.65</v>
      </c>
    </row>
    <row r="94">
      <c r="A94" s="275" t="inlineStr">
        <is>
          <t>Hacktivist</t>
        </is>
      </c>
      <c r="B94" s="276" t="inlineStr">
        <is>
          <t>Sensitive-data compromise</t>
        </is>
      </c>
      <c r="C94" s="276" t="inlineStr">
        <is>
          <t>Identity and credential compromise</t>
        </is>
      </c>
      <c r="D94" s="276" t="b">
        <v>1</v>
      </c>
      <c r="E94" s="276" t="n">
        <v>0.004880694143167028</v>
      </c>
      <c r="F94" s="276" t="n">
        <v>1</v>
      </c>
      <c r="G94" s="276" t="n">
        <v>0.05898750000000001</v>
      </c>
      <c r="H94" s="276" t="n">
        <v>1</v>
      </c>
      <c r="I94" s="276" t="n">
        <v>1</v>
      </c>
      <c r="J94" s="276" t="n">
        <v>1</v>
      </c>
      <c r="K94" s="276" t="n">
        <v>1</v>
      </c>
      <c r="L94" s="276" t="b">
        <v>1</v>
      </c>
      <c r="M94" s="276" t="n">
        <v>0.3</v>
      </c>
      <c r="N94" s="276" t="n">
        <v>0.2403645833333333</v>
      </c>
      <c r="O94" s="276" t="n">
        <v>0.2403645833333333</v>
      </c>
      <c r="P94" s="276" t="n">
        <v>1</v>
      </c>
      <c r="Q94" s="276" t="n">
        <v>0.3</v>
      </c>
      <c r="R94" s="276" t="b">
        <v>0</v>
      </c>
      <c r="S94" s="276" t="n">
        <v>1</v>
      </c>
      <c r="T94" s="276" t="n">
        <v>0</v>
      </c>
      <c r="U94" s="276" t="n">
        <v>0</v>
      </c>
      <c r="V94" s="276" t="n">
        <v>1</v>
      </c>
      <c r="W94" s="276" t="n">
        <v>1</v>
      </c>
      <c r="X94" s="276" t="b">
        <v>1</v>
      </c>
      <c r="Y94" s="276" t="n">
        <v>0.55</v>
      </c>
      <c r="Z94" s="277" t="n">
        <v>0.2477547340393066</v>
      </c>
      <c r="AA94" t="n">
        <v>0.2477547340393066</v>
      </c>
      <c r="AB94" t="n">
        <v>1</v>
      </c>
      <c r="AC94" t="n">
        <v>0.55</v>
      </c>
      <c r="AD94" t="b">
        <v>1</v>
      </c>
      <c r="AE94" t="n">
        <v>0.55</v>
      </c>
      <c r="AF94" t="n">
        <v>0</v>
      </c>
      <c r="AG94" t="n">
        <v>0</v>
      </c>
      <c r="AH94" t="n">
        <v>1</v>
      </c>
      <c r="AI94" t="n">
        <v>0.55</v>
      </c>
      <c r="AJ94" t="b">
        <v>1</v>
      </c>
      <c r="AK94" t="n">
        <v>0.65</v>
      </c>
      <c r="AL94" t="n">
        <v>0.20625</v>
      </c>
      <c r="AM94" t="n">
        <v>0.20625</v>
      </c>
      <c r="AN94" t="n">
        <v>1</v>
      </c>
      <c r="AO94" t="n">
        <v>0.65</v>
      </c>
    </row>
    <row r="95">
      <c r="A95" s="275" t="inlineStr">
        <is>
          <t>Hacktivist</t>
        </is>
      </c>
      <c r="B95" s="276" t="inlineStr">
        <is>
          <t>Sensitive-data compromise</t>
        </is>
      </c>
      <c r="C95" s="276" t="inlineStr">
        <is>
          <t>User endpoint and social engineering</t>
        </is>
      </c>
      <c r="D95" s="276" t="b">
        <v>1</v>
      </c>
      <c r="E95" s="276" t="n">
        <v>0.002863340563991323</v>
      </c>
      <c r="F95" s="276" t="n">
        <v>1</v>
      </c>
      <c r="G95" s="276" t="n">
        <v>0.025515</v>
      </c>
      <c r="H95" s="276" t="n">
        <v>1</v>
      </c>
      <c r="I95" s="276" t="n">
        <v>1</v>
      </c>
      <c r="J95" s="276" t="n">
        <v>1</v>
      </c>
      <c r="K95" s="276" t="n">
        <v>1</v>
      </c>
      <c r="L95" s="276" t="b">
        <v>1</v>
      </c>
      <c r="M95" s="276" t="n">
        <v>0.35</v>
      </c>
      <c r="N95" s="276" t="n">
        <v>0.20625</v>
      </c>
      <c r="O95" s="276" t="n">
        <v>0.20625</v>
      </c>
      <c r="P95" s="276" t="n">
        <v>1</v>
      </c>
      <c r="Q95" s="276" t="n">
        <v>0.35</v>
      </c>
      <c r="R95" s="276" t="b">
        <v>1</v>
      </c>
      <c r="S95" s="276" t="n">
        <v>0.6</v>
      </c>
      <c r="T95" s="276" t="n">
        <v>0.1875</v>
      </c>
      <c r="U95" s="276" t="n">
        <v>0.1875</v>
      </c>
      <c r="V95" s="276" t="n">
        <v>1</v>
      </c>
      <c r="W95" s="276" t="n">
        <v>0.6</v>
      </c>
      <c r="X95" s="276" t="b">
        <v>1</v>
      </c>
      <c r="Y95" s="276" t="n">
        <v>0.45</v>
      </c>
      <c r="Z95" s="277" t="n">
        <v>0.2216183303833008</v>
      </c>
      <c r="AA95" t="n">
        <v>0.2216183303833008</v>
      </c>
      <c r="AB95" t="n">
        <v>1</v>
      </c>
      <c r="AC95" t="n">
        <v>0.45</v>
      </c>
      <c r="AD95" t="b">
        <v>1</v>
      </c>
      <c r="AE95" t="n">
        <v>0.45</v>
      </c>
      <c r="AF95" t="n">
        <v>0.1794642857142857</v>
      </c>
      <c r="AG95" t="n">
        <v>0.1794642857142857</v>
      </c>
      <c r="AH95" t="n">
        <v>1</v>
      </c>
      <c r="AI95" t="n">
        <v>0.45</v>
      </c>
      <c r="AJ95" t="b">
        <v>1</v>
      </c>
      <c r="AK95" t="n">
        <v>0.6</v>
      </c>
      <c r="AL95" t="n">
        <v>0.20625</v>
      </c>
      <c r="AM95" t="n">
        <v>0.20625</v>
      </c>
      <c r="AN95" t="n">
        <v>1</v>
      </c>
      <c r="AO95" t="n">
        <v>0.6</v>
      </c>
    </row>
    <row r="96">
      <c r="A96" s="275" t="inlineStr">
        <is>
          <t>Hacktivist</t>
        </is>
      </c>
      <c r="B96" s="276" t="inlineStr">
        <is>
          <t>Sensitive-data compromise</t>
        </is>
      </c>
      <c r="C96" s="276" t="inlineStr">
        <is>
          <t>Public-facing application exploitation</t>
        </is>
      </c>
      <c r="D96" s="276" t="b">
        <v>1</v>
      </c>
      <c r="E96" s="276" t="n">
        <v>0.005612798264642082</v>
      </c>
      <c r="F96" s="276" t="n">
        <v>1</v>
      </c>
      <c r="G96" s="276" t="n">
        <v>0.02025</v>
      </c>
      <c r="H96" s="276" t="n">
        <v>1</v>
      </c>
      <c r="I96" s="276" t="n">
        <v>1</v>
      </c>
      <c r="J96" s="276" t="n">
        <v>1</v>
      </c>
      <c r="K96" s="276" t="n">
        <v>1</v>
      </c>
      <c r="L96" s="276" t="b">
        <v>1</v>
      </c>
      <c r="M96" s="276" t="n">
        <v>0.25</v>
      </c>
      <c r="N96" s="276" t="n">
        <v>0.2496630477905274</v>
      </c>
      <c r="O96" s="276" t="n">
        <v>0.2496630477905274</v>
      </c>
      <c r="P96" s="276" t="n">
        <v>1</v>
      </c>
      <c r="Q96" s="276" t="n">
        <v>0.25</v>
      </c>
      <c r="R96" s="276" t="b">
        <v>1</v>
      </c>
      <c r="S96" s="276" t="n">
        <v>0.6</v>
      </c>
      <c r="T96" s="276" t="n">
        <v>0.1875</v>
      </c>
      <c r="U96" s="276" t="n">
        <v>0.1875</v>
      </c>
      <c r="V96" s="276" t="n">
        <v>1</v>
      </c>
      <c r="W96" s="276" t="n">
        <v>0.6</v>
      </c>
      <c r="X96" s="276" t="b">
        <v>1</v>
      </c>
      <c r="Y96" s="276" t="n">
        <v>0.5</v>
      </c>
      <c r="Z96" s="277" t="n">
        <v>0.2199757778461163</v>
      </c>
      <c r="AA96" t="n">
        <v>0.2199757778461163</v>
      </c>
      <c r="AB96" t="n">
        <v>1</v>
      </c>
      <c r="AC96" t="n">
        <v>0.5</v>
      </c>
      <c r="AD96" t="b">
        <v>1</v>
      </c>
      <c r="AE96" t="n">
        <v>0.45</v>
      </c>
      <c r="AF96" t="n">
        <v>0.1907346013939899</v>
      </c>
      <c r="AG96" t="n">
        <v>0.1907346013939899</v>
      </c>
      <c r="AH96" t="n">
        <v>1</v>
      </c>
      <c r="AI96" t="n">
        <v>0.45</v>
      </c>
      <c r="AJ96" t="b">
        <v>1</v>
      </c>
      <c r="AK96" t="n">
        <v>0.6</v>
      </c>
      <c r="AL96" t="n">
        <v>0.20625</v>
      </c>
      <c r="AM96" t="n">
        <v>0.20625</v>
      </c>
      <c r="AN96" t="n">
        <v>1</v>
      </c>
      <c r="AO96" t="n">
        <v>0.6</v>
      </c>
    </row>
    <row r="97">
      <c r="A97" s="275" t="inlineStr">
        <is>
          <t>Hacktivist</t>
        </is>
      </c>
      <c r="B97" s="276" t="inlineStr">
        <is>
          <t>Sensitive-data compromise</t>
        </is>
      </c>
      <c r="C97" s="276" t="inlineStr">
        <is>
          <t>Third-party or software supply chain</t>
        </is>
      </c>
      <c r="D97" s="276" t="b">
        <v>1</v>
      </c>
      <c r="E97" s="276" t="n">
        <v>0.001382863340563991</v>
      </c>
      <c r="F97" s="276" t="n">
        <v>1</v>
      </c>
      <c r="G97" s="276" t="n">
        <v>0.196625</v>
      </c>
      <c r="H97" s="276" t="n">
        <v>1</v>
      </c>
      <c r="I97" s="276" t="n">
        <v>1</v>
      </c>
      <c r="J97" s="276" t="n">
        <v>1</v>
      </c>
      <c r="K97" s="276" t="n">
        <v>1</v>
      </c>
      <c r="L97" s="276" t="b">
        <v>0</v>
      </c>
      <c r="M97" s="276" t="n">
        <v>1</v>
      </c>
      <c r="N97" s="276" t="n">
        <v>0</v>
      </c>
      <c r="O97" s="276" t="n">
        <v>0</v>
      </c>
      <c r="P97" s="276" t="n">
        <v>1</v>
      </c>
      <c r="Q97" s="276" t="n">
        <v>1</v>
      </c>
      <c r="R97" s="276" t="b">
        <v>0</v>
      </c>
      <c r="S97" s="276" t="n">
        <v>1</v>
      </c>
      <c r="T97" s="276" t="n">
        <v>0</v>
      </c>
      <c r="U97" s="276" t="n">
        <v>0</v>
      </c>
      <c r="V97" s="276" t="n">
        <v>1</v>
      </c>
      <c r="W97" s="276" t="n">
        <v>1</v>
      </c>
      <c r="X97" s="276" t="b">
        <v>1</v>
      </c>
      <c r="Y97" s="276" t="n">
        <v>0.55</v>
      </c>
      <c r="Z97" s="277" t="n">
        <v>0.22181427526474</v>
      </c>
      <c r="AA97" t="n">
        <v>0.22181427526474</v>
      </c>
      <c r="AB97" t="n">
        <v>1</v>
      </c>
      <c r="AC97" t="n">
        <v>0.55</v>
      </c>
      <c r="AD97" t="b">
        <v>1</v>
      </c>
      <c r="AE97" t="n">
        <v>0.55</v>
      </c>
      <c r="AF97" t="n">
        <v>0</v>
      </c>
      <c r="AG97" t="n">
        <v>0</v>
      </c>
      <c r="AH97" t="n">
        <v>1</v>
      </c>
      <c r="AI97" t="n">
        <v>0.55</v>
      </c>
      <c r="AJ97" t="b">
        <v>1</v>
      </c>
      <c r="AK97" t="n">
        <v>0.65</v>
      </c>
      <c r="AL97" t="n">
        <v>0.20625</v>
      </c>
      <c r="AM97" t="n">
        <v>0.20625</v>
      </c>
      <c r="AN97" t="n">
        <v>1</v>
      </c>
      <c r="AO97" t="n">
        <v>0.65</v>
      </c>
    </row>
    <row r="98">
      <c r="A98" s="275" t="inlineStr">
        <is>
          <t>Hacktivist</t>
        </is>
      </c>
      <c r="B98" s="276" t="inlineStr">
        <is>
          <t>Sensitive-data compromise</t>
        </is>
      </c>
      <c r="C98" s="276" t="inlineStr">
        <is>
          <t>Direct availability or DDoS</t>
        </is>
      </c>
      <c r="D98" s="276" t="b">
        <v>0</v>
      </c>
      <c r="E98" s="276" t="n">
        <v>0</v>
      </c>
      <c r="F98" s="276" t="n">
        <v>1</v>
      </c>
      <c r="G98" s="276" t="n">
        <v>0</v>
      </c>
      <c r="H98" s="276" t="n">
        <v>1</v>
      </c>
      <c r="I98" s="276" t="n">
        <v>1</v>
      </c>
      <c r="J98" s="276" t="n">
        <v>1</v>
      </c>
      <c r="K98" s="276" t="n">
        <v>1</v>
      </c>
      <c r="L98" s="276" t="b">
        <v>0</v>
      </c>
      <c r="M98" s="276" t="n">
        <v>1</v>
      </c>
      <c r="N98" s="276" t="n">
        <v>0</v>
      </c>
      <c r="O98" s="276" t="n">
        <v>0</v>
      </c>
      <c r="P98" s="276" t="n">
        <v>1</v>
      </c>
      <c r="Q98" s="276" t="n">
        <v>1</v>
      </c>
      <c r="R98" s="276" t="b">
        <v>0</v>
      </c>
      <c r="S98" s="276" t="n">
        <v>1</v>
      </c>
      <c r="T98" s="276" t="n">
        <v>0</v>
      </c>
      <c r="U98" s="276" t="n">
        <v>0</v>
      </c>
      <c r="V98" s="276" t="n">
        <v>1</v>
      </c>
      <c r="W98" s="276" t="n">
        <v>1</v>
      </c>
      <c r="X98" s="276" t="b">
        <v>0</v>
      </c>
      <c r="Y98" s="276" t="n">
        <v>1</v>
      </c>
      <c r="Z98" s="277" t="n">
        <v>0</v>
      </c>
      <c r="AA98" t="n">
        <v>0</v>
      </c>
      <c r="AB98" t="n">
        <v>1</v>
      </c>
      <c r="AC98" t="n">
        <v>1</v>
      </c>
      <c r="AD98" t="b">
        <v>0</v>
      </c>
      <c r="AE98" t="n">
        <v>1</v>
      </c>
      <c r="AF98" t="n">
        <v>0</v>
      </c>
      <c r="AG98" t="n">
        <v>0</v>
      </c>
      <c r="AH98" t="n">
        <v>1</v>
      </c>
      <c r="AI98" t="n">
        <v>1</v>
      </c>
      <c r="AJ98" t="b">
        <v>0</v>
      </c>
      <c r="AK98" t="n">
        <v>1</v>
      </c>
      <c r="AL98" t="n">
        <v>0</v>
      </c>
      <c r="AM98" t="n">
        <v>0</v>
      </c>
      <c r="AN98" t="n">
        <v>1</v>
      </c>
      <c r="AO98" t="n">
        <v>1</v>
      </c>
    </row>
    <row r="99">
      <c r="A99" s="275" t="inlineStr">
        <is>
          <t>Hacktivist</t>
        </is>
      </c>
      <c r="B99" s="276" t="inlineStr">
        <is>
          <t>Sensitive-data compromise</t>
        </is>
      </c>
      <c r="C99" s="276" t="inlineStr">
        <is>
          <t>Insider or trusted access</t>
        </is>
      </c>
      <c r="D99" s="276" t="b">
        <v>1</v>
      </c>
      <c r="E99" s="276" t="n">
        <v>0.0002603036876355748</v>
      </c>
      <c r="F99" s="276" t="n">
        <v>1</v>
      </c>
      <c r="G99" s="276" t="n">
        <v>0.29575</v>
      </c>
      <c r="H99" s="276" t="n">
        <v>1</v>
      </c>
      <c r="I99" s="276" t="n">
        <v>1</v>
      </c>
      <c r="J99" s="276" t="n">
        <v>1</v>
      </c>
      <c r="K99" s="276" t="n">
        <v>1</v>
      </c>
      <c r="L99" s="276" t="b">
        <v>0</v>
      </c>
      <c r="M99" s="276" t="n">
        <v>1</v>
      </c>
      <c r="N99" s="276" t="n">
        <v>0</v>
      </c>
      <c r="O99" s="276" t="n">
        <v>0</v>
      </c>
      <c r="P99" s="276" t="n">
        <v>1</v>
      </c>
      <c r="Q99" s="276" t="n">
        <v>1</v>
      </c>
      <c r="R99" s="276" t="b">
        <v>0</v>
      </c>
      <c r="S99" s="276" t="n">
        <v>1</v>
      </c>
      <c r="T99" s="276" t="n">
        <v>0</v>
      </c>
      <c r="U99" s="276" t="n">
        <v>0</v>
      </c>
      <c r="V99" s="276" t="n">
        <v>1</v>
      </c>
      <c r="W99" s="276" t="n">
        <v>1</v>
      </c>
      <c r="X99" s="276" t="b">
        <v>1</v>
      </c>
      <c r="Y99" s="276" t="n">
        <v>0.7</v>
      </c>
      <c r="Z99" s="277" t="n">
        <v>0.2477547340393066</v>
      </c>
      <c r="AA99" t="n">
        <v>0.2477547340393066</v>
      </c>
      <c r="AB99" t="n">
        <v>1</v>
      </c>
      <c r="AC99" t="n">
        <v>0.7</v>
      </c>
      <c r="AD99" t="b">
        <v>1</v>
      </c>
      <c r="AE99" t="n">
        <v>0.65</v>
      </c>
      <c r="AF99" t="n">
        <v>0</v>
      </c>
      <c r="AG99" t="n">
        <v>0</v>
      </c>
      <c r="AH99" t="n">
        <v>1</v>
      </c>
      <c r="AI99" t="n">
        <v>0.65</v>
      </c>
      <c r="AJ99" t="b">
        <v>1</v>
      </c>
      <c r="AK99" t="n">
        <v>0.65</v>
      </c>
      <c r="AL99" t="n">
        <v>0.20625</v>
      </c>
      <c r="AM99" t="n">
        <v>0.20625</v>
      </c>
      <c r="AN99" t="n">
        <v>1</v>
      </c>
      <c r="AO99" t="n">
        <v>0.65</v>
      </c>
    </row>
    <row r="100">
      <c r="A100" s="275" t="inlineStr">
        <is>
          <t>Hacktivist</t>
        </is>
      </c>
      <c r="B100" s="276" t="inlineStr">
        <is>
          <t>Data or transaction-integrity compromise</t>
        </is>
      </c>
      <c r="C100" s="276" t="inlineStr">
        <is>
          <t>Identity and credential compromise</t>
        </is>
      </c>
      <c r="D100" s="276" t="b">
        <v>1</v>
      </c>
      <c r="E100" s="276" t="n">
        <v>0.002239185750636133</v>
      </c>
      <c r="F100" s="276" t="n">
        <v>1</v>
      </c>
      <c r="G100" s="276" t="n">
        <v>0.05898750000000001</v>
      </c>
      <c r="H100" s="276" t="n">
        <v>1</v>
      </c>
      <c r="I100" s="276" t="n">
        <v>1</v>
      </c>
      <c r="J100" s="276" t="n">
        <v>1</v>
      </c>
      <c r="K100" s="276" t="n">
        <v>1</v>
      </c>
      <c r="L100" s="276" t="b">
        <v>1</v>
      </c>
      <c r="M100" s="276" t="n">
        <v>0.3</v>
      </c>
      <c r="N100" s="276" t="n">
        <v>0.2403645833333333</v>
      </c>
      <c r="O100" s="276" t="n">
        <v>0.2403645833333333</v>
      </c>
      <c r="P100" s="276" t="n">
        <v>1</v>
      </c>
      <c r="Q100" s="276" t="n">
        <v>0.3</v>
      </c>
      <c r="R100" s="276" t="b">
        <v>0</v>
      </c>
      <c r="S100" s="276" t="n">
        <v>1</v>
      </c>
      <c r="T100" s="276" t="n">
        <v>0</v>
      </c>
      <c r="U100" s="276" t="n">
        <v>0</v>
      </c>
      <c r="V100" s="276" t="n">
        <v>1</v>
      </c>
      <c r="W100" s="276" t="n">
        <v>1</v>
      </c>
      <c r="X100" s="276" t="b">
        <v>1</v>
      </c>
      <c r="Y100" s="276" t="n">
        <v>0.55</v>
      </c>
      <c r="Z100" s="277" t="n">
        <v>0.2477547340393066</v>
      </c>
      <c r="AA100" t="n">
        <v>0.2477547340393066</v>
      </c>
      <c r="AB100" t="n">
        <v>1</v>
      </c>
      <c r="AC100" t="n">
        <v>0.55</v>
      </c>
      <c r="AD100" t="b">
        <v>1</v>
      </c>
      <c r="AE100" t="n">
        <v>0.55</v>
      </c>
      <c r="AF100" t="n">
        <v>0</v>
      </c>
      <c r="AG100" t="n">
        <v>0</v>
      </c>
      <c r="AH100" t="n">
        <v>1</v>
      </c>
      <c r="AI100" t="n">
        <v>0.55</v>
      </c>
      <c r="AJ100" t="b">
        <v>1</v>
      </c>
      <c r="AK100" t="n">
        <v>0.65</v>
      </c>
      <c r="AL100" t="n">
        <v>0.2206064987182617</v>
      </c>
      <c r="AM100" t="n">
        <v>0.2206064987182617</v>
      </c>
      <c r="AN100" t="n">
        <v>1</v>
      </c>
      <c r="AO100" t="n">
        <v>0.65</v>
      </c>
    </row>
    <row r="101">
      <c r="A101" s="275" t="inlineStr">
        <is>
          <t>Hacktivist</t>
        </is>
      </c>
      <c r="B101" s="276" t="inlineStr">
        <is>
          <t>Data or transaction-integrity compromise</t>
        </is>
      </c>
      <c r="C101" s="276" t="inlineStr">
        <is>
          <t>User endpoint and social engineering</t>
        </is>
      </c>
      <c r="D101" s="276" t="b">
        <v>1</v>
      </c>
      <c r="E101" s="276" t="n">
        <v>0.001221374045801527</v>
      </c>
      <c r="F101" s="276" t="n">
        <v>1</v>
      </c>
      <c r="G101" s="276" t="n">
        <v>0.025515</v>
      </c>
      <c r="H101" s="276" t="n">
        <v>1</v>
      </c>
      <c r="I101" s="276" t="n">
        <v>1</v>
      </c>
      <c r="J101" s="276" t="n">
        <v>1</v>
      </c>
      <c r="K101" s="276" t="n">
        <v>1</v>
      </c>
      <c r="L101" s="276" t="b">
        <v>1</v>
      </c>
      <c r="M101" s="276" t="n">
        <v>0.35</v>
      </c>
      <c r="N101" s="276" t="n">
        <v>0.20625</v>
      </c>
      <c r="O101" s="276" t="n">
        <v>0.20625</v>
      </c>
      <c r="P101" s="276" t="n">
        <v>1</v>
      </c>
      <c r="Q101" s="276" t="n">
        <v>0.35</v>
      </c>
      <c r="R101" s="276" t="b">
        <v>1</v>
      </c>
      <c r="S101" s="276" t="n">
        <v>0.6</v>
      </c>
      <c r="T101" s="276" t="n">
        <v>0.1875</v>
      </c>
      <c r="U101" s="276" t="n">
        <v>0.1875</v>
      </c>
      <c r="V101" s="276" t="n">
        <v>1</v>
      </c>
      <c r="W101" s="276" t="n">
        <v>0.6</v>
      </c>
      <c r="X101" s="276" t="b">
        <v>1</v>
      </c>
      <c r="Y101" s="276" t="n">
        <v>0.45</v>
      </c>
      <c r="Z101" s="277" t="n">
        <v>0.2216183303833008</v>
      </c>
      <c r="AA101" t="n">
        <v>0.2216183303833008</v>
      </c>
      <c r="AB101" t="n">
        <v>1</v>
      </c>
      <c r="AC101" t="n">
        <v>0.45</v>
      </c>
      <c r="AD101" t="b">
        <v>1</v>
      </c>
      <c r="AE101" t="n">
        <v>0.45</v>
      </c>
      <c r="AF101" t="n">
        <v>0.1794642857142857</v>
      </c>
      <c r="AG101" t="n">
        <v>0.1794642857142857</v>
      </c>
      <c r="AH101" t="n">
        <v>1</v>
      </c>
      <c r="AI101" t="n">
        <v>0.45</v>
      </c>
      <c r="AJ101" t="b">
        <v>1</v>
      </c>
      <c r="AK101" t="n">
        <v>0.6</v>
      </c>
      <c r="AL101" t="n">
        <v>0.2206064987182617</v>
      </c>
      <c r="AM101" t="n">
        <v>0.2206064987182617</v>
      </c>
      <c r="AN101" t="n">
        <v>1</v>
      </c>
      <c r="AO101" t="n">
        <v>0.6</v>
      </c>
    </row>
    <row r="102">
      <c r="A102" s="275" t="inlineStr">
        <is>
          <t>Hacktivist</t>
        </is>
      </c>
      <c r="B102" s="276" t="inlineStr">
        <is>
          <t>Data or transaction-integrity compromise</t>
        </is>
      </c>
      <c r="C102" s="276" t="inlineStr">
        <is>
          <t>Public-facing application exploitation</t>
        </is>
      </c>
      <c r="D102" s="276" t="b">
        <v>1</v>
      </c>
      <c r="E102" s="276" t="n">
        <v>0.003053435114503817</v>
      </c>
      <c r="F102" s="276" t="n">
        <v>1</v>
      </c>
      <c r="G102" s="276" t="n">
        <v>0.02025</v>
      </c>
      <c r="H102" s="276" t="n">
        <v>1</v>
      </c>
      <c r="I102" s="276" t="n">
        <v>1</v>
      </c>
      <c r="J102" s="276" t="n">
        <v>1</v>
      </c>
      <c r="K102" s="276" t="n">
        <v>1</v>
      </c>
      <c r="L102" s="276" t="b">
        <v>1</v>
      </c>
      <c r="M102" s="276" t="n">
        <v>0.25</v>
      </c>
      <c r="N102" s="276" t="n">
        <v>0.2496630477905274</v>
      </c>
      <c r="O102" s="276" t="n">
        <v>0.2496630477905274</v>
      </c>
      <c r="P102" s="276" t="n">
        <v>1</v>
      </c>
      <c r="Q102" s="276" t="n">
        <v>0.25</v>
      </c>
      <c r="R102" s="276" t="b">
        <v>1</v>
      </c>
      <c r="S102" s="276" t="n">
        <v>0.6</v>
      </c>
      <c r="T102" s="276" t="n">
        <v>0.1875</v>
      </c>
      <c r="U102" s="276" t="n">
        <v>0.1875</v>
      </c>
      <c r="V102" s="276" t="n">
        <v>1</v>
      </c>
      <c r="W102" s="276" t="n">
        <v>0.6</v>
      </c>
      <c r="X102" s="276" t="b">
        <v>1</v>
      </c>
      <c r="Y102" s="276" t="n">
        <v>0.5</v>
      </c>
      <c r="Z102" s="277" t="n">
        <v>0.2199757778461163</v>
      </c>
      <c r="AA102" t="n">
        <v>0.2199757778461163</v>
      </c>
      <c r="AB102" t="n">
        <v>1</v>
      </c>
      <c r="AC102" t="n">
        <v>0.5</v>
      </c>
      <c r="AD102" t="b">
        <v>1</v>
      </c>
      <c r="AE102" t="n">
        <v>0.45</v>
      </c>
      <c r="AF102" t="n">
        <v>0.1907346013939899</v>
      </c>
      <c r="AG102" t="n">
        <v>0.1907346013939899</v>
      </c>
      <c r="AH102" t="n">
        <v>1</v>
      </c>
      <c r="AI102" t="n">
        <v>0.45</v>
      </c>
      <c r="AJ102" t="b">
        <v>1</v>
      </c>
      <c r="AK102" t="n">
        <v>0.6</v>
      </c>
      <c r="AL102" t="n">
        <v>0.2206064987182617</v>
      </c>
      <c r="AM102" t="n">
        <v>0.2206064987182617</v>
      </c>
      <c r="AN102" t="n">
        <v>1</v>
      </c>
      <c r="AO102" t="n">
        <v>0.6</v>
      </c>
    </row>
    <row r="103">
      <c r="A103" s="275" t="inlineStr">
        <is>
          <t>Hacktivist</t>
        </is>
      </c>
      <c r="B103" s="276" t="inlineStr">
        <is>
          <t>Data or transaction-integrity compromise</t>
        </is>
      </c>
      <c r="C103" s="276" t="inlineStr">
        <is>
          <t>Third-party or software supply chain</t>
        </is>
      </c>
      <c r="D103" s="276" t="b">
        <v>1</v>
      </c>
      <c r="E103" s="276" t="n">
        <v>0.001017811704834606</v>
      </c>
      <c r="F103" s="276" t="n">
        <v>1</v>
      </c>
      <c r="G103" s="276" t="n">
        <v>0.196625</v>
      </c>
      <c r="H103" s="276" t="n">
        <v>1</v>
      </c>
      <c r="I103" s="276" t="n">
        <v>1</v>
      </c>
      <c r="J103" s="276" t="n">
        <v>1</v>
      </c>
      <c r="K103" s="276" t="n">
        <v>1</v>
      </c>
      <c r="L103" s="276" t="b">
        <v>0</v>
      </c>
      <c r="M103" s="276" t="n">
        <v>1</v>
      </c>
      <c r="N103" s="276" t="n">
        <v>0</v>
      </c>
      <c r="O103" s="276" t="n">
        <v>0</v>
      </c>
      <c r="P103" s="276" t="n">
        <v>1</v>
      </c>
      <c r="Q103" s="276" t="n">
        <v>1</v>
      </c>
      <c r="R103" s="276" t="b">
        <v>0</v>
      </c>
      <c r="S103" s="276" t="n">
        <v>1</v>
      </c>
      <c r="T103" s="276" t="n">
        <v>0</v>
      </c>
      <c r="U103" s="276" t="n">
        <v>0</v>
      </c>
      <c r="V103" s="276" t="n">
        <v>1</v>
      </c>
      <c r="W103" s="276" t="n">
        <v>1</v>
      </c>
      <c r="X103" s="276" t="b">
        <v>1</v>
      </c>
      <c r="Y103" s="276" t="n">
        <v>0.55</v>
      </c>
      <c r="Z103" s="277" t="n">
        <v>0.22181427526474</v>
      </c>
      <c r="AA103" t="n">
        <v>0.22181427526474</v>
      </c>
      <c r="AB103" t="n">
        <v>1</v>
      </c>
      <c r="AC103" t="n">
        <v>0.55</v>
      </c>
      <c r="AD103" t="b">
        <v>1</v>
      </c>
      <c r="AE103" t="n">
        <v>0.55</v>
      </c>
      <c r="AF103" t="n">
        <v>0</v>
      </c>
      <c r="AG103" t="n">
        <v>0</v>
      </c>
      <c r="AH103" t="n">
        <v>1</v>
      </c>
      <c r="AI103" t="n">
        <v>0.55</v>
      </c>
      <c r="AJ103" t="b">
        <v>1</v>
      </c>
      <c r="AK103" t="n">
        <v>0.65</v>
      </c>
      <c r="AL103" t="n">
        <v>0.2206064987182617</v>
      </c>
      <c r="AM103" t="n">
        <v>0.2206064987182617</v>
      </c>
      <c r="AN103" t="n">
        <v>1</v>
      </c>
      <c r="AO103" t="n">
        <v>0.65</v>
      </c>
    </row>
    <row r="104">
      <c r="A104" s="275" t="inlineStr">
        <is>
          <t>Hacktivist</t>
        </is>
      </c>
      <c r="B104" s="276" t="inlineStr">
        <is>
          <t>Data or transaction-integrity compromise</t>
        </is>
      </c>
      <c r="C104" s="276" t="inlineStr">
        <is>
          <t>Direct availability or DDoS</t>
        </is>
      </c>
      <c r="D104" s="276" t="b">
        <v>0</v>
      </c>
      <c r="E104" s="276" t="n">
        <v>0</v>
      </c>
      <c r="F104" s="276" t="n">
        <v>1</v>
      </c>
      <c r="G104" s="276" t="n">
        <v>0</v>
      </c>
      <c r="H104" s="276" t="n">
        <v>1</v>
      </c>
      <c r="I104" s="276" t="n">
        <v>1</v>
      </c>
      <c r="J104" s="276" t="n">
        <v>1</v>
      </c>
      <c r="K104" s="276" t="n">
        <v>1</v>
      </c>
      <c r="L104" s="276" t="b">
        <v>0</v>
      </c>
      <c r="M104" s="276" t="n">
        <v>1</v>
      </c>
      <c r="N104" s="276" t="n">
        <v>0</v>
      </c>
      <c r="O104" s="276" t="n">
        <v>0</v>
      </c>
      <c r="P104" s="276" t="n">
        <v>1</v>
      </c>
      <c r="Q104" s="276" t="n">
        <v>1</v>
      </c>
      <c r="R104" s="276" t="b">
        <v>0</v>
      </c>
      <c r="S104" s="276" t="n">
        <v>1</v>
      </c>
      <c r="T104" s="276" t="n">
        <v>0</v>
      </c>
      <c r="U104" s="276" t="n">
        <v>0</v>
      </c>
      <c r="V104" s="276" t="n">
        <v>1</v>
      </c>
      <c r="W104" s="276" t="n">
        <v>1</v>
      </c>
      <c r="X104" s="276" t="b">
        <v>0</v>
      </c>
      <c r="Y104" s="276" t="n">
        <v>1</v>
      </c>
      <c r="Z104" s="277" t="n">
        <v>0</v>
      </c>
      <c r="AA104" t="n">
        <v>0</v>
      </c>
      <c r="AB104" t="n">
        <v>1</v>
      </c>
      <c r="AC104" t="n">
        <v>1</v>
      </c>
      <c r="AD104" t="b">
        <v>0</v>
      </c>
      <c r="AE104" t="n">
        <v>1</v>
      </c>
      <c r="AF104" t="n">
        <v>0</v>
      </c>
      <c r="AG104" t="n">
        <v>0</v>
      </c>
      <c r="AH104" t="n">
        <v>1</v>
      </c>
      <c r="AI104" t="n">
        <v>1</v>
      </c>
      <c r="AJ104" t="b">
        <v>0</v>
      </c>
      <c r="AK104" t="n">
        <v>1</v>
      </c>
      <c r="AL104" t="n">
        <v>0</v>
      </c>
      <c r="AM104" t="n">
        <v>0</v>
      </c>
      <c r="AN104" t="n">
        <v>1</v>
      </c>
      <c r="AO104" t="n">
        <v>1</v>
      </c>
    </row>
    <row r="105">
      <c r="A105" s="275" t="inlineStr">
        <is>
          <t>Hacktivist</t>
        </is>
      </c>
      <c r="B105" s="276" t="inlineStr">
        <is>
          <t>Data or transaction-integrity compromise</t>
        </is>
      </c>
      <c r="C105" s="276" t="inlineStr">
        <is>
          <t>Insider or trusted access</t>
        </is>
      </c>
      <c r="D105" s="276" t="b">
        <v>1</v>
      </c>
      <c r="E105" s="276" t="n">
        <v>0.0004681933842239186</v>
      </c>
      <c r="F105" s="276" t="n">
        <v>1</v>
      </c>
      <c r="G105" s="276" t="n">
        <v>0.29575</v>
      </c>
      <c r="H105" s="276" t="n">
        <v>1</v>
      </c>
      <c r="I105" s="276" t="n">
        <v>1</v>
      </c>
      <c r="J105" s="276" t="n">
        <v>1</v>
      </c>
      <c r="K105" s="276" t="n">
        <v>1</v>
      </c>
      <c r="L105" s="276" t="b">
        <v>0</v>
      </c>
      <c r="M105" s="276" t="n">
        <v>1</v>
      </c>
      <c r="N105" s="276" t="n">
        <v>0</v>
      </c>
      <c r="O105" s="276" t="n">
        <v>0</v>
      </c>
      <c r="P105" s="276" t="n">
        <v>1</v>
      </c>
      <c r="Q105" s="276" t="n">
        <v>1</v>
      </c>
      <c r="R105" s="276" t="b">
        <v>0</v>
      </c>
      <c r="S105" s="276" t="n">
        <v>1</v>
      </c>
      <c r="T105" s="276" t="n">
        <v>0</v>
      </c>
      <c r="U105" s="276" t="n">
        <v>0</v>
      </c>
      <c r="V105" s="276" t="n">
        <v>1</v>
      </c>
      <c r="W105" s="276" t="n">
        <v>1</v>
      </c>
      <c r="X105" s="276" t="b">
        <v>1</v>
      </c>
      <c r="Y105" s="276" t="n">
        <v>0.7</v>
      </c>
      <c r="Z105" s="277" t="n">
        <v>0.2477547340393066</v>
      </c>
      <c r="AA105" t="n">
        <v>0.2477547340393066</v>
      </c>
      <c r="AB105" t="n">
        <v>1</v>
      </c>
      <c r="AC105" t="n">
        <v>0.7</v>
      </c>
      <c r="AD105" t="b">
        <v>1</v>
      </c>
      <c r="AE105" t="n">
        <v>0.65</v>
      </c>
      <c r="AF105" t="n">
        <v>0</v>
      </c>
      <c r="AG105" t="n">
        <v>0</v>
      </c>
      <c r="AH105" t="n">
        <v>1</v>
      </c>
      <c r="AI105" t="n">
        <v>0.65</v>
      </c>
      <c r="AJ105" t="b">
        <v>1</v>
      </c>
      <c r="AK105" t="n">
        <v>0.65</v>
      </c>
      <c r="AL105" t="n">
        <v>0.2206064987182617</v>
      </c>
      <c r="AM105" t="n">
        <v>0.2206064987182617</v>
      </c>
      <c r="AN105" t="n">
        <v>1</v>
      </c>
      <c r="AO105" t="n">
        <v>0.65</v>
      </c>
    </row>
    <row r="106">
      <c r="A106" s="275" t="inlineStr">
        <is>
          <t>Hacktivist</t>
        </is>
      </c>
      <c r="B106" s="276" t="inlineStr">
        <is>
          <t>Cyber-enabled theft or fraud</t>
        </is>
      </c>
      <c r="C106" s="276" t="inlineStr">
        <is>
          <t>Identity and credential compromise</t>
        </is>
      </c>
      <c r="D106" s="276" t="b">
        <v>1</v>
      </c>
      <c r="E106" s="276" t="n">
        <v>0.0009259259259259259</v>
      </c>
      <c r="F106" s="276" t="n">
        <v>1</v>
      </c>
      <c r="G106" s="276" t="n">
        <v>0.10725</v>
      </c>
      <c r="H106" s="276" t="n">
        <v>1</v>
      </c>
      <c r="I106" s="276" t="n">
        <v>1</v>
      </c>
      <c r="J106" s="276" t="n">
        <v>1</v>
      </c>
      <c r="K106" s="276" t="n">
        <v>1</v>
      </c>
      <c r="L106" s="276" t="b">
        <v>1</v>
      </c>
      <c r="M106" s="276" t="n">
        <v>0.3</v>
      </c>
      <c r="N106" s="276" t="n">
        <v>0.2403645833333333</v>
      </c>
      <c r="O106" s="276" t="n">
        <v>0.2403645833333333</v>
      </c>
      <c r="P106" s="276" t="n">
        <v>1</v>
      </c>
      <c r="Q106" s="276" t="n">
        <v>0.3</v>
      </c>
      <c r="R106" s="276" t="b">
        <v>0</v>
      </c>
      <c r="S106" s="276" t="n">
        <v>1</v>
      </c>
      <c r="T106" s="276" t="n">
        <v>0</v>
      </c>
      <c r="U106" s="276" t="n">
        <v>0</v>
      </c>
      <c r="V106" s="276" t="n">
        <v>1</v>
      </c>
      <c r="W106" s="276" t="n">
        <v>1</v>
      </c>
      <c r="X106" s="276" t="b">
        <v>1</v>
      </c>
      <c r="Y106" s="276" t="n">
        <v>0.55</v>
      </c>
      <c r="Z106" s="277" t="n">
        <v>0.2477547340393066</v>
      </c>
      <c r="AA106" t="n">
        <v>0.2477547340393066</v>
      </c>
      <c r="AB106" t="n">
        <v>1</v>
      </c>
      <c r="AC106" t="n">
        <v>0.55</v>
      </c>
      <c r="AD106" t="b">
        <v>0</v>
      </c>
      <c r="AE106" t="n">
        <v>1</v>
      </c>
      <c r="AF106" t="n">
        <v>0</v>
      </c>
      <c r="AG106" t="n">
        <v>0</v>
      </c>
      <c r="AH106" t="n">
        <v>1</v>
      </c>
      <c r="AI106" t="n">
        <v>1</v>
      </c>
      <c r="AJ106" t="b">
        <v>1</v>
      </c>
      <c r="AK106" t="n">
        <v>0.65</v>
      </c>
      <c r="AL106" t="n">
        <v>0.2206064987182617</v>
      </c>
      <c r="AM106" t="n">
        <v>0.2206064987182617</v>
      </c>
      <c r="AN106" t="n">
        <v>1</v>
      </c>
      <c r="AO106" t="n">
        <v>0.65</v>
      </c>
    </row>
    <row r="107">
      <c r="A107" s="275" t="inlineStr">
        <is>
          <t>Hacktivist</t>
        </is>
      </c>
      <c r="B107" s="276" t="inlineStr">
        <is>
          <t>Cyber-enabled theft or fraud</t>
        </is>
      </c>
      <c r="C107" s="276" t="inlineStr">
        <is>
          <t>User endpoint and social engineering</t>
        </is>
      </c>
      <c r="D107" s="276" t="b">
        <v>1</v>
      </c>
      <c r="E107" s="276" t="n">
        <v>0.0003174603174603175</v>
      </c>
      <c r="F107" s="276" t="n">
        <v>1</v>
      </c>
      <c r="G107" s="276" t="n">
        <v>0.126</v>
      </c>
      <c r="H107" s="276" t="n">
        <v>1</v>
      </c>
      <c r="I107" s="276" t="n">
        <v>1</v>
      </c>
      <c r="J107" s="276" t="n">
        <v>1</v>
      </c>
      <c r="K107" s="276" t="n">
        <v>1</v>
      </c>
      <c r="L107" s="276" t="b">
        <v>1</v>
      </c>
      <c r="M107" s="276" t="n">
        <v>0.35</v>
      </c>
      <c r="N107" s="276" t="n">
        <v>0.20625</v>
      </c>
      <c r="O107" s="276" t="n">
        <v>0.20625</v>
      </c>
      <c r="P107" s="276" t="n">
        <v>1</v>
      </c>
      <c r="Q107" s="276" t="n">
        <v>0.35</v>
      </c>
      <c r="R107" s="276" t="b">
        <v>1</v>
      </c>
      <c r="S107" s="276" t="n">
        <v>0.6</v>
      </c>
      <c r="T107" s="276" t="n">
        <v>0.1875</v>
      </c>
      <c r="U107" s="276" t="n">
        <v>0.1875</v>
      </c>
      <c r="V107" s="276" t="n">
        <v>1</v>
      </c>
      <c r="W107" s="276" t="n">
        <v>0.6</v>
      </c>
      <c r="X107" s="276" t="b">
        <v>0</v>
      </c>
      <c r="Y107" s="276" t="n">
        <v>1</v>
      </c>
      <c r="Z107" s="277" t="n">
        <v>0</v>
      </c>
      <c r="AA107" t="n">
        <v>0</v>
      </c>
      <c r="AB107" t="n">
        <v>1</v>
      </c>
      <c r="AC107" t="n">
        <v>1</v>
      </c>
      <c r="AD107" t="b">
        <v>0</v>
      </c>
      <c r="AE107" t="n">
        <v>1</v>
      </c>
      <c r="AF107" t="n">
        <v>0</v>
      </c>
      <c r="AG107" t="n">
        <v>0</v>
      </c>
      <c r="AH107" t="n">
        <v>1</v>
      </c>
      <c r="AI107" t="n">
        <v>1</v>
      </c>
      <c r="AJ107" t="b">
        <v>1</v>
      </c>
      <c r="AK107" t="n">
        <v>0.6</v>
      </c>
      <c r="AL107" t="n">
        <v>0.2206064987182617</v>
      </c>
      <c r="AM107" t="n">
        <v>0.2206064987182617</v>
      </c>
      <c r="AN107" t="n">
        <v>1</v>
      </c>
      <c r="AO107" t="n">
        <v>0.6</v>
      </c>
    </row>
    <row r="108">
      <c r="A108" s="275" t="inlineStr">
        <is>
          <t>Hacktivist</t>
        </is>
      </c>
      <c r="B108" s="276" t="inlineStr">
        <is>
          <t>Cyber-enabled theft or fraud</t>
        </is>
      </c>
      <c r="C108" s="276" t="inlineStr">
        <is>
          <t>Public-facing application exploitation</t>
        </is>
      </c>
      <c r="D108" s="276" t="b">
        <v>1</v>
      </c>
      <c r="E108" s="276" t="n">
        <v>0.0004761904761904762</v>
      </c>
      <c r="F108" s="276" t="n">
        <v>1</v>
      </c>
      <c r="G108" s="276" t="n">
        <v>0.02025</v>
      </c>
      <c r="H108" s="276" t="n">
        <v>1</v>
      </c>
      <c r="I108" s="276" t="n">
        <v>1</v>
      </c>
      <c r="J108" s="276" t="n">
        <v>1</v>
      </c>
      <c r="K108" s="276" t="n">
        <v>1</v>
      </c>
      <c r="L108" s="276" t="b">
        <v>1</v>
      </c>
      <c r="M108" s="276" t="n">
        <v>0.25</v>
      </c>
      <c r="N108" s="276" t="n">
        <v>0.2496630477905274</v>
      </c>
      <c r="O108" s="276" t="n">
        <v>0.2496630477905274</v>
      </c>
      <c r="P108" s="276" t="n">
        <v>1</v>
      </c>
      <c r="Q108" s="276" t="n">
        <v>0.25</v>
      </c>
      <c r="R108" s="276" t="b">
        <v>1</v>
      </c>
      <c r="S108" s="276" t="n">
        <v>0.6</v>
      </c>
      <c r="T108" s="276" t="n">
        <v>0.1875</v>
      </c>
      <c r="U108" s="276" t="n">
        <v>0.1875</v>
      </c>
      <c r="V108" s="276" t="n">
        <v>1</v>
      </c>
      <c r="W108" s="276" t="n">
        <v>0.6</v>
      </c>
      <c r="X108" s="276" t="b">
        <v>1</v>
      </c>
      <c r="Y108" s="276" t="n">
        <v>0.5</v>
      </c>
      <c r="Z108" s="277" t="n">
        <v>0.2199757778461163</v>
      </c>
      <c r="AA108" t="n">
        <v>0.2199757778461163</v>
      </c>
      <c r="AB108" t="n">
        <v>1</v>
      </c>
      <c r="AC108" t="n">
        <v>0.5</v>
      </c>
      <c r="AD108" t="b">
        <v>1</v>
      </c>
      <c r="AE108" t="n">
        <v>0.45</v>
      </c>
      <c r="AF108" t="n">
        <v>0.1907346013939899</v>
      </c>
      <c r="AG108" t="n">
        <v>0.1907346013939899</v>
      </c>
      <c r="AH108" t="n">
        <v>1</v>
      </c>
      <c r="AI108" t="n">
        <v>0.45</v>
      </c>
      <c r="AJ108" t="b">
        <v>1</v>
      </c>
      <c r="AK108" t="n">
        <v>0.6</v>
      </c>
      <c r="AL108" t="n">
        <v>0.2206064987182617</v>
      </c>
      <c r="AM108" t="n">
        <v>0.2206064987182617</v>
      </c>
      <c r="AN108" t="n">
        <v>1</v>
      </c>
      <c r="AO108" t="n">
        <v>0.6</v>
      </c>
    </row>
    <row r="109">
      <c r="A109" s="275" t="inlineStr">
        <is>
          <t>Hacktivist</t>
        </is>
      </c>
      <c r="B109" s="276" t="inlineStr">
        <is>
          <t>Cyber-enabled theft or fraud</t>
        </is>
      </c>
      <c r="C109" s="276" t="inlineStr">
        <is>
          <t>Third-party or software supply chain</t>
        </is>
      </c>
      <c r="D109" s="276" t="b">
        <v>1</v>
      </c>
      <c r="E109" s="276" t="n">
        <v>0.0001322751322751323</v>
      </c>
      <c r="F109" s="276" t="n">
        <v>1</v>
      </c>
      <c r="G109" s="276" t="n">
        <v>0.196625</v>
      </c>
      <c r="H109" s="276" t="n">
        <v>1</v>
      </c>
      <c r="I109" s="276" t="n">
        <v>1</v>
      </c>
      <c r="J109" s="276" t="n">
        <v>1</v>
      </c>
      <c r="K109" s="276" t="n">
        <v>1</v>
      </c>
      <c r="L109" s="276" t="b">
        <v>0</v>
      </c>
      <c r="M109" s="276" t="n">
        <v>1</v>
      </c>
      <c r="N109" s="276" t="n">
        <v>0</v>
      </c>
      <c r="O109" s="276" t="n">
        <v>0</v>
      </c>
      <c r="P109" s="276" t="n">
        <v>1</v>
      </c>
      <c r="Q109" s="276" t="n">
        <v>1</v>
      </c>
      <c r="R109" s="276" t="b">
        <v>0</v>
      </c>
      <c r="S109" s="276" t="n">
        <v>1</v>
      </c>
      <c r="T109" s="276" t="n">
        <v>0</v>
      </c>
      <c r="U109" s="276" t="n">
        <v>0</v>
      </c>
      <c r="V109" s="276" t="n">
        <v>1</v>
      </c>
      <c r="W109" s="276" t="n">
        <v>1</v>
      </c>
      <c r="X109" s="276" t="b">
        <v>1</v>
      </c>
      <c r="Y109" s="276" t="n">
        <v>0.55</v>
      </c>
      <c r="Z109" s="277" t="n">
        <v>0.22181427526474</v>
      </c>
      <c r="AA109" t="n">
        <v>0.22181427526474</v>
      </c>
      <c r="AB109" t="n">
        <v>1</v>
      </c>
      <c r="AC109" t="n">
        <v>0.55</v>
      </c>
      <c r="AD109" t="b">
        <v>1</v>
      </c>
      <c r="AE109" t="n">
        <v>0.55</v>
      </c>
      <c r="AF109" t="n">
        <v>0</v>
      </c>
      <c r="AG109" t="n">
        <v>0</v>
      </c>
      <c r="AH109" t="n">
        <v>1</v>
      </c>
      <c r="AI109" t="n">
        <v>0.55</v>
      </c>
      <c r="AJ109" t="b">
        <v>1</v>
      </c>
      <c r="AK109" t="n">
        <v>0.65</v>
      </c>
      <c r="AL109" t="n">
        <v>0.2206064987182617</v>
      </c>
      <c r="AM109" t="n">
        <v>0.2206064987182617</v>
      </c>
      <c r="AN109" t="n">
        <v>1</v>
      </c>
      <c r="AO109" t="n">
        <v>0.65</v>
      </c>
    </row>
    <row r="110">
      <c r="A110" s="275" t="inlineStr">
        <is>
          <t>Hacktivist</t>
        </is>
      </c>
      <c r="B110" s="276" t="inlineStr">
        <is>
          <t>Cyber-enabled theft or fraud</t>
        </is>
      </c>
      <c r="C110" s="276" t="inlineStr">
        <is>
          <t>Direct availability or DDoS</t>
        </is>
      </c>
      <c r="D110" s="276" t="b">
        <v>0</v>
      </c>
      <c r="E110" s="276" t="n">
        <v>0</v>
      </c>
      <c r="F110" s="276" t="n">
        <v>1</v>
      </c>
      <c r="G110" s="276" t="n">
        <v>0</v>
      </c>
      <c r="H110" s="276" t="n">
        <v>1</v>
      </c>
      <c r="I110" s="276" t="n">
        <v>1</v>
      </c>
      <c r="J110" s="276" t="n">
        <v>1</v>
      </c>
      <c r="K110" s="276" t="n">
        <v>1</v>
      </c>
      <c r="L110" s="276" t="b">
        <v>0</v>
      </c>
      <c r="M110" s="276" t="n">
        <v>1</v>
      </c>
      <c r="N110" s="276" t="n">
        <v>0</v>
      </c>
      <c r="O110" s="276" t="n">
        <v>0</v>
      </c>
      <c r="P110" s="276" t="n">
        <v>1</v>
      </c>
      <c r="Q110" s="276" t="n">
        <v>1</v>
      </c>
      <c r="R110" s="276" t="b">
        <v>0</v>
      </c>
      <c r="S110" s="276" t="n">
        <v>1</v>
      </c>
      <c r="T110" s="276" t="n">
        <v>0</v>
      </c>
      <c r="U110" s="276" t="n">
        <v>0</v>
      </c>
      <c r="V110" s="276" t="n">
        <v>1</v>
      </c>
      <c r="W110" s="276" t="n">
        <v>1</v>
      </c>
      <c r="X110" s="276" t="b">
        <v>0</v>
      </c>
      <c r="Y110" s="276" t="n">
        <v>1</v>
      </c>
      <c r="Z110" s="277" t="n">
        <v>0</v>
      </c>
      <c r="AA110" t="n">
        <v>0</v>
      </c>
      <c r="AB110" t="n">
        <v>1</v>
      </c>
      <c r="AC110" t="n">
        <v>1</v>
      </c>
      <c r="AD110" t="b">
        <v>0</v>
      </c>
      <c r="AE110" t="n">
        <v>1</v>
      </c>
      <c r="AF110" t="n">
        <v>0</v>
      </c>
      <c r="AG110" t="n">
        <v>0</v>
      </c>
      <c r="AH110" t="n">
        <v>1</v>
      </c>
      <c r="AI110" t="n">
        <v>1</v>
      </c>
      <c r="AJ110" t="b">
        <v>0</v>
      </c>
      <c r="AK110" t="n">
        <v>1</v>
      </c>
      <c r="AL110" t="n">
        <v>0</v>
      </c>
      <c r="AM110" t="n">
        <v>0</v>
      </c>
      <c r="AN110" t="n">
        <v>1</v>
      </c>
      <c r="AO110" t="n">
        <v>1</v>
      </c>
    </row>
    <row r="111">
      <c r="A111" s="275" t="inlineStr">
        <is>
          <t>Hacktivist</t>
        </is>
      </c>
      <c r="B111" s="276" t="inlineStr">
        <is>
          <t>Cyber-enabled theft or fraud</t>
        </is>
      </c>
      <c r="C111" s="276" t="inlineStr">
        <is>
          <t>Insider or trusted access</t>
        </is>
      </c>
      <c r="D111" s="276" t="b">
        <v>1</v>
      </c>
      <c r="E111" s="276" t="n">
        <v>0.0001481481481481482</v>
      </c>
      <c r="F111" s="276" t="n">
        <v>1</v>
      </c>
      <c r="G111" s="276" t="n">
        <v>0.455</v>
      </c>
      <c r="H111" s="276" t="n">
        <v>1</v>
      </c>
      <c r="I111" s="276" t="n">
        <v>1</v>
      </c>
      <c r="J111" s="276" t="n">
        <v>1</v>
      </c>
      <c r="K111" s="276" t="n">
        <v>1</v>
      </c>
      <c r="L111" s="276" t="b">
        <v>0</v>
      </c>
      <c r="M111" s="276" t="n">
        <v>1</v>
      </c>
      <c r="N111" s="276" t="n">
        <v>0</v>
      </c>
      <c r="O111" s="276" t="n">
        <v>0</v>
      </c>
      <c r="P111" s="276" t="n">
        <v>1</v>
      </c>
      <c r="Q111" s="276" t="n">
        <v>1</v>
      </c>
      <c r="R111" s="276" t="b">
        <v>0</v>
      </c>
      <c r="S111" s="276" t="n">
        <v>1</v>
      </c>
      <c r="T111" s="276" t="n">
        <v>0</v>
      </c>
      <c r="U111" s="276" t="n">
        <v>0</v>
      </c>
      <c r="V111" s="276" t="n">
        <v>1</v>
      </c>
      <c r="W111" s="276" t="n">
        <v>1</v>
      </c>
      <c r="X111" s="276" t="b">
        <v>1</v>
      </c>
      <c r="Y111" s="276" t="n">
        <v>0.7</v>
      </c>
      <c r="Z111" s="277" t="n">
        <v>0.2477547340393066</v>
      </c>
      <c r="AA111" t="n">
        <v>0.2477547340393066</v>
      </c>
      <c r="AB111" t="n">
        <v>1</v>
      </c>
      <c r="AC111" t="n">
        <v>0.7</v>
      </c>
      <c r="AD111" t="b">
        <v>0</v>
      </c>
      <c r="AE111" t="n">
        <v>1</v>
      </c>
      <c r="AF111" t="n">
        <v>0</v>
      </c>
      <c r="AG111" t="n">
        <v>0</v>
      </c>
      <c r="AH111" t="n">
        <v>1</v>
      </c>
      <c r="AI111" t="n">
        <v>1</v>
      </c>
      <c r="AJ111" t="b">
        <v>1</v>
      </c>
      <c r="AK111" t="n">
        <v>0.65</v>
      </c>
      <c r="AL111" t="n">
        <v>0.2206064987182617</v>
      </c>
      <c r="AM111" t="n">
        <v>0.2206064987182617</v>
      </c>
      <c r="AN111" t="n">
        <v>1</v>
      </c>
      <c r="AO111" t="n">
        <v>0.65</v>
      </c>
    </row>
    <row r="112">
      <c r="A112" s="275" t="n"/>
      <c r="B112" s="276" t="n"/>
      <c r="C112" s="276" t="n"/>
      <c r="D112" s="276" t="n"/>
      <c r="E112" s="276" t="n"/>
      <c r="F112" s="276" t="n"/>
      <c r="G112" s="276" t="n"/>
      <c r="H112" s="276" t="n"/>
      <c r="I112" s="276" t="n"/>
      <c r="J112" s="276" t="n"/>
      <c r="K112" s="276" t="n"/>
      <c r="L112" s="276" t="n"/>
      <c r="M112" s="276" t="n"/>
      <c r="N112" s="276" t="n"/>
      <c r="O112" s="276" t="n"/>
      <c r="P112" s="276" t="n"/>
      <c r="Q112" s="276" t="n"/>
      <c r="R112" s="276" t="n"/>
      <c r="S112" s="276" t="n"/>
      <c r="T112" s="276" t="n"/>
      <c r="U112" s="276" t="n"/>
      <c r="V112" s="276" t="n"/>
      <c r="W112" s="276" t="n"/>
      <c r="X112" s="276" t="n"/>
      <c r="Y112" s="276" t="n"/>
      <c r="Z112" s="277" t="n"/>
    </row>
    <row r="113">
      <c r="A113" s="275" t="n"/>
      <c r="B113" s="276" t="n"/>
      <c r="C113" s="276" t="n"/>
      <c r="D113" s="276" t="n"/>
      <c r="E113" s="276" t="n"/>
      <c r="F113" s="276" t="n"/>
      <c r="G113" s="276" t="n"/>
      <c r="H113" s="276" t="n"/>
      <c r="I113" s="276" t="n"/>
      <c r="J113" s="276" t="n"/>
      <c r="K113" s="276" t="n"/>
      <c r="L113" s="276" t="n"/>
      <c r="M113" s="276" t="n"/>
      <c r="N113" s="276" t="n"/>
      <c r="O113" s="276" t="n"/>
      <c r="P113" s="276" t="n"/>
      <c r="Q113" s="276" t="n"/>
      <c r="R113" s="276" t="n"/>
      <c r="S113" s="276" t="n"/>
      <c r="T113" s="276" t="n"/>
      <c r="U113" s="276" t="n"/>
      <c r="V113" s="276" t="n"/>
      <c r="W113" s="276" t="n"/>
      <c r="X113" s="276" t="n"/>
      <c r="Y113" s="276" t="n"/>
      <c r="Z113" s="277" t="n"/>
    </row>
    <row r="114">
      <c r="A114" s="275" t="n"/>
      <c r="B114" s="276" t="n"/>
      <c r="C114" s="276" t="n"/>
      <c r="D114" s="276" t="n"/>
      <c r="E114" s="276" t="n"/>
      <c r="F114" s="276" t="n"/>
      <c r="G114" s="276" t="n"/>
      <c r="H114" s="276" t="n"/>
      <c r="I114" s="276" t="n"/>
      <c r="J114" s="276" t="n"/>
      <c r="K114" s="276" t="n"/>
      <c r="L114" s="276" t="n"/>
      <c r="M114" s="276" t="n"/>
      <c r="N114" s="276" t="n"/>
      <c r="O114" s="276" t="n"/>
      <c r="P114" s="276" t="n"/>
      <c r="Q114" s="276" t="n"/>
      <c r="R114" s="276" t="n"/>
      <c r="S114" s="276" t="n"/>
      <c r="T114" s="276" t="n"/>
      <c r="U114" s="276" t="n"/>
      <c r="V114" s="276" t="n"/>
      <c r="W114" s="276" t="n"/>
      <c r="X114" s="276" t="n"/>
      <c r="Y114" s="276" t="n"/>
      <c r="Z114" s="277" t="n"/>
    </row>
    <row r="115">
      <c r="A115" s="275" t="n"/>
      <c r="B115" s="276" t="n"/>
      <c r="C115" s="276" t="n"/>
      <c r="D115" s="276" t="n"/>
      <c r="E115" s="276" t="n"/>
      <c r="F115" s="276" t="n"/>
      <c r="G115" s="276" t="n"/>
      <c r="H115" s="276" t="n"/>
      <c r="I115" s="276" t="n"/>
      <c r="J115" s="276" t="n"/>
      <c r="K115" s="276" t="n"/>
      <c r="L115" s="276" t="n"/>
      <c r="M115" s="276" t="n"/>
      <c r="N115" s="276" t="n"/>
      <c r="O115" s="276" t="n"/>
      <c r="P115" s="276" t="n"/>
      <c r="Q115" s="276" t="n"/>
      <c r="R115" s="276" t="n"/>
      <c r="S115" s="276" t="n"/>
      <c r="T115" s="276" t="n"/>
      <c r="U115" s="276" t="n"/>
      <c r="V115" s="276" t="n"/>
      <c r="W115" s="276" t="n"/>
      <c r="X115" s="276" t="n"/>
      <c r="Y115" s="276" t="n"/>
      <c r="Z115" s="277" t="n"/>
    </row>
    <row r="116">
      <c r="A116" s="275" t="n"/>
      <c r="B116" s="276" t="n"/>
      <c r="C116" s="276" t="n"/>
      <c r="D116" s="276" t="n"/>
      <c r="E116" s="276" t="n"/>
      <c r="F116" s="276" t="n"/>
      <c r="G116" s="276" t="n"/>
      <c r="H116" s="276" t="n"/>
      <c r="I116" s="276" t="n"/>
      <c r="J116" s="276" t="n"/>
      <c r="K116" s="276" t="n"/>
      <c r="L116" s="276" t="n"/>
      <c r="M116" s="276" t="n"/>
      <c r="N116" s="276" t="n"/>
      <c r="O116" s="276" t="n"/>
      <c r="P116" s="276" t="n"/>
      <c r="Q116" s="276" t="n"/>
      <c r="R116" s="276" t="n"/>
      <c r="S116" s="276" t="n"/>
      <c r="T116" s="276" t="n"/>
      <c r="U116" s="276" t="n"/>
      <c r="V116" s="276" t="n"/>
      <c r="W116" s="276" t="n"/>
      <c r="X116" s="276" t="n"/>
      <c r="Y116" s="276" t="n"/>
      <c r="Z116" s="277" t="n"/>
    </row>
    <row r="117">
      <c r="A117" s="275" t="n"/>
      <c r="B117" s="276" t="n"/>
      <c r="C117" s="276" t="n"/>
      <c r="D117" s="276" t="n"/>
      <c r="E117" s="276" t="n"/>
      <c r="F117" s="276" t="n"/>
      <c r="G117" s="276" t="n"/>
      <c r="H117" s="276" t="n"/>
      <c r="I117" s="276" t="n"/>
      <c r="J117" s="276" t="n"/>
      <c r="K117" s="276" t="n"/>
      <c r="L117" s="276" t="n"/>
      <c r="M117" s="276" t="n"/>
      <c r="N117" s="276" t="n"/>
      <c r="O117" s="276" t="n"/>
      <c r="P117" s="276" t="n"/>
      <c r="Q117" s="276" t="n"/>
      <c r="R117" s="276" t="n"/>
      <c r="S117" s="276" t="n"/>
      <c r="T117" s="276" t="n"/>
      <c r="U117" s="276" t="n"/>
      <c r="V117" s="276" t="n"/>
      <c r="W117" s="276" t="n"/>
      <c r="X117" s="276" t="n"/>
      <c r="Y117" s="276" t="n"/>
      <c r="Z117" s="277" t="n"/>
    </row>
    <row r="118">
      <c r="A118" s="275" t="n"/>
      <c r="B118" s="276" t="n"/>
      <c r="C118" s="276" t="n"/>
      <c r="D118" s="276" t="n"/>
      <c r="E118" s="276" t="n"/>
      <c r="F118" s="276" t="n"/>
      <c r="G118" s="276" t="n"/>
      <c r="H118" s="276" t="n"/>
      <c r="I118" s="276" t="n"/>
      <c r="J118" s="276" t="n"/>
      <c r="K118" s="276" t="n"/>
      <c r="L118" s="276" t="n"/>
      <c r="M118" s="276" t="n"/>
      <c r="N118" s="276" t="n"/>
      <c r="O118" s="276" t="n"/>
      <c r="P118" s="276" t="n"/>
      <c r="Q118" s="276" t="n"/>
      <c r="R118" s="276" t="n"/>
      <c r="S118" s="276" t="n"/>
      <c r="T118" s="276" t="n"/>
      <c r="U118" s="276" t="n"/>
      <c r="V118" s="276" t="n"/>
      <c r="W118" s="276" t="n"/>
      <c r="X118" s="276" t="n"/>
      <c r="Y118" s="276" t="n"/>
      <c r="Z118" s="277" t="n"/>
    </row>
    <row r="119">
      <c r="A119" s="275" t="n"/>
      <c r="B119" s="276" t="n"/>
      <c r="C119" s="276" t="n"/>
      <c r="D119" s="276" t="n"/>
      <c r="E119" s="276" t="n"/>
      <c r="F119" s="276" t="n"/>
      <c r="G119" s="276" t="n"/>
      <c r="H119" s="276" t="n"/>
      <c r="I119" s="276" t="n"/>
      <c r="J119" s="276" t="n"/>
      <c r="K119" s="276" t="n"/>
      <c r="L119" s="276" t="n"/>
      <c r="M119" s="276" t="n"/>
      <c r="N119" s="276" t="n"/>
      <c r="O119" s="276" t="n"/>
      <c r="P119" s="276" t="n"/>
      <c r="Q119" s="276" t="n"/>
      <c r="R119" s="276" t="n"/>
      <c r="S119" s="276" t="n"/>
      <c r="T119" s="276" t="n"/>
      <c r="U119" s="276" t="n"/>
      <c r="V119" s="276" t="n"/>
      <c r="W119" s="276" t="n"/>
      <c r="X119" s="276" t="n"/>
      <c r="Y119" s="276" t="n"/>
      <c r="Z119" s="277" t="n"/>
    </row>
    <row r="120">
      <c r="A120" s="275" t="n"/>
      <c r="B120" s="276" t="n"/>
      <c r="C120" s="276" t="n"/>
      <c r="D120" s="276" t="n"/>
      <c r="E120" s="276" t="n"/>
      <c r="F120" s="276" t="n"/>
      <c r="G120" s="276" t="n"/>
      <c r="H120" s="276" t="n"/>
      <c r="I120" s="276" t="n"/>
      <c r="J120" s="276" t="n"/>
      <c r="K120" s="276" t="n"/>
      <c r="L120" s="276" t="n"/>
      <c r="M120" s="276" t="n"/>
      <c r="N120" s="276" t="n"/>
      <c r="O120" s="276" t="n"/>
      <c r="P120" s="276" t="n"/>
      <c r="Q120" s="276" t="n"/>
      <c r="R120" s="276" t="n"/>
      <c r="S120" s="276" t="n"/>
      <c r="T120" s="276" t="n"/>
      <c r="U120" s="276" t="n"/>
      <c r="V120" s="276" t="n"/>
      <c r="W120" s="276" t="n"/>
      <c r="X120" s="276" t="n"/>
      <c r="Y120" s="276" t="n"/>
      <c r="Z120" s="277" t="n"/>
    </row>
    <row r="121">
      <c r="A121" s="275" t="n"/>
      <c r="B121" s="276" t="n"/>
      <c r="C121" s="276" t="n"/>
      <c r="D121" s="276" t="n"/>
      <c r="E121" s="276" t="n"/>
      <c r="F121" s="276" t="n"/>
      <c r="G121" s="276" t="n"/>
      <c r="H121" s="276" t="n"/>
      <c r="I121" s="276" t="n"/>
      <c r="J121" s="276" t="n"/>
      <c r="K121" s="276" t="n"/>
      <c r="L121" s="276" t="n"/>
      <c r="M121" s="276" t="n"/>
      <c r="N121" s="276" t="n"/>
      <c r="O121" s="276" t="n"/>
      <c r="P121" s="276" t="n"/>
      <c r="Q121" s="276" t="n"/>
      <c r="R121" s="276" t="n"/>
      <c r="S121" s="276" t="n"/>
      <c r="T121" s="276" t="n"/>
      <c r="U121" s="276" t="n"/>
      <c r="V121" s="276" t="n"/>
      <c r="W121" s="276" t="n"/>
      <c r="X121" s="276" t="n"/>
      <c r="Y121" s="276" t="n"/>
      <c r="Z121" s="277" t="n"/>
    </row>
    <row r="122">
      <c r="A122" s="275" t="n"/>
      <c r="B122" s="276" t="n"/>
      <c r="C122" s="276" t="n"/>
      <c r="D122" s="276" t="n"/>
      <c r="E122" s="276" t="n"/>
      <c r="F122" s="276" t="n"/>
      <c r="G122" s="276" t="n"/>
      <c r="H122" s="276" t="n"/>
      <c r="I122" s="276" t="n"/>
      <c r="J122" s="276" t="n"/>
      <c r="K122" s="276" t="n"/>
      <c r="L122" s="276" t="n"/>
      <c r="M122" s="276" t="n"/>
      <c r="N122" s="276" t="n"/>
      <c r="O122" s="276" t="n"/>
      <c r="P122" s="276" t="n"/>
      <c r="Q122" s="276" t="n"/>
      <c r="R122" s="276" t="n"/>
      <c r="S122" s="276" t="n"/>
      <c r="T122" s="276" t="n"/>
      <c r="U122" s="276" t="n"/>
      <c r="V122" s="276" t="n"/>
      <c r="W122" s="276" t="n"/>
      <c r="X122" s="276" t="n"/>
      <c r="Y122" s="276" t="n"/>
      <c r="Z122" s="277" t="n"/>
    </row>
    <row r="123">
      <c r="A123" s="275" t="n"/>
      <c r="B123" s="276" t="n"/>
      <c r="C123" s="276" t="n"/>
      <c r="D123" s="276" t="n"/>
      <c r="E123" s="276" t="n"/>
      <c r="F123" s="276" t="n"/>
      <c r="G123" s="276" t="n"/>
      <c r="H123" s="276" t="n"/>
      <c r="I123" s="276" t="n"/>
      <c r="J123" s="276" t="n"/>
      <c r="K123" s="276" t="n"/>
      <c r="L123" s="276" t="n"/>
      <c r="M123" s="276" t="n"/>
      <c r="N123" s="276" t="n"/>
      <c r="O123" s="276" t="n"/>
      <c r="P123" s="276" t="n"/>
      <c r="Q123" s="276" t="n"/>
      <c r="R123" s="276" t="n"/>
      <c r="S123" s="276" t="n"/>
      <c r="T123" s="276" t="n"/>
      <c r="U123" s="276" t="n"/>
      <c r="V123" s="276" t="n"/>
      <c r="W123" s="276" t="n"/>
      <c r="X123" s="276" t="n"/>
      <c r="Y123" s="276" t="n"/>
      <c r="Z123" s="277" t="n"/>
    </row>
    <row r="124">
      <c r="A124" s="275" t="n"/>
      <c r="B124" s="276" t="n"/>
      <c r="C124" s="276" t="n"/>
      <c r="D124" s="276" t="n"/>
      <c r="E124" s="276" t="n"/>
      <c r="F124" s="276" t="n"/>
      <c r="G124" s="276" t="n"/>
      <c r="H124" s="276" t="n"/>
      <c r="I124" s="276" t="n"/>
      <c r="J124" s="276" t="n"/>
      <c r="K124" s="276" t="n"/>
      <c r="L124" s="276" t="n"/>
      <c r="M124" s="276" t="n"/>
      <c r="N124" s="276" t="n"/>
      <c r="O124" s="276" t="n"/>
      <c r="P124" s="276" t="n"/>
      <c r="Q124" s="276" t="n"/>
      <c r="R124" s="276" t="n"/>
      <c r="S124" s="276" t="n"/>
      <c r="T124" s="276" t="n"/>
      <c r="U124" s="276" t="n"/>
      <c r="V124" s="276" t="n"/>
      <c r="W124" s="276" t="n"/>
      <c r="X124" s="276" t="n"/>
      <c r="Y124" s="276" t="n"/>
      <c r="Z124" s="277" t="n"/>
    </row>
    <row r="125">
      <c r="A125" s="275" t="n"/>
      <c r="B125" s="276" t="n"/>
      <c r="C125" s="276" t="n"/>
      <c r="D125" s="276" t="n"/>
      <c r="E125" s="276" t="n"/>
      <c r="F125" s="276" t="n"/>
      <c r="G125" s="276" t="n"/>
      <c r="H125" s="276" t="n"/>
      <c r="I125" s="276" t="n"/>
      <c r="J125" s="276" t="n"/>
      <c r="K125" s="276" t="n"/>
      <c r="L125" s="276" t="n"/>
      <c r="M125" s="276" t="n"/>
      <c r="N125" s="276" t="n"/>
      <c r="O125" s="276" t="n"/>
      <c r="P125" s="276" t="n"/>
      <c r="Q125" s="276" t="n"/>
      <c r="R125" s="276" t="n"/>
      <c r="S125" s="276" t="n"/>
      <c r="T125" s="276" t="n"/>
      <c r="U125" s="276" t="n"/>
      <c r="V125" s="276" t="n"/>
      <c r="W125" s="276" t="n"/>
      <c r="X125" s="276" t="n"/>
      <c r="Y125" s="276" t="n"/>
      <c r="Z125" s="277" t="n"/>
    </row>
    <row r="126">
      <c r="A126" s="275" t="n"/>
      <c r="B126" s="276" t="n"/>
      <c r="C126" s="276" t="n"/>
      <c r="D126" s="276" t="n"/>
      <c r="E126" s="276" t="n"/>
      <c r="F126" s="276" t="n"/>
      <c r="G126" s="276" t="n"/>
      <c r="H126" s="276" t="n"/>
      <c r="I126" s="276" t="n"/>
      <c r="J126" s="276" t="n"/>
      <c r="K126" s="276" t="n"/>
      <c r="L126" s="276" t="n"/>
      <c r="M126" s="276" t="n"/>
      <c r="N126" s="276" t="n"/>
      <c r="O126" s="276" t="n"/>
      <c r="P126" s="276" t="n"/>
      <c r="Q126" s="276" t="n"/>
      <c r="R126" s="276" t="n"/>
      <c r="S126" s="276" t="n"/>
      <c r="T126" s="276" t="n"/>
      <c r="U126" s="276" t="n"/>
      <c r="V126" s="276" t="n"/>
      <c r="W126" s="276" t="n"/>
      <c r="X126" s="276" t="n"/>
      <c r="Y126" s="276" t="n"/>
      <c r="Z126" s="277" t="n"/>
    </row>
    <row r="127">
      <c r="A127" s="275" t="n"/>
      <c r="B127" s="276" t="n"/>
      <c r="C127" s="276" t="n"/>
      <c r="D127" s="276" t="n"/>
      <c r="E127" s="276" t="n"/>
      <c r="F127" s="276" t="n"/>
      <c r="G127" s="276" t="n"/>
      <c r="H127" s="276" t="n"/>
      <c r="I127" s="276" t="n"/>
      <c r="J127" s="276" t="n"/>
      <c r="K127" s="276" t="n"/>
      <c r="L127" s="276" t="n"/>
      <c r="M127" s="276" t="n"/>
      <c r="N127" s="276" t="n"/>
      <c r="O127" s="276" t="n"/>
      <c r="P127" s="276" t="n"/>
      <c r="Q127" s="276" t="n"/>
      <c r="R127" s="276" t="n"/>
      <c r="S127" s="276" t="n"/>
      <c r="T127" s="276" t="n"/>
      <c r="U127" s="276" t="n"/>
      <c r="V127" s="276" t="n"/>
      <c r="W127" s="276" t="n"/>
      <c r="X127" s="276" t="n"/>
      <c r="Y127" s="276" t="n"/>
      <c r="Z127" s="277" t="n"/>
    </row>
    <row r="128">
      <c r="A128" s="275" t="n"/>
      <c r="B128" s="276" t="n"/>
      <c r="C128" s="276" t="n"/>
      <c r="D128" s="276" t="n"/>
      <c r="E128" s="276" t="n"/>
      <c r="F128" s="276" t="n"/>
      <c r="G128" s="276" t="n"/>
      <c r="H128" s="276" t="n"/>
      <c r="I128" s="276" t="n"/>
      <c r="J128" s="276" t="n"/>
      <c r="K128" s="276" t="n"/>
      <c r="L128" s="276" t="n"/>
      <c r="M128" s="276" t="n"/>
      <c r="N128" s="276" t="n"/>
      <c r="O128" s="276" t="n"/>
      <c r="P128" s="276" t="n"/>
      <c r="Q128" s="276" t="n"/>
      <c r="R128" s="276" t="n"/>
      <c r="S128" s="276" t="n"/>
      <c r="T128" s="276" t="n"/>
      <c r="U128" s="276" t="n"/>
      <c r="V128" s="276" t="n"/>
      <c r="W128" s="276" t="n"/>
      <c r="X128" s="276" t="n"/>
      <c r="Y128" s="276" t="n"/>
      <c r="Z128" s="277" t="n"/>
    </row>
    <row r="129">
      <c r="A129" s="275" t="n"/>
      <c r="B129" s="276" t="n"/>
      <c r="C129" s="276" t="n"/>
      <c r="D129" s="276" t="n"/>
      <c r="E129" s="276" t="n"/>
      <c r="F129" s="276" t="n"/>
      <c r="G129" s="276" t="n"/>
      <c r="H129" s="276" t="n"/>
      <c r="I129" s="276" t="n"/>
      <c r="J129" s="276" t="n"/>
      <c r="K129" s="276" t="n"/>
      <c r="L129" s="276" t="n"/>
      <c r="M129" s="276" t="n"/>
      <c r="N129" s="276" t="n"/>
      <c r="O129" s="276" t="n"/>
      <c r="P129" s="276" t="n"/>
      <c r="Q129" s="276" t="n"/>
      <c r="R129" s="276" t="n"/>
      <c r="S129" s="276" t="n"/>
      <c r="T129" s="276" t="n"/>
      <c r="U129" s="276" t="n"/>
      <c r="V129" s="276" t="n"/>
      <c r="W129" s="276" t="n"/>
      <c r="X129" s="276" t="n"/>
      <c r="Y129" s="276" t="n"/>
      <c r="Z129" s="277" t="n"/>
    </row>
    <row r="130">
      <c r="A130" s="275" t="n"/>
      <c r="B130" s="276" t="n"/>
      <c r="C130" s="276" t="n"/>
      <c r="D130" s="276" t="n"/>
      <c r="E130" s="276" t="n"/>
      <c r="F130" s="276" t="n"/>
      <c r="G130" s="276" t="n"/>
      <c r="H130" s="276" t="n"/>
      <c r="I130" s="276" t="n"/>
      <c r="J130" s="276" t="n"/>
      <c r="K130" s="276" t="n"/>
      <c r="L130" s="276" t="n"/>
      <c r="M130" s="276" t="n"/>
      <c r="N130" s="276" t="n"/>
      <c r="O130" s="276" t="n"/>
      <c r="P130" s="276" t="n"/>
      <c r="Q130" s="276" t="n"/>
      <c r="R130" s="276" t="n"/>
      <c r="S130" s="276" t="n"/>
      <c r="T130" s="276" t="n"/>
      <c r="U130" s="276" t="n"/>
      <c r="V130" s="276" t="n"/>
      <c r="W130" s="276" t="n"/>
      <c r="X130" s="276" t="n"/>
      <c r="Y130" s="276" t="n"/>
      <c r="Z130" s="277" t="n"/>
    </row>
    <row r="131">
      <c r="A131" s="275" t="n"/>
      <c r="B131" s="276" t="n"/>
      <c r="C131" s="276" t="n"/>
      <c r="D131" s="276" t="n"/>
      <c r="E131" s="276" t="n"/>
      <c r="F131" s="276" t="n"/>
      <c r="G131" s="276" t="n"/>
      <c r="H131" s="276" t="n"/>
      <c r="I131" s="276" t="n"/>
      <c r="J131" s="276" t="n"/>
      <c r="K131" s="276" t="n"/>
      <c r="L131" s="276" t="n"/>
      <c r="M131" s="276" t="n"/>
      <c r="N131" s="276" t="n"/>
      <c r="O131" s="276" t="n"/>
      <c r="P131" s="276" t="n"/>
      <c r="Q131" s="276" t="n"/>
      <c r="R131" s="276" t="n"/>
      <c r="S131" s="276" t="n"/>
      <c r="T131" s="276" t="n"/>
      <c r="U131" s="276" t="n"/>
      <c r="V131" s="276" t="n"/>
      <c r="W131" s="276" t="n"/>
      <c r="X131" s="276" t="n"/>
      <c r="Y131" s="276" t="n"/>
      <c r="Z131" s="277" t="n"/>
    </row>
    <row r="132">
      <c r="A132" s="275" t="n"/>
      <c r="B132" s="276" t="n"/>
      <c r="C132" s="276" t="n"/>
      <c r="D132" s="276" t="n"/>
      <c r="E132" s="276" t="n"/>
      <c r="F132" s="276" t="n"/>
      <c r="G132" s="276" t="n"/>
      <c r="H132" s="276" t="n"/>
      <c r="I132" s="276" t="n"/>
      <c r="J132" s="276" t="n"/>
      <c r="K132" s="276" t="n"/>
      <c r="L132" s="276" t="n"/>
      <c r="M132" s="276" t="n"/>
      <c r="N132" s="276" t="n"/>
      <c r="O132" s="276" t="n"/>
      <c r="P132" s="276" t="n"/>
      <c r="Q132" s="276" t="n"/>
      <c r="R132" s="276" t="n"/>
      <c r="S132" s="276" t="n"/>
      <c r="T132" s="276" t="n"/>
      <c r="U132" s="276" t="n"/>
      <c r="V132" s="276" t="n"/>
      <c r="W132" s="276" t="n"/>
      <c r="X132" s="276" t="n"/>
      <c r="Y132" s="276" t="n"/>
      <c r="Z132" s="277" t="n"/>
    </row>
    <row r="133">
      <c r="A133" s="275" t="n"/>
      <c r="B133" s="276" t="n"/>
      <c r="C133" s="276" t="n"/>
      <c r="D133" s="276" t="n"/>
      <c r="E133" s="276" t="n"/>
      <c r="F133" s="276" t="n"/>
      <c r="G133" s="276" t="n"/>
      <c r="H133" s="276" t="n"/>
      <c r="I133" s="276" t="n"/>
      <c r="J133" s="276" t="n"/>
      <c r="K133" s="276" t="n"/>
      <c r="L133" s="276" t="n"/>
      <c r="M133" s="276" t="n"/>
      <c r="N133" s="276" t="n"/>
      <c r="O133" s="276" t="n"/>
      <c r="P133" s="276" t="n"/>
      <c r="Q133" s="276" t="n"/>
      <c r="R133" s="276" t="n"/>
      <c r="S133" s="276" t="n"/>
      <c r="T133" s="276" t="n"/>
      <c r="U133" s="276" t="n"/>
      <c r="V133" s="276" t="n"/>
      <c r="W133" s="276" t="n"/>
      <c r="X133" s="276" t="n"/>
      <c r="Y133" s="276" t="n"/>
      <c r="Z133" s="277" t="n"/>
    </row>
    <row r="134">
      <c r="A134" s="275" t="n"/>
      <c r="B134" s="276" t="n"/>
      <c r="C134" s="276" t="n"/>
      <c r="D134" s="276" t="n"/>
      <c r="E134" s="276" t="n"/>
      <c r="F134" s="276" t="n"/>
      <c r="G134" s="276" t="n"/>
      <c r="H134" s="276" t="n"/>
      <c r="I134" s="276" t="n"/>
      <c r="J134" s="276" t="n"/>
      <c r="K134" s="276" t="n"/>
      <c r="L134" s="276" t="n"/>
      <c r="M134" s="276" t="n"/>
      <c r="N134" s="276" t="n"/>
      <c r="O134" s="276" t="n"/>
      <c r="P134" s="276" t="n"/>
      <c r="Q134" s="276" t="n"/>
      <c r="R134" s="276" t="n"/>
      <c r="S134" s="276" t="n"/>
      <c r="T134" s="276" t="n"/>
      <c r="U134" s="276" t="n"/>
      <c r="V134" s="276" t="n"/>
      <c r="W134" s="276" t="n"/>
      <c r="X134" s="276" t="n"/>
      <c r="Y134" s="276" t="n"/>
      <c r="Z134" s="277" t="n"/>
    </row>
    <row r="135">
      <c r="A135" s="275" t="n"/>
      <c r="B135" s="276" t="n"/>
      <c r="C135" s="276" t="n"/>
      <c r="D135" s="276" t="n"/>
      <c r="E135" s="276" t="n"/>
      <c r="F135" s="276" t="n"/>
      <c r="G135" s="276" t="n"/>
      <c r="H135" s="276" t="n"/>
      <c r="I135" s="276" t="n"/>
      <c r="J135" s="276" t="n"/>
      <c r="K135" s="276" t="n"/>
      <c r="L135" s="276" t="n"/>
      <c r="M135" s="276" t="n"/>
      <c r="N135" s="276" t="n"/>
      <c r="O135" s="276" t="n"/>
      <c r="P135" s="276" t="n"/>
      <c r="Q135" s="276" t="n"/>
      <c r="R135" s="276" t="n"/>
      <c r="S135" s="276" t="n"/>
      <c r="T135" s="276" t="n"/>
      <c r="U135" s="276" t="n"/>
      <c r="V135" s="276" t="n"/>
      <c r="W135" s="276" t="n"/>
      <c r="X135" s="276" t="n"/>
      <c r="Y135" s="276" t="n"/>
      <c r="Z135" s="277" t="n"/>
    </row>
    <row r="136">
      <c r="A136" s="275" t="n"/>
      <c r="B136" s="276" t="n"/>
      <c r="C136" s="276" t="n"/>
      <c r="D136" s="276" t="n"/>
      <c r="E136" s="276" t="n"/>
      <c r="F136" s="276" t="n"/>
      <c r="G136" s="276" t="n"/>
      <c r="H136" s="276" t="n"/>
      <c r="I136" s="276" t="n"/>
      <c r="J136" s="276" t="n"/>
      <c r="K136" s="276" t="n"/>
      <c r="L136" s="276" t="n"/>
      <c r="M136" s="276" t="n"/>
      <c r="N136" s="276" t="n"/>
      <c r="O136" s="276" t="n"/>
      <c r="P136" s="276" t="n"/>
      <c r="Q136" s="276" t="n"/>
      <c r="R136" s="276" t="n"/>
      <c r="S136" s="276" t="n"/>
      <c r="T136" s="276" t="n"/>
      <c r="U136" s="276" t="n"/>
      <c r="V136" s="276" t="n"/>
      <c r="W136" s="276" t="n"/>
      <c r="X136" s="276" t="n"/>
      <c r="Y136" s="276" t="n"/>
      <c r="Z136" s="277" t="n"/>
    </row>
    <row r="137">
      <c r="A137" s="275" t="n"/>
      <c r="B137" s="276" t="n"/>
      <c r="C137" s="276" t="n"/>
      <c r="D137" s="276" t="n"/>
      <c r="E137" s="276" t="n"/>
      <c r="F137" s="276" t="n"/>
      <c r="G137" s="276" t="n"/>
      <c r="H137" s="276" t="n"/>
      <c r="I137" s="276" t="n"/>
      <c r="J137" s="276" t="n"/>
      <c r="K137" s="276" t="n"/>
      <c r="L137" s="276" t="n"/>
      <c r="M137" s="276" t="n"/>
      <c r="N137" s="276" t="n"/>
      <c r="O137" s="276" t="n"/>
      <c r="P137" s="276" t="n"/>
      <c r="Q137" s="276" t="n"/>
      <c r="R137" s="276" t="n"/>
      <c r="S137" s="276" t="n"/>
      <c r="T137" s="276" t="n"/>
      <c r="U137" s="276" t="n"/>
      <c r="V137" s="276" t="n"/>
      <c r="W137" s="276" t="n"/>
      <c r="X137" s="276" t="n"/>
      <c r="Y137" s="276" t="n"/>
      <c r="Z137" s="277" t="n"/>
    </row>
    <row r="138">
      <c r="A138" s="275" t="n"/>
      <c r="B138" s="276" t="n"/>
      <c r="C138" s="276" t="n"/>
      <c r="D138" s="276" t="n"/>
      <c r="E138" s="276" t="n"/>
      <c r="F138" s="276" t="n"/>
      <c r="G138" s="276" t="n"/>
      <c r="H138" s="276" t="n"/>
      <c r="I138" s="276" t="n"/>
      <c r="J138" s="276" t="n"/>
      <c r="K138" s="276" t="n"/>
      <c r="L138" s="276" t="n"/>
      <c r="M138" s="276" t="n"/>
      <c r="N138" s="276" t="n"/>
      <c r="O138" s="276" t="n"/>
      <c r="P138" s="276" t="n"/>
      <c r="Q138" s="276" t="n"/>
      <c r="R138" s="276" t="n"/>
      <c r="S138" s="276" t="n"/>
      <c r="T138" s="276" t="n"/>
      <c r="U138" s="276" t="n"/>
      <c r="V138" s="276" t="n"/>
      <c r="W138" s="276" t="n"/>
      <c r="X138" s="276" t="n"/>
      <c r="Y138" s="276" t="n"/>
      <c r="Z138" s="277" t="n"/>
    </row>
    <row r="139">
      <c r="A139" s="275" t="n"/>
      <c r="B139" s="276" t="n"/>
      <c r="C139" s="276" t="n"/>
      <c r="D139" s="276" t="n"/>
      <c r="E139" s="276" t="n"/>
      <c r="F139" s="276" t="n"/>
      <c r="G139" s="276" t="n"/>
      <c r="H139" s="276" t="n"/>
      <c r="I139" s="276" t="n"/>
      <c r="J139" s="276" t="n"/>
      <c r="K139" s="276" t="n"/>
      <c r="L139" s="276" t="n"/>
      <c r="M139" s="276" t="n"/>
      <c r="N139" s="276" t="n"/>
      <c r="O139" s="276" t="n"/>
      <c r="P139" s="276" t="n"/>
      <c r="Q139" s="276" t="n"/>
      <c r="R139" s="276" t="n"/>
      <c r="S139" s="276" t="n"/>
      <c r="T139" s="276" t="n"/>
      <c r="U139" s="276" t="n"/>
      <c r="V139" s="276" t="n"/>
      <c r="W139" s="276" t="n"/>
      <c r="X139" s="276" t="n"/>
      <c r="Y139" s="276" t="n"/>
      <c r="Z139" s="277" t="n"/>
    </row>
    <row r="140">
      <c r="A140" s="275" t="n"/>
      <c r="B140" s="276" t="n"/>
      <c r="C140" s="276" t="n"/>
      <c r="D140" s="276" t="n"/>
      <c r="E140" s="276" t="n"/>
      <c r="F140" s="276" t="n"/>
      <c r="G140" s="276" t="n"/>
      <c r="H140" s="276" t="n"/>
      <c r="I140" s="276" t="n"/>
      <c r="J140" s="276" t="n"/>
      <c r="K140" s="276" t="n"/>
      <c r="L140" s="276" t="n"/>
      <c r="M140" s="276" t="n"/>
      <c r="N140" s="276" t="n"/>
      <c r="O140" s="276" t="n"/>
      <c r="P140" s="276" t="n"/>
      <c r="Q140" s="276" t="n"/>
      <c r="R140" s="276" t="n"/>
      <c r="S140" s="276" t="n"/>
      <c r="T140" s="276" t="n"/>
      <c r="U140" s="276" t="n"/>
      <c r="V140" s="276" t="n"/>
      <c r="W140" s="276" t="n"/>
      <c r="X140" s="276" t="n"/>
      <c r="Y140" s="276" t="n"/>
      <c r="Z140" s="277" t="n"/>
    </row>
    <row r="141">
      <c r="A141" s="275" t="n"/>
      <c r="B141" s="276" t="n"/>
      <c r="C141" s="276" t="n"/>
      <c r="D141" s="276" t="n"/>
      <c r="E141" s="276" t="n"/>
      <c r="F141" s="276" t="n"/>
      <c r="G141" s="276" t="n"/>
      <c r="H141" s="276" t="n"/>
      <c r="I141" s="276" t="n"/>
      <c r="J141" s="276" t="n"/>
      <c r="K141" s="276" t="n"/>
      <c r="L141" s="276" t="n"/>
      <c r="M141" s="276" t="n"/>
      <c r="N141" s="276" t="n"/>
      <c r="O141" s="276" t="n"/>
      <c r="P141" s="276" t="n"/>
      <c r="Q141" s="276" t="n"/>
      <c r="R141" s="276" t="n"/>
      <c r="S141" s="276" t="n"/>
      <c r="T141" s="276" t="n"/>
      <c r="U141" s="276" t="n"/>
      <c r="V141" s="276" t="n"/>
      <c r="W141" s="276" t="n"/>
      <c r="X141" s="276" t="n"/>
      <c r="Y141" s="276" t="n"/>
      <c r="Z141" s="277" t="n"/>
    </row>
    <row r="142">
      <c r="A142" s="275" t="n"/>
      <c r="B142" s="276" t="n"/>
      <c r="C142" s="276" t="n"/>
      <c r="D142" s="276" t="n"/>
      <c r="E142" s="276" t="n"/>
      <c r="F142" s="276" t="n"/>
      <c r="G142" s="276" t="n"/>
      <c r="H142" s="276" t="n"/>
      <c r="I142" s="276" t="n"/>
      <c r="J142" s="276" t="n"/>
      <c r="K142" s="276" t="n"/>
      <c r="L142" s="276" t="n"/>
      <c r="M142" s="276" t="n"/>
      <c r="N142" s="276" t="n"/>
      <c r="O142" s="276" t="n"/>
      <c r="P142" s="276" t="n"/>
      <c r="Q142" s="276" t="n"/>
      <c r="R142" s="276" t="n"/>
      <c r="S142" s="276" t="n"/>
      <c r="T142" s="276" t="n"/>
      <c r="U142" s="276" t="n"/>
      <c r="V142" s="276" t="n"/>
      <c r="W142" s="276" t="n"/>
      <c r="X142" s="276" t="n"/>
      <c r="Y142" s="276" t="n"/>
      <c r="Z142" s="277" t="n"/>
    </row>
    <row r="143">
      <c r="A143" s="275" t="n"/>
      <c r="B143" s="276" t="n"/>
      <c r="C143" s="276" t="n"/>
      <c r="D143" s="276" t="n"/>
      <c r="E143" s="276" t="n"/>
      <c r="F143" s="276" t="n"/>
      <c r="G143" s="276" t="n"/>
      <c r="H143" s="276" t="n"/>
      <c r="I143" s="276" t="n"/>
      <c r="J143" s="276" t="n"/>
      <c r="K143" s="276" t="n"/>
      <c r="L143" s="276" t="n"/>
      <c r="M143" s="276" t="n"/>
      <c r="N143" s="276" t="n"/>
      <c r="O143" s="276" t="n"/>
      <c r="P143" s="276" t="n"/>
      <c r="Q143" s="276" t="n"/>
      <c r="R143" s="276" t="n"/>
      <c r="S143" s="276" t="n"/>
      <c r="T143" s="276" t="n"/>
      <c r="U143" s="276" t="n"/>
      <c r="V143" s="276" t="n"/>
      <c r="W143" s="276" t="n"/>
      <c r="X143" s="276" t="n"/>
      <c r="Y143" s="276" t="n"/>
      <c r="Z143" s="277" t="n"/>
    </row>
    <row r="144">
      <c r="A144" s="275" t="n"/>
      <c r="B144" s="276" t="n"/>
      <c r="C144" s="276" t="n"/>
      <c r="D144" s="276" t="n"/>
      <c r="E144" s="276" t="n"/>
      <c r="F144" s="276" t="n"/>
      <c r="G144" s="276" t="n"/>
      <c r="H144" s="276" t="n"/>
      <c r="I144" s="276" t="n"/>
      <c r="J144" s="276" t="n"/>
      <c r="K144" s="276" t="n"/>
      <c r="L144" s="276" t="n"/>
      <c r="M144" s="276" t="n"/>
      <c r="N144" s="276" t="n"/>
      <c r="O144" s="276" t="n"/>
      <c r="P144" s="276" t="n"/>
      <c r="Q144" s="276" t="n"/>
      <c r="R144" s="276" t="n"/>
      <c r="S144" s="276" t="n"/>
      <c r="T144" s="276" t="n"/>
      <c r="U144" s="276" t="n"/>
      <c r="V144" s="276" t="n"/>
      <c r="W144" s="276" t="n"/>
      <c r="X144" s="276" t="n"/>
      <c r="Y144" s="276" t="n"/>
      <c r="Z144" s="277" t="n"/>
    </row>
    <row r="145">
      <c r="A145" s="275" t="n"/>
      <c r="B145" s="276" t="n"/>
      <c r="C145" s="276" t="n"/>
      <c r="D145" s="276" t="n"/>
      <c r="E145" s="276" t="n"/>
      <c r="F145" s="276" t="n"/>
      <c r="G145" s="276" t="n"/>
      <c r="H145" s="276" t="n"/>
      <c r="I145" s="276" t="n"/>
      <c r="J145" s="276" t="n"/>
      <c r="K145" s="276" t="n"/>
      <c r="L145" s="276" t="n"/>
      <c r="M145" s="276" t="n"/>
      <c r="N145" s="276" t="n"/>
      <c r="O145" s="276" t="n"/>
      <c r="P145" s="276" t="n"/>
      <c r="Q145" s="276" t="n"/>
      <c r="R145" s="276" t="n"/>
      <c r="S145" s="276" t="n"/>
      <c r="T145" s="276" t="n"/>
      <c r="U145" s="276" t="n"/>
      <c r="V145" s="276" t="n"/>
      <c r="W145" s="276" t="n"/>
      <c r="X145" s="276" t="n"/>
      <c r="Y145" s="276" t="n"/>
      <c r="Z145" s="277" t="n"/>
    </row>
    <row r="146">
      <c r="A146" s="275" t="n"/>
      <c r="B146" s="276" t="n"/>
      <c r="C146" s="276" t="n"/>
      <c r="D146" s="276" t="n"/>
      <c r="E146" s="276" t="n"/>
      <c r="F146" s="276" t="n"/>
      <c r="G146" s="276" t="n"/>
      <c r="H146" s="276" t="n"/>
      <c r="I146" s="276" t="n"/>
      <c r="J146" s="276" t="n"/>
      <c r="K146" s="276" t="n"/>
      <c r="L146" s="276" t="n"/>
      <c r="M146" s="276" t="n"/>
      <c r="N146" s="276" t="n"/>
      <c r="O146" s="276" t="n"/>
      <c r="P146" s="276" t="n"/>
      <c r="Q146" s="276" t="n"/>
      <c r="R146" s="276" t="n"/>
      <c r="S146" s="276" t="n"/>
      <c r="T146" s="276" t="n"/>
      <c r="U146" s="276" t="n"/>
      <c r="V146" s="276" t="n"/>
      <c r="W146" s="276" t="n"/>
      <c r="X146" s="276" t="n"/>
      <c r="Y146" s="276" t="n"/>
      <c r="Z146" s="277" t="n"/>
    </row>
    <row r="147">
      <c r="A147" s="275" t="n"/>
      <c r="B147" s="276" t="n"/>
      <c r="C147" s="276" t="n"/>
      <c r="D147" s="276" t="n"/>
      <c r="E147" s="276" t="n"/>
      <c r="F147" s="276" t="n"/>
      <c r="G147" s="276" t="n"/>
      <c r="H147" s="276" t="n"/>
      <c r="I147" s="276" t="n"/>
      <c r="J147" s="276" t="n"/>
      <c r="K147" s="276" t="n"/>
      <c r="L147" s="276" t="n"/>
      <c r="M147" s="276" t="n"/>
      <c r="N147" s="276" t="n"/>
      <c r="O147" s="276" t="n"/>
      <c r="P147" s="276" t="n"/>
      <c r="Q147" s="276" t="n"/>
      <c r="R147" s="276" t="n"/>
      <c r="S147" s="276" t="n"/>
      <c r="T147" s="276" t="n"/>
      <c r="U147" s="276" t="n"/>
      <c r="V147" s="276" t="n"/>
      <c r="W147" s="276" t="n"/>
      <c r="X147" s="276" t="n"/>
      <c r="Y147" s="276" t="n"/>
      <c r="Z147" s="277" t="n"/>
    </row>
    <row r="148">
      <c r="A148" s="275" t="n"/>
      <c r="B148" s="276" t="n"/>
      <c r="C148" s="276" t="n"/>
      <c r="D148" s="276" t="n"/>
      <c r="E148" s="276" t="n"/>
      <c r="F148" s="276" t="n"/>
      <c r="G148" s="276" t="n"/>
      <c r="H148" s="276" t="n"/>
      <c r="I148" s="276" t="n"/>
      <c r="J148" s="276" t="n"/>
      <c r="K148" s="276" t="n"/>
      <c r="L148" s="276" t="n"/>
      <c r="M148" s="276" t="n"/>
      <c r="N148" s="276" t="n"/>
      <c r="O148" s="276" t="n"/>
      <c r="P148" s="276" t="n"/>
      <c r="Q148" s="276" t="n"/>
      <c r="R148" s="276" t="n"/>
      <c r="S148" s="276" t="n"/>
      <c r="T148" s="276" t="n"/>
      <c r="U148" s="276" t="n"/>
      <c r="V148" s="276" t="n"/>
      <c r="W148" s="276" t="n"/>
      <c r="X148" s="276" t="n"/>
      <c r="Y148" s="276" t="n"/>
      <c r="Z148" s="277" t="n"/>
    </row>
    <row r="149">
      <c r="A149" s="275" t="n"/>
      <c r="B149" s="276" t="n"/>
      <c r="C149" s="276" t="n"/>
      <c r="D149" s="276" t="n"/>
      <c r="E149" s="276" t="n"/>
      <c r="F149" s="276" t="n"/>
      <c r="G149" s="276" t="n"/>
      <c r="H149" s="276" t="n"/>
      <c r="I149" s="276" t="n"/>
      <c r="J149" s="276" t="n"/>
      <c r="K149" s="276" t="n"/>
      <c r="L149" s="276" t="n"/>
      <c r="M149" s="276" t="n"/>
      <c r="N149" s="276" t="n"/>
      <c r="O149" s="276" t="n"/>
      <c r="P149" s="276" t="n"/>
      <c r="Q149" s="276" t="n"/>
      <c r="R149" s="276" t="n"/>
      <c r="S149" s="276" t="n"/>
      <c r="T149" s="276" t="n"/>
      <c r="U149" s="276" t="n"/>
      <c r="V149" s="276" t="n"/>
      <c r="W149" s="276" t="n"/>
      <c r="X149" s="276" t="n"/>
      <c r="Y149" s="276" t="n"/>
      <c r="Z149" s="277" t="n"/>
    </row>
    <row r="150">
      <c r="A150" s="275" t="n"/>
      <c r="B150" s="276" t="n"/>
      <c r="C150" s="276" t="n"/>
      <c r="D150" s="276" t="n"/>
      <c r="E150" s="276" t="n"/>
      <c r="F150" s="276" t="n"/>
      <c r="G150" s="276" t="n"/>
      <c r="H150" s="276" t="n"/>
      <c r="I150" s="276" t="n"/>
      <c r="J150" s="276" t="n"/>
      <c r="K150" s="276" t="n"/>
      <c r="L150" s="276" t="n"/>
      <c r="M150" s="276" t="n"/>
      <c r="N150" s="276" t="n"/>
      <c r="O150" s="276" t="n"/>
      <c r="P150" s="276" t="n"/>
      <c r="Q150" s="276" t="n"/>
      <c r="R150" s="276" t="n"/>
      <c r="S150" s="276" t="n"/>
      <c r="T150" s="276" t="n"/>
      <c r="U150" s="276" t="n"/>
      <c r="V150" s="276" t="n"/>
      <c r="W150" s="276" t="n"/>
      <c r="X150" s="276" t="n"/>
      <c r="Y150" s="276" t="n"/>
      <c r="Z150" s="277" t="n"/>
    </row>
    <row r="151">
      <c r="A151" s="275" t="n"/>
      <c r="B151" s="276" t="n"/>
      <c r="C151" s="276" t="n"/>
      <c r="D151" s="276" t="n"/>
      <c r="E151" s="276" t="n"/>
      <c r="F151" s="276" t="n"/>
      <c r="G151" s="276" t="n"/>
      <c r="H151" s="276" t="n"/>
      <c r="I151" s="276" t="n"/>
      <c r="J151" s="276" t="n"/>
      <c r="K151" s="276" t="n"/>
      <c r="L151" s="276" t="n"/>
      <c r="M151" s="276" t="n"/>
      <c r="N151" s="276" t="n"/>
      <c r="O151" s="276" t="n"/>
      <c r="P151" s="276" t="n"/>
      <c r="Q151" s="276" t="n"/>
      <c r="R151" s="276" t="n"/>
      <c r="S151" s="276" t="n"/>
      <c r="T151" s="276" t="n"/>
      <c r="U151" s="276" t="n"/>
      <c r="V151" s="276" t="n"/>
      <c r="W151" s="276" t="n"/>
      <c r="X151" s="276" t="n"/>
      <c r="Y151" s="276" t="n"/>
      <c r="Z151" s="277" t="n"/>
    </row>
    <row r="152">
      <c r="A152" s="275" t="n"/>
      <c r="B152" s="276" t="n"/>
      <c r="C152" s="276" t="n"/>
      <c r="D152" s="276" t="n"/>
      <c r="E152" s="276" t="n"/>
      <c r="F152" s="276" t="n"/>
      <c r="G152" s="276" t="n"/>
      <c r="H152" s="276" t="n"/>
      <c r="I152" s="276" t="n"/>
      <c r="J152" s="276" t="n"/>
      <c r="K152" s="276" t="n"/>
      <c r="L152" s="276" t="n"/>
      <c r="M152" s="276" t="n"/>
      <c r="N152" s="276" t="n"/>
      <c r="O152" s="276" t="n"/>
      <c r="P152" s="276" t="n"/>
      <c r="Q152" s="276" t="n"/>
      <c r="R152" s="276" t="n"/>
      <c r="S152" s="276" t="n"/>
      <c r="T152" s="276" t="n"/>
      <c r="U152" s="276" t="n"/>
      <c r="V152" s="276" t="n"/>
      <c r="W152" s="276" t="n"/>
      <c r="X152" s="276" t="n"/>
      <c r="Y152" s="276" t="n"/>
      <c r="Z152" s="277" t="n"/>
    </row>
    <row r="153">
      <c r="A153" s="275" t="n"/>
      <c r="B153" s="276" t="n"/>
      <c r="C153" s="276" t="n"/>
      <c r="D153" s="276" t="n"/>
      <c r="E153" s="276" t="n"/>
      <c r="F153" s="276" t="n"/>
      <c r="G153" s="276" t="n"/>
      <c r="H153" s="276" t="n"/>
      <c r="I153" s="276" t="n"/>
      <c r="J153" s="276" t="n"/>
      <c r="K153" s="276" t="n"/>
      <c r="L153" s="276" t="n"/>
      <c r="M153" s="276" t="n"/>
      <c r="N153" s="276" t="n"/>
      <c r="O153" s="276" t="n"/>
      <c r="P153" s="276" t="n"/>
      <c r="Q153" s="276" t="n"/>
      <c r="R153" s="276" t="n"/>
      <c r="S153" s="276" t="n"/>
      <c r="T153" s="276" t="n"/>
      <c r="U153" s="276" t="n"/>
      <c r="V153" s="276" t="n"/>
      <c r="W153" s="276" t="n"/>
      <c r="X153" s="276" t="n"/>
      <c r="Y153" s="276" t="n"/>
      <c r="Z153" s="277" t="n"/>
    </row>
    <row r="154">
      <c r="A154" s="275" t="n"/>
      <c r="B154" s="276" t="n"/>
      <c r="C154" s="276" t="n"/>
      <c r="D154" s="276" t="n"/>
      <c r="E154" s="276" t="n"/>
      <c r="F154" s="276" t="n"/>
      <c r="G154" s="276" t="n"/>
      <c r="H154" s="276" t="n"/>
      <c r="I154" s="276" t="n"/>
      <c r="J154" s="276" t="n"/>
      <c r="K154" s="276" t="n"/>
      <c r="L154" s="276" t="n"/>
      <c r="M154" s="276" t="n"/>
      <c r="N154" s="276" t="n"/>
      <c r="O154" s="276" t="n"/>
      <c r="P154" s="276" t="n"/>
      <c r="Q154" s="276" t="n"/>
      <c r="R154" s="276" t="n"/>
      <c r="S154" s="276" t="n"/>
      <c r="T154" s="276" t="n"/>
      <c r="U154" s="276" t="n"/>
      <c r="V154" s="276" t="n"/>
      <c r="W154" s="276" t="n"/>
      <c r="X154" s="276" t="n"/>
      <c r="Y154" s="276" t="n"/>
      <c r="Z154" s="277" t="n"/>
    </row>
    <row r="155">
      <c r="A155" s="275" t="n"/>
      <c r="B155" s="276" t="n"/>
      <c r="C155" s="276" t="n"/>
      <c r="D155" s="276" t="n"/>
      <c r="E155" s="276" t="n"/>
      <c r="F155" s="276" t="n"/>
      <c r="G155" s="276" t="n"/>
      <c r="H155" s="276" t="n"/>
      <c r="I155" s="276" t="n"/>
      <c r="J155" s="276" t="n"/>
      <c r="K155" s="276" t="n"/>
      <c r="L155" s="276" t="n"/>
      <c r="M155" s="276" t="n"/>
      <c r="N155" s="276" t="n"/>
      <c r="O155" s="276" t="n"/>
      <c r="P155" s="276" t="n"/>
      <c r="Q155" s="276" t="n"/>
      <c r="R155" s="276" t="n"/>
      <c r="S155" s="276" t="n"/>
      <c r="T155" s="276" t="n"/>
      <c r="U155" s="276" t="n"/>
      <c r="V155" s="276" t="n"/>
      <c r="W155" s="276" t="n"/>
      <c r="X155" s="276" t="n"/>
      <c r="Y155" s="276" t="n"/>
      <c r="Z155" s="277" t="n"/>
    </row>
    <row r="156">
      <c r="A156" s="275" t="n"/>
      <c r="B156" s="276" t="n"/>
      <c r="C156" s="276" t="n"/>
      <c r="D156" s="276" t="n"/>
      <c r="E156" s="276" t="n"/>
      <c r="F156" s="276" t="n"/>
      <c r="G156" s="276" t="n"/>
      <c r="H156" s="276" t="n"/>
      <c r="I156" s="276" t="n"/>
      <c r="J156" s="276" t="n"/>
      <c r="K156" s="276" t="n"/>
      <c r="L156" s="276" t="n"/>
      <c r="M156" s="276" t="n"/>
      <c r="N156" s="276" t="n"/>
      <c r="O156" s="276" t="n"/>
      <c r="P156" s="276" t="n"/>
      <c r="Q156" s="276" t="n"/>
      <c r="R156" s="276" t="n"/>
      <c r="S156" s="276" t="n"/>
      <c r="T156" s="276" t="n"/>
      <c r="U156" s="276" t="n"/>
      <c r="V156" s="276" t="n"/>
      <c r="W156" s="276" t="n"/>
      <c r="X156" s="276" t="n"/>
      <c r="Y156" s="276" t="n"/>
      <c r="Z156" s="277" t="n"/>
    </row>
    <row r="157">
      <c r="A157" s="275" t="n"/>
      <c r="B157" s="276" t="n"/>
      <c r="C157" s="276" t="n"/>
      <c r="D157" s="276" t="n"/>
      <c r="E157" s="276" t="n"/>
      <c r="F157" s="276" t="n"/>
      <c r="G157" s="276" t="n"/>
      <c r="H157" s="276" t="n"/>
      <c r="I157" s="276" t="n"/>
      <c r="J157" s="276" t="n"/>
      <c r="K157" s="276" t="n"/>
      <c r="L157" s="276" t="n"/>
      <c r="M157" s="276" t="n"/>
      <c r="N157" s="276" t="n"/>
      <c r="O157" s="276" t="n"/>
      <c r="P157" s="276" t="n"/>
      <c r="Q157" s="276" t="n"/>
      <c r="R157" s="276" t="n"/>
      <c r="S157" s="276" t="n"/>
      <c r="T157" s="276" t="n"/>
      <c r="U157" s="276" t="n"/>
      <c r="V157" s="276" t="n"/>
      <c r="W157" s="276" t="n"/>
      <c r="X157" s="276" t="n"/>
      <c r="Y157" s="276" t="n"/>
      <c r="Z157" s="277" t="n"/>
    </row>
    <row r="158">
      <c r="A158" s="275" t="n"/>
      <c r="B158" s="276" t="n"/>
      <c r="C158" s="276" t="n"/>
      <c r="D158" s="276" t="n"/>
      <c r="E158" s="276" t="n"/>
      <c r="F158" s="276" t="n"/>
      <c r="G158" s="276" t="n"/>
      <c r="H158" s="276" t="n"/>
      <c r="I158" s="276" t="n"/>
      <c r="J158" s="276" t="n"/>
      <c r="K158" s="276" t="n"/>
      <c r="L158" s="276" t="n"/>
      <c r="M158" s="276" t="n"/>
      <c r="N158" s="276" t="n"/>
      <c r="O158" s="276" t="n"/>
      <c r="P158" s="276" t="n"/>
      <c r="Q158" s="276" t="n"/>
      <c r="R158" s="276" t="n"/>
      <c r="S158" s="276" t="n"/>
      <c r="T158" s="276" t="n"/>
      <c r="U158" s="276" t="n"/>
      <c r="V158" s="276" t="n"/>
      <c r="W158" s="276" t="n"/>
      <c r="X158" s="276" t="n"/>
      <c r="Y158" s="276" t="n"/>
      <c r="Z158" s="277" t="n"/>
    </row>
    <row r="159">
      <c r="A159" s="275" t="n"/>
      <c r="B159" s="276" t="n"/>
      <c r="C159" s="276" t="n"/>
      <c r="D159" s="276" t="n"/>
      <c r="E159" s="276" t="n"/>
      <c r="F159" s="276" t="n"/>
      <c r="G159" s="276" t="n"/>
      <c r="H159" s="276" t="n"/>
      <c r="I159" s="276" t="n"/>
      <c r="J159" s="276" t="n"/>
      <c r="K159" s="276" t="n"/>
      <c r="L159" s="276" t="n"/>
      <c r="M159" s="276" t="n"/>
      <c r="N159" s="276" t="n"/>
      <c r="O159" s="276" t="n"/>
      <c r="P159" s="276" t="n"/>
      <c r="Q159" s="276" t="n"/>
      <c r="R159" s="276" t="n"/>
      <c r="S159" s="276" t="n"/>
      <c r="T159" s="276" t="n"/>
      <c r="U159" s="276" t="n"/>
      <c r="V159" s="276" t="n"/>
      <c r="W159" s="276" t="n"/>
      <c r="X159" s="276" t="n"/>
      <c r="Y159" s="276" t="n"/>
      <c r="Z159" s="277" t="n"/>
    </row>
    <row r="160">
      <c r="A160" s="275" t="n"/>
      <c r="B160" s="276" t="n"/>
      <c r="C160" s="276" t="n"/>
      <c r="D160" s="276" t="n"/>
      <c r="E160" s="276" t="n"/>
      <c r="F160" s="276" t="n"/>
      <c r="G160" s="276" t="n"/>
      <c r="H160" s="276" t="n"/>
      <c r="I160" s="276" t="n"/>
      <c r="J160" s="276" t="n"/>
      <c r="K160" s="276" t="n"/>
      <c r="L160" s="276" t="n"/>
      <c r="M160" s="276" t="n"/>
      <c r="N160" s="276" t="n"/>
      <c r="O160" s="276" t="n"/>
      <c r="P160" s="276" t="n"/>
      <c r="Q160" s="276" t="n"/>
      <c r="R160" s="276" t="n"/>
      <c r="S160" s="276" t="n"/>
      <c r="T160" s="276" t="n"/>
      <c r="U160" s="276" t="n"/>
      <c r="V160" s="276" t="n"/>
      <c r="W160" s="276" t="n"/>
      <c r="X160" s="276" t="n"/>
      <c r="Y160" s="276" t="n"/>
      <c r="Z160" s="277" t="n"/>
    </row>
    <row r="161">
      <c r="A161" s="275" t="n"/>
      <c r="B161" s="276" t="n"/>
      <c r="C161" s="276" t="n"/>
      <c r="D161" s="276" t="n"/>
      <c r="E161" s="276" t="n"/>
      <c r="F161" s="276" t="n"/>
      <c r="G161" s="276" t="n"/>
      <c r="H161" s="276" t="n"/>
      <c r="I161" s="276" t="n"/>
      <c r="J161" s="276" t="n"/>
      <c r="K161" s="276" t="n"/>
      <c r="L161" s="276" t="n"/>
      <c r="M161" s="276" t="n"/>
      <c r="N161" s="276" t="n"/>
      <c r="O161" s="276" t="n"/>
      <c r="P161" s="276" t="n"/>
      <c r="Q161" s="276" t="n"/>
      <c r="R161" s="276" t="n"/>
      <c r="S161" s="276" t="n"/>
      <c r="T161" s="276" t="n"/>
      <c r="U161" s="276" t="n"/>
      <c r="V161" s="276" t="n"/>
      <c r="W161" s="276" t="n"/>
      <c r="X161" s="276" t="n"/>
      <c r="Y161" s="276" t="n"/>
      <c r="Z161" s="277" t="n"/>
    </row>
    <row r="162">
      <c r="A162" s="275" t="n"/>
      <c r="B162" s="276" t="n"/>
      <c r="C162" s="276" t="n"/>
      <c r="D162" s="276" t="n"/>
      <c r="E162" s="276" t="n"/>
      <c r="F162" s="276" t="n"/>
      <c r="G162" s="276" t="n"/>
      <c r="H162" s="276" t="n"/>
      <c r="I162" s="276" t="n"/>
      <c r="J162" s="276" t="n"/>
      <c r="K162" s="276" t="n"/>
      <c r="L162" s="276" t="n"/>
      <c r="M162" s="276" t="n"/>
      <c r="N162" s="276" t="n"/>
      <c r="O162" s="276" t="n"/>
      <c r="P162" s="276" t="n"/>
      <c r="Q162" s="276" t="n"/>
      <c r="R162" s="276" t="n"/>
      <c r="S162" s="276" t="n"/>
      <c r="T162" s="276" t="n"/>
      <c r="U162" s="276" t="n"/>
      <c r="V162" s="276" t="n"/>
      <c r="W162" s="276" t="n"/>
      <c r="X162" s="276" t="n"/>
      <c r="Y162" s="276" t="n"/>
      <c r="Z162" s="277" t="n"/>
    </row>
    <row r="163">
      <c r="A163" s="275" t="n"/>
      <c r="B163" s="276" t="n"/>
      <c r="C163" s="276" t="n"/>
      <c r="D163" s="276" t="n"/>
      <c r="E163" s="276" t="n"/>
      <c r="F163" s="276" t="n"/>
      <c r="G163" s="276" t="n"/>
      <c r="H163" s="276" t="n"/>
      <c r="I163" s="276" t="n"/>
      <c r="J163" s="276" t="n"/>
      <c r="K163" s="276" t="n"/>
      <c r="L163" s="276" t="n"/>
      <c r="M163" s="276" t="n"/>
      <c r="N163" s="276" t="n"/>
      <c r="O163" s="276" t="n"/>
      <c r="P163" s="276" t="n"/>
      <c r="Q163" s="276" t="n"/>
      <c r="R163" s="276" t="n"/>
      <c r="S163" s="276" t="n"/>
      <c r="T163" s="276" t="n"/>
      <c r="U163" s="276" t="n"/>
      <c r="V163" s="276" t="n"/>
      <c r="W163" s="276" t="n"/>
      <c r="X163" s="276" t="n"/>
      <c r="Y163" s="276" t="n"/>
      <c r="Z163" s="277" t="n"/>
    </row>
    <row r="164">
      <c r="A164" s="275" t="n"/>
      <c r="B164" s="276" t="n"/>
      <c r="C164" s="276" t="n"/>
      <c r="D164" s="276" t="n"/>
      <c r="E164" s="276" t="n"/>
      <c r="F164" s="276" t="n"/>
      <c r="G164" s="276" t="n"/>
      <c r="H164" s="276" t="n"/>
      <c r="I164" s="276" t="n"/>
      <c r="J164" s="276" t="n"/>
      <c r="K164" s="276" t="n"/>
      <c r="L164" s="276" t="n"/>
      <c r="M164" s="276" t="n"/>
      <c r="N164" s="276" t="n"/>
      <c r="O164" s="276" t="n"/>
      <c r="P164" s="276" t="n"/>
      <c r="Q164" s="276" t="n"/>
      <c r="R164" s="276" t="n"/>
      <c r="S164" s="276" t="n"/>
      <c r="T164" s="276" t="n"/>
      <c r="U164" s="276" t="n"/>
      <c r="V164" s="276" t="n"/>
      <c r="W164" s="276" t="n"/>
      <c r="X164" s="276" t="n"/>
      <c r="Y164" s="276" t="n"/>
      <c r="Z164" s="277" t="n"/>
    </row>
    <row r="165">
      <c r="A165" s="275" t="n"/>
      <c r="B165" s="276" t="n"/>
      <c r="C165" s="276" t="n"/>
      <c r="D165" s="276" t="n"/>
      <c r="E165" s="276" t="n"/>
      <c r="F165" s="276" t="n"/>
      <c r="G165" s="276" t="n"/>
      <c r="H165" s="276" t="n"/>
      <c r="I165" s="276" t="n"/>
      <c r="J165" s="276" t="n"/>
      <c r="K165" s="276" t="n"/>
      <c r="L165" s="276" t="n"/>
      <c r="M165" s="276" t="n"/>
      <c r="N165" s="276" t="n"/>
      <c r="O165" s="276" t="n"/>
      <c r="P165" s="276" t="n"/>
      <c r="Q165" s="276" t="n"/>
      <c r="R165" s="276" t="n"/>
      <c r="S165" s="276" t="n"/>
      <c r="T165" s="276" t="n"/>
      <c r="U165" s="276" t="n"/>
      <c r="V165" s="276" t="n"/>
      <c r="W165" s="276" t="n"/>
      <c r="X165" s="276" t="n"/>
      <c r="Y165" s="276" t="n"/>
      <c r="Z165" s="277" t="n"/>
    </row>
    <row r="166">
      <c r="A166" s="275" t="n"/>
      <c r="B166" s="276" t="n"/>
      <c r="C166" s="276" t="n"/>
      <c r="D166" s="276" t="n"/>
      <c r="E166" s="276" t="n"/>
      <c r="F166" s="276" t="n"/>
      <c r="G166" s="276" t="n"/>
      <c r="H166" s="276" t="n"/>
      <c r="I166" s="276" t="n"/>
      <c r="J166" s="276" t="n"/>
      <c r="K166" s="276" t="n"/>
      <c r="L166" s="276" t="n"/>
      <c r="M166" s="276" t="n"/>
      <c r="N166" s="276" t="n"/>
      <c r="O166" s="276" t="n"/>
      <c r="P166" s="276" t="n"/>
      <c r="Q166" s="276" t="n"/>
      <c r="R166" s="276" t="n"/>
      <c r="S166" s="276" t="n"/>
      <c r="T166" s="276" t="n"/>
      <c r="U166" s="276" t="n"/>
      <c r="V166" s="276" t="n"/>
      <c r="W166" s="276" t="n"/>
      <c r="X166" s="276" t="n"/>
      <c r="Y166" s="276" t="n"/>
      <c r="Z166" s="277" t="n"/>
    </row>
    <row r="167">
      <c r="A167" s="275" t="n"/>
      <c r="B167" s="276" t="n"/>
      <c r="C167" s="276" t="n"/>
      <c r="D167" s="276" t="n"/>
      <c r="E167" s="276" t="n"/>
      <c r="F167" s="276" t="n"/>
      <c r="G167" s="276" t="n"/>
      <c r="H167" s="276" t="n"/>
      <c r="I167" s="276" t="n"/>
      <c r="J167" s="276" t="n"/>
      <c r="K167" s="276" t="n"/>
      <c r="L167" s="276" t="n"/>
      <c r="M167" s="276" t="n"/>
      <c r="N167" s="276" t="n"/>
      <c r="O167" s="276" t="n"/>
      <c r="P167" s="276" t="n"/>
      <c r="Q167" s="276" t="n"/>
      <c r="R167" s="276" t="n"/>
      <c r="S167" s="276" t="n"/>
      <c r="T167" s="276" t="n"/>
      <c r="U167" s="276" t="n"/>
      <c r="V167" s="276" t="n"/>
      <c r="W167" s="276" t="n"/>
      <c r="X167" s="276" t="n"/>
      <c r="Y167" s="276" t="n"/>
      <c r="Z167" s="277" t="n"/>
    </row>
    <row r="168">
      <c r="A168" s="275" t="n"/>
      <c r="B168" s="276" t="n"/>
      <c r="C168" s="276" t="n"/>
      <c r="D168" s="276" t="n"/>
      <c r="E168" s="276" t="n"/>
      <c r="F168" s="276" t="n"/>
      <c r="G168" s="276" t="n"/>
      <c r="H168" s="276" t="n"/>
      <c r="I168" s="276" t="n"/>
      <c r="J168" s="276" t="n"/>
      <c r="K168" s="276" t="n"/>
      <c r="L168" s="276" t="n"/>
      <c r="M168" s="276" t="n"/>
      <c r="N168" s="276" t="n"/>
      <c r="O168" s="276" t="n"/>
      <c r="P168" s="276" t="n"/>
      <c r="Q168" s="276" t="n"/>
      <c r="R168" s="276" t="n"/>
      <c r="S168" s="276" t="n"/>
      <c r="T168" s="276" t="n"/>
      <c r="U168" s="276" t="n"/>
      <c r="V168" s="276" t="n"/>
      <c r="W168" s="276" t="n"/>
      <c r="X168" s="276" t="n"/>
      <c r="Y168" s="276" t="n"/>
      <c r="Z168" s="277" t="n"/>
    </row>
    <row r="169">
      <c r="A169" s="275" t="n"/>
      <c r="B169" s="276" t="n"/>
      <c r="C169" s="276" t="n"/>
      <c r="D169" s="276" t="n"/>
      <c r="E169" s="276" t="n"/>
      <c r="F169" s="276" t="n"/>
      <c r="G169" s="276" t="n"/>
      <c r="H169" s="276" t="n"/>
      <c r="I169" s="276" t="n"/>
      <c r="J169" s="276" t="n"/>
      <c r="K169" s="276" t="n"/>
      <c r="L169" s="276" t="n"/>
      <c r="M169" s="276" t="n"/>
      <c r="N169" s="276" t="n"/>
      <c r="O169" s="276" t="n"/>
      <c r="P169" s="276" t="n"/>
      <c r="Q169" s="276" t="n"/>
      <c r="R169" s="276" t="n"/>
      <c r="S169" s="276" t="n"/>
      <c r="T169" s="276" t="n"/>
      <c r="U169" s="276" t="n"/>
      <c r="V169" s="276" t="n"/>
      <c r="W169" s="276" t="n"/>
      <c r="X169" s="276" t="n"/>
      <c r="Y169" s="276" t="n"/>
      <c r="Z169" s="277" t="n"/>
    </row>
    <row r="170">
      <c r="A170" s="275" t="n"/>
      <c r="B170" s="276" t="n"/>
      <c r="C170" s="276" t="n"/>
      <c r="D170" s="276" t="n"/>
      <c r="E170" s="276" t="n"/>
      <c r="F170" s="276" t="n"/>
      <c r="G170" s="276" t="n"/>
      <c r="H170" s="276" t="n"/>
      <c r="I170" s="276" t="n"/>
      <c r="J170" s="276" t="n"/>
      <c r="K170" s="276" t="n"/>
      <c r="L170" s="276" t="n"/>
      <c r="M170" s="276" t="n"/>
      <c r="N170" s="276" t="n"/>
      <c r="O170" s="276" t="n"/>
      <c r="P170" s="276" t="n"/>
      <c r="Q170" s="276" t="n"/>
      <c r="R170" s="276" t="n"/>
      <c r="S170" s="276" t="n"/>
      <c r="T170" s="276" t="n"/>
      <c r="U170" s="276" t="n"/>
      <c r="V170" s="276" t="n"/>
      <c r="W170" s="276" t="n"/>
      <c r="X170" s="276" t="n"/>
      <c r="Y170" s="276" t="n"/>
      <c r="Z170" s="277" t="n"/>
    </row>
    <row r="171">
      <c r="A171" s="275" t="n"/>
      <c r="B171" s="276" t="n"/>
      <c r="C171" s="276" t="n"/>
      <c r="D171" s="276" t="n"/>
      <c r="E171" s="276" t="n"/>
      <c r="F171" s="276" t="n"/>
      <c r="G171" s="276" t="n"/>
      <c r="H171" s="276" t="n"/>
      <c r="I171" s="276" t="n"/>
      <c r="J171" s="276" t="n"/>
      <c r="K171" s="276" t="n"/>
      <c r="L171" s="276" t="n"/>
      <c r="M171" s="276" t="n"/>
      <c r="N171" s="276" t="n"/>
      <c r="O171" s="276" t="n"/>
      <c r="P171" s="276" t="n"/>
      <c r="Q171" s="276" t="n"/>
      <c r="R171" s="276" t="n"/>
      <c r="S171" s="276" t="n"/>
      <c r="T171" s="276" t="n"/>
      <c r="U171" s="276" t="n"/>
      <c r="V171" s="276" t="n"/>
      <c r="W171" s="276" t="n"/>
      <c r="X171" s="276" t="n"/>
      <c r="Y171" s="276" t="n"/>
      <c r="Z171" s="277" t="n"/>
    </row>
    <row r="172">
      <c r="A172" s="275" t="n"/>
      <c r="B172" s="276" t="n"/>
      <c r="C172" s="276" t="n"/>
      <c r="D172" s="276" t="n"/>
      <c r="E172" s="276" t="n"/>
      <c r="F172" s="276" t="n"/>
      <c r="G172" s="276" t="n"/>
      <c r="H172" s="276" t="n"/>
      <c r="I172" s="276" t="n"/>
      <c r="J172" s="276" t="n"/>
      <c r="K172" s="276" t="n"/>
      <c r="L172" s="276" t="n"/>
      <c r="M172" s="276" t="n"/>
      <c r="N172" s="276" t="n"/>
      <c r="O172" s="276" t="n"/>
      <c r="P172" s="276" t="n"/>
      <c r="Q172" s="276" t="n"/>
      <c r="R172" s="276" t="n"/>
      <c r="S172" s="276" t="n"/>
      <c r="T172" s="276" t="n"/>
      <c r="U172" s="276" t="n"/>
      <c r="V172" s="276" t="n"/>
      <c r="W172" s="276" t="n"/>
      <c r="X172" s="276" t="n"/>
      <c r="Y172" s="276" t="n"/>
      <c r="Z172" s="277" t="n"/>
    </row>
    <row r="173">
      <c r="A173" s="275" t="n"/>
      <c r="B173" s="276" t="n"/>
      <c r="C173" s="276" t="n"/>
      <c r="D173" s="276" t="n"/>
      <c r="E173" s="276" t="n"/>
      <c r="F173" s="276" t="n"/>
      <c r="G173" s="276" t="n"/>
      <c r="H173" s="276" t="n"/>
      <c r="I173" s="276" t="n"/>
      <c r="J173" s="276" t="n"/>
      <c r="K173" s="276" t="n"/>
      <c r="L173" s="276" t="n"/>
      <c r="M173" s="276" t="n"/>
      <c r="N173" s="276" t="n"/>
      <c r="O173" s="276" t="n"/>
      <c r="P173" s="276" t="n"/>
      <c r="Q173" s="276" t="n"/>
      <c r="R173" s="276" t="n"/>
      <c r="S173" s="276" t="n"/>
      <c r="T173" s="276" t="n"/>
      <c r="U173" s="276" t="n"/>
      <c r="V173" s="276" t="n"/>
      <c r="W173" s="276" t="n"/>
      <c r="X173" s="276" t="n"/>
      <c r="Y173" s="276" t="n"/>
      <c r="Z173" s="277" t="n"/>
    </row>
    <row r="174">
      <c r="A174" s="275" t="n"/>
      <c r="B174" s="276" t="n"/>
      <c r="C174" s="276" t="n"/>
      <c r="D174" s="276" t="n"/>
      <c r="E174" s="276" t="n"/>
      <c r="F174" s="276" t="n"/>
      <c r="G174" s="276" t="n"/>
      <c r="H174" s="276" t="n"/>
      <c r="I174" s="276" t="n"/>
      <c r="J174" s="276" t="n"/>
      <c r="K174" s="276" t="n"/>
      <c r="L174" s="276" t="n"/>
      <c r="M174" s="276" t="n"/>
      <c r="N174" s="276" t="n"/>
      <c r="O174" s="276" t="n"/>
      <c r="P174" s="276" t="n"/>
      <c r="Q174" s="276" t="n"/>
      <c r="R174" s="276" t="n"/>
      <c r="S174" s="276" t="n"/>
      <c r="T174" s="276" t="n"/>
      <c r="U174" s="276" t="n"/>
      <c r="V174" s="276" t="n"/>
      <c r="W174" s="276" t="n"/>
      <c r="X174" s="276" t="n"/>
      <c r="Y174" s="276" t="n"/>
      <c r="Z174" s="277" t="n"/>
    </row>
    <row r="175">
      <c r="A175" s="275" t="n"/>
      <c r="B175" s="276" t="n"/>
      <c r="C175" s="276" t="n"/>
      <c r="D175" s="276" t="n"/>
      <c r="E175" s="276" t="n"/>
      <c r="F175" s="276" t="n"/>
      <c r="G175" s="276" t="n"/>
      <c r="H175" s="276" t="n"/>
      <c r="I175" s="276" t="n"/>
      <c r="J175" s="276" t="n"/>
      <c r="K175" s="276" t="n"/>
      <c r="L175" s="276" t="n"/>
      <c r="M175" s="276" t="n"/>
      <c r="N175" s="276" t="n"/>
      <c r="O175" s="276" t="n"/>
      <c r="P175" s="276" t="n"/>
      <c r="Q175" s="276" t="n"/>
      <c r="R175" s="276" t="n"/>
      <c r="S175" s="276" t="n"/>
      <c r="T175" s="276" t="n"/>
      <c r="U175" s="276" t="n"/>
      <c r="V175" s="276" t="n"/>
      <c r="W175" s="276" t="n"/>
      <c r="X175" s="276" t="n"/>
      <c r="Y175" s="276" t="n"/>
      <c r="Z175" s="277" t="n"/>
    </row>
    <row r="176">
      <c r="A176" s="275" t="n"/>
      <c r="B176" s="276" t="n"/>
      <c r="C176" s="276" t="n"/>
      <c r="D176" s="276" t="n"/>
      <c r="E176" s="276" t="n"/>
      <c r="F176" s="276" t="n"/>
      <c r="G176" s="276" t="n"/>
      <c r="H176" s="276" t="n"/>
      <c r="I176" s="276" t="n"/>
      <c r="J176" s="276" t="n"/>
      <c r="K176" s="276" t="n"/>
      <c r="L176" s="276" t="n"/>
      <c r="M176" s="276" t="n"/>
      <c r="N176" s="276" t="n"/>
      <c r="O176" s="276" t="n"/>
      <c r="P176" s="276" t="n"/>
      <c r="Q176" s="276" t="n"/>
      <c r="R176" s="276" t="n"/>
      <c r="S176" s="276" t="n"/>
      <c r="T176" s="276" t="n"/>
      <c r="U176" s="276" t="n"/>
      <c r="V176" s="276" t="n"/>
      <c r="W176" s="276" t="n"/>
      <c r="X176" s="276" t="n"/>
      <c r="Y176" s="276" t="n"/>
      <c r="Z176" s="277" t="n"/>
    </row>
    <row r="177">
      <c r="A177" s="275" t="n"/>
      <c r="B177" s="276" t="n"/>
      <c r="C177" s="276" t="n"/>
      <c r="D177" s="276" t="n"/>
      <c r="E177" s="276" t="n"/>
      <c r="F177" s="276" t="n"/>
      <c r="G177" s="276" t="n"/>
      <c r="H177" s="276" t="n"/>
      <c r="I177" s="276" t="n"/>
      <c r="J177" s="276" t="n"/>
      <c r="K177" s="276" t="n"/>
      <c r="L177" s="276" t="n"/>
      <c r="M177" s="276" t="n"/>
      <c r="N177" s="276" t="n"/>
      <c r="O177" s="276" t="n"/>
      <c r="P177" s="276" t="n"/>
      <c r="Q177" s="276" t="n"/>
      <c r="R177" s="276" t="n"/>
      <c r="S177" s="276" t="n"/>
      <c r="T177" s="276" t="n"/>
      <c r="U177" s="276" t="n"/>
      <c r="V177" s="276" t="n"/>
      <c r="W177" s="276" t="n"/>
      <c r="X177" s="276" t="n"/>
      <c r="Y177" s="276" t="n"/>
      <c r="Z177" s="277" t="n"/>
    </row>
    <row r="178">
      <c r="A178" s="275" t="n"/>
      <c r="B178" s="276" t="n"/>
      <c r="C178" s="276" t="n"/>
      <c r="D178" s="276" t="n"/>
      <c r="E178" s="276" t="n"/>
      <c r="F178" s="276" t="n"/>
      <c r="G178" s="276" t="n"/>
      <c r="H178" s="276" t="n"/>
      <c r="I178" s="276" t="n"/>
      <c r="J178" s="276" t="n"/>
      <c r="K178" s="276" t="n"/>
      <c r="L178" s="276" t="n"/>
      <c r="M178" s="276" t="n"/>
      <c r="N178" s="276" t="n"/>
      <c r="O178" s="276" t="n"/>
      <c r="P178" s="276" t="n"/>
      <c r="Q178" s="276" t="n"/>
      <c r="R178" s="276" t="n"/>
      <c r="S178" s="276" t="n"/>
      <c r="T178" s="276" t="n"/>
      <c r="U178" s="276" t="n"/>
      <c r="V178" s="276" t="n"/>
      <c r="W178" s="276" t="n"/>
      <c r="X178" s="276" t="n"/>
      <c r="Y178" s="276" t="n"/>
      <c r="Z178" s="277" t="n"/>
    </row>
    <row r="179">
      <c r="A179" s="275" t="n"/>
      <c r="B179" s="276" t="n"/>
      <c r="C179" s="276" t="n"/>
      <c r="D179" s="276" t="n"/>
      <c r="E179" s="276" t="n"/>
      <c r="F179" s="276" t="n"/>
      <c r="G179" s="276" t="n"/>
      <c r="H179" s="276" t="n"/>
      <c r="I179" s="276" t="n"/>
      <c r="J179" s="276" t="n"/>
      <c r="K179" s="276" t="n"/>
      <c r="L179" s="276" t="n"/>
      <c r="M179" s="276" t="n"/>
      <c r="N179" s="276" t="n"/>
      <c r="O179" s="276" t="n"/>
      <c r="P179" s="276" t="n"/>
      <c r="Q179" s="276" t="n"/>
      <c r="R179" s="276" t="n"/>
      <c r="S179" s="276" t="n"/>
      <c r="T179" s="276" t="n"/>
      <c r="U179" s="276" t="n"/>
      <c r="V179" s="276" t="n"/>
      <c r="W179" s="276" t="n"/>
      <c r="X179" s="276" t="n"/>
      <c r="Y179" s="276" t="n"/>
      <c r="Z179" s="277" t="n"/>
    </row>
    <row r="180">
      <c r="A180" s="275" t="n"/>
      <c r="B180" s="276" t="n"/>
      <c r="C180" s="276" t="n"/>
      <c r="D180" s="276" t="n"/>
      <c r="E180" s="276" t="n"/>
      <c r="F180" s="276" t="n"/>
      <c r="G180" s="276" t="n"/>
      <c r="H180" s="276" t="n"/>
      <c r="I180" s="276" t="n"/>
      <c r="J180" s="276" t="n"/>
      <c r="K180" s="276" t="n"/>
      <c r="L180" s="276" t="n"/>
      <c r="M180" s="276" t="n"/>
      <c r="N180" s="276" t="n"/>
      <c r="O180" s="276" t="n"/>
      <c r="P180" s="276" t="n"/>
      <c r="Q180" s="276" t="n"/>
      <c r="R180" s="276" t="n"/>
      <c r="S180" s="276" t="n"/>
      <c r="T180" s="276" t="n"/>
      <c r="U180" s="276" t="n"/>
      <c r="V180" s="276" t="n"/>
      <c r="W180" s="276" t="n"/>
      <c r="X180" s="276" t="n"/>
      <c r="Y180" s="276" t="n"/>
      <c r="Z180" s="277" t="n"/>
    </row>
    <row r="181">
      <c r="A181" s="275" t="n"/>
      <c r="B181" s="276" t="n"/>
      <c r="C181" s="276" t="n"/>
      <c r="D181" s="276" t="n"/>
      <c r="E181" s="276" t="n"/>
      <c r="F181" s="276" t="n"/>
      <c r="G181" s="276" t="n"/>
      <c r="H181" s="276" t="n"/>
      <c r="I181" s="276" t="n"/>
      <c r="J181" s="276" t="n"/>
      <c r="K181" s="276" t="n"/>
      <c r="L181" s="276" t="n"/>
      <c r="M181" s="276" t="n"/>
      <c r="N181" s="276" t="n"/>
      <c r="O181" s="276" t="n"/>
      <c r="P181" s="276" t="n"/>
      <c r="Q181" s="276" t="n"/>
      <c r="R181" s="276" t="n"/>
      <c r="S181" s="276" t="n"/>
      <c r="T181" s="276" t="n"/>
      <c r="U181" s="276" t="n"/>
      <c r="V181" s="276" t="n"/>
      <c r="W181" s="276" t="n"/>
      <c r="X181" s="276" t="n"/>
      <c r="Y181" s="276" t="n"/>
      <c r="Z181" s="277" t="n"/>
    </row>
    <row r="182">
      <c r="A182" s="275" t="n"/>
      <c r="B182" s="276" t="n"/>
      <c r="C182" s="276" t="n"/>
      <c r="D182" s="276" t="n"/>
      <c r="E182" s="276" t="n"/>
      <c r="F182" s="276" t="n"/>
      <c r="G182" s="276" t="n"/>
      <c r="H182" s="276" t="n"/>
      <c r="I182" s="276" t="n"/>
      <c r="J182" s="276" t="n"/>
      <c r="K182" s="276" t="n"/>
      <c r="L182" s="276" t="n"/>
      <c r="M182" s="276" t="n"/>
      <c r="N182" s="276" t="n"/>
      <c r="O182" s="276" t="n"/>
      <c r="P182" s="276" t="n"/>
      <c r="Q182" s="276" t="n"/>
      <c r="R182" s="276" t="n"/>
      <c r="S182" s="276" t="n"/>
      <c r="T182" s="276" t="n"/>
      <c r="U182" s="276" t="n"/>
      <c r="V182" s="276" t="n"/>
      <c r="W182" s="276" t="n"/>
      <c r="X182" s="276" t="n"/>
      <c r="Y182" s="276" t="n"/>
      <c r="Z182" s="277" t="n"/>
    </row>
    <row r="183">
      <c r="A183" s="275" t="n"/>
      <c r="B183" s="276" t="n"/>
      <c r="C183" s="276" t="n"/>
      <c r="D183" s="276" t="n"/>
      <c r="E183" s="276" t="n"/>
      <c r="F183" s="276" t="n"/>
      <c r="G183" s="276" t="n"/>
      <c r="H183" s="276" t="n"/>
      <c r="I183" s="276" t="n"/>
      <c r="J183" s="276" t="n"/>
      <c r="K183" s="276" t="n"/>
      <c r="L183" s="276" t="n"/>
      <c r="M183" s="276" t="n"/>
      <c r="N183" s="276" t="n"/>
      <c r="O183" s="276" t="n"/>
      <c r="P183" s="276" t="n"/>
      <c r="Q183" s="276" t="n"/>
      <c r="R183" s="276" t="n"/>
      <c r="S183" s="276" t="n"/>
      <c r="T183" s="276" t="n"/>
      <c r="U183" s="276" t="n"/>
      <c r="V183" s="276" t="n"/>
      <c r="W183" s="276" t="n"/>
      <c r="X183" s="276" t="n"/>
      <c r="Y183" s="276" t="n"/>
      <c r="Z183" s="277" t="n"/>
    </row>
    <row r="184">
      <c r="A184" s="275" t="n"/>
      <c r="B184" s="276" t="n"/>
      <c r="C184" s="276" t="n"/>
      <c r="D184" s="276" t="n"/>
      <c r="E184" s="276" t="n"/>
      <c r="F184" s="276" t="n"/>
      <c r="G184" s="276" t="n"/>
      <c r="H184" s="276" t="n"/>
      <c r="I184" s="276" t="n"/>
      <c r="J184" s="276" t="n"/>
      <c r="K184" s="276" t="n"/>
      <c r="L184" s="276" t="n"/>
      <c r="M184" s="276" t="n"/>
      <c r="N184" s="276" t="n"/>
      <c r="O184" s="276" t="n"/>
      <c r="P184" s="276" t="n"/>
      <c r="Q184" s="276" t="n"/>
      <c r="R184" s="276" t="n"/>
      <c r="S184" s="276" t="n"/>
      <c r="T184" s="276" t="n"/>
      <c r="U184" s="276" t="n"/>
      <c r="V184" s="276" t="n"/>
      <c r="W184" s="276" t="n"/>
      <c r="X184" s="276" t="n"/>
      <c r="Y184" s="276" t="n"/>
      <c r="Z184" s="277" t="n"/>
    </row>
    <row r="185">
      <c r="A185" s="275" t="n"/>
      <c r="B185" s="276" t="n"/>
      <c r="C185" s="276" t="n"/>
      <c r="D185" s="276" t="n"/>
      <c r="E185" s="276" t="n"/>
      <c r="F185" s="276" t="n"/>
      <c r="G185" s="276" t="n"/>
      <c r="H185" s="276" t="n"/>
      <c r="I185" s="276" t="n"/>
      <c r="J185" s="276" t="n"/>
      <c r="K185" s="276" t="n"/>
      <c r="L185" s="276" t="n"/>
      <c r="M185" s="276" t="n"/>
      <c r="N185" s="276" t="n"/>
      <c r="O185" s="276" t="n"/>
      <c r="P185" s="276" t="n"/>
      <c r="Q185" s="276" t="n"/>
      <c r="R185" s="276" t="n"/>
      <c r="S185" s="276" t="n"/>
      <c r="T185" s="276" t="n"/>
      <c r="U185" s="276" t="n"/>
      <c r="V185" s="276" t="n"/>
      <c r="W185" s="276" t="n"/>
      <c r="X185" s="276" t="n"/>
      <c r="Y185" s="276" t="n"/>
      <c r="Z185" s="277" t="n"/>
    </row>
    <row r="186">
      <c r="A186" s="275" t="n"/>
      <c r="B186" s="276" t="n"/>
      <c r="C186" s="276" t="n"/>
      <c r="D186" s="276" t="n"/>
      <c r="E186" s="276" t="n"/>
      <c r="F186" s="276" t="n"/>
      <c r="G186" s="276" t="n"/>
      <c r="H186" s="276" t="n"/>
      <c r="I186" s="276" t="n"/>
      <c r="J186" s="276" t="n"/>
      <c r="K186" s="276" t="n"/>
      <c r="L186" s="276" t="n"/>
      <c r="M186" s="276" t="n"/>
      <c r="N186" s="276" t="n"/>
      <c r="O186" s="276" t="n"/>
      <c r="P186" s="276" t="n"/>
      <c r="Q186" s="276" t="n"/>
      <c r="R186" s="276" t="n"/>
      <c r="S186" s="276" t="n"/>
      <c r="T186" s="276" t="n"/>
      <c r="U186" s="276" t="n"/>
      <c r="V186" s="276" t="n"/>
      <c r="W186" s="276" t="n"/>
      <c r="X186" s="276" t="n"/>
      <c r="Y186" s="276" t="n"/>
      <c r="Z186" s="277" t="n"/>
    </row>
    <row r="187">
      <c r="A187" s="275" t="n"/>
      <c r="B187" s="276" t="n"/>
      <c r="C187" s="276" t="n"/>
      <c r="D187" s="276" t="n"/>
      <c r="E187" s="276" t="n"/>
      <c r="F187" s="276" t="n"/>
      <c r="G187" s="276" t="n"/>
      <c r="H187" s="276" t="n"/>
      <c r="I187" s="276" t="n"/>
      <c r="J187" s="276" t="n"/>
      <c r="K187" s="276" t="n"/>
      <c r="L187" s="276" t="n"/>
      <c r="M187" s="276" t="n"/>
      <c r="N187" s="276" t="n"/>
      <c r="O187" s="276" t="n"/>
      <c r="P187" s="276" t="n"/>
      <c r="Q187" s="276" t="n"/>
      <c r="R187" s="276" t="n"/>
      <c r="S187" s="276" t="n"/>
      <c r="T187" s="276" t="n"/>
      <c r="U187" s="276" t="n"/>
      <c r="V187" s="276" t="n"/>
      <c r="W187" s="276" t="n"/>
      <c r="X187" s="276" t="n"/>
      <c r="Y187" s="276" t="n"/>
      <c r="Z187" s="277" t="n"/>
    </row>
    <row r="188">
      <c r="A188" s="275" t="n"/>
      <c r="B188" s="276" t="n"/>
      <c r="C188" s="276" t="n"/>
      <c r="D188" s="276" t="n"/>
      <c r="E188" s="276" t="n"/>
      <c r="F188" s="276" t="n"/>
      <c r="G188" s="276" t="n"/>
      <c r="H188" s="276" t="n"/>
      <c r="I188" s="276" t="n"/>
      <c r="J188" s="276" t="n"/>
      <c r="K188" s="276" t="n"/>
      <c r="L188" s="276" t="n"/>
      <c r="M188" s="276" t="n"/>
      <c r="N188" s="276" t="n"/>
      <c r="O188" s="276" t="n"/>
      <c r="P188" s="276" t="n"/>
      <c r="Q188" s="276" t="n"/>
      <c r="R188" s="276" t="n"/>
      <c r="S188" s="276" t="n"/>
      <c r="T188" s="276" t="n"/>
      <c r="U188" s="276" t="n"/>
      <c r="V188" s="276" t="n"/>
      <c r="W188" s="276" t="n"/>
      <c r="X188" s="276" t="n"/>
      <c r="Y188" s="276" t="n"/>
      <c r="Z188" s="277" t="n"/>
    </row>
    <row r="189">
      <c r="A189" s="275" t="n"/>
      <c r="B189" s="276" t="n"/>
      <c r="C189" s="276" t="n"/>
      <c r="D189" s="276" t="n"/>
      <c r="E189" s="276" t="n"/>
      <c r="F189" s="276" t="n"/>
      <c r="G189" s="276" t="n"/>
      <c r="H189" s="276" t="n"/>
      <c r="I189" s="276" t="n"/>
      <c r="J189" s="276" t="n"/>
      <c r="K189" s="276" t="n"/>
      <c r="L189" s="276" t="n"/>
      <c r="M189" s="276" t="n"/>
      <c r="N189" s="276" t="n"/>
      <c r="O189" s="276" t="n"/>
      <c r="P189" s="276" t="n"/>
      <c r="Q189" s="276" t="n"/>
      <c r="R189" s="276" t="n"/>
      <c r="S189" s="276" t="n"/>
      <c r="T189" s="276" t="n"/>
      <c r="U189" s="276" t="n"/>
      <c r="V189" s="276" t="n"/>
      <c r="W189" s="276" t="n"/>
      <c r="X189" s="276" t="n"/>
      <c r="Y189" s="276" t="n"/>
      <c r="Z189" s="277" t="n"/>
    </row>
    <row r="190">
      <c r="A190" s="275" t="n"/>
      <c r="B190" s="276" t="n"/>
      <c r="C190" s="276" t="n"/>
      <c r="D190" s="276" t="n"/>
      <c r="E190" s="276" t="n"/>
      <c r="F190" s="276" t="n"/>
      <c r="G190" s="276" t="n"/>
      <c r="H190" s="276" t="n"/>
      <c r="I190" s="276" t="n"/>
      <c r="J190" s="276" t="n"/>
      <c r="K190" s="276" t="n"/>
      <c r="L190" s="276" t="n"/>
      <c r="M190" s="276" t="n"/>
      <c r="N190" s="276" t="n"/>
      <c r="O190" s="276" t="n"/>
      <c r="P190" s="276" t="n"/>
      <c r="Q190" s="276" t="n"/>
      <c r="R190" s="276" t="n"/>
      <c r="S190" s="276" t="n"/>
      <c r="T190" s="276" t="n"/>
      <c r="U190" s="276" t="n"/>
      <c r="V190" s="276" t="n"/>
      <c r="W190" s="276" t="n"/>
      <c r="X190" s="276" t="n"/>
      <c r="Y190" s="276" t="n"/>
      <c r="Z190" s="277" t="n"/>
    </row>
    <row r="191">
      <c r="A191" s="275" t="n"/>
      <c r="B191" s="276" t="n"/>
      <c r="C191" s="276" t="n"/>
      <c r="D191" s="276" t="n"/>
      <c r="E191" s="276" t="n"/>
      <c r="F191" s="276" t="n"/>
      <c r="G191" s="276" t="n"/>
      <c r="H191" s="276" t="n"/>
      <c r="I191" s="276" t="n"/>
      <c r="J191" s="276" t="n"/>
      <c r="K191" s="276" t="n"/>
      <c r="L191" s="276" t="n"/>
      <c r="M191" s="276" t="n"/>
      <c r="N191" s="276" t="n"/>
      <c r="O191" s="276" t="n"/>
      <c r="P191" s="276" t="n"/>
      <c r="Q191" s="276" t="n"/>
      <c r="R191" s="276" t="n"/>
      <c r="S191" s="276" t="n"/>
      <c r="T191" s="276" t="n"/>
      <c r="U191" s="276" t="n"/>
      <c r="V191" s="276" t="n"/>
      <c r="W191" s="276" t="n"/>
      <c r="X191" s="276" t="n"/>
      <c r="Y191" s="276" t="n"/>
      <c r="Z191" s="277" t="n"/>
    </row>
    <row r="192">
      <c r="A192" s="275" t="n"/>
      <c r="B192" s="276" t="n"/>
      <c r="C192" s="276" t="n"/>
      <c r="D192" s="276" t="n"/>
      <c r="E192" s="276" t="n"/>
      <c r="F192" s="276" t="n"/>
      <c r="G192" s="276" t="n"/>
      <c r="H192" s="276" t="n"/>
      <c r="I192" s="276" t="n"/>
      <c r="J192" s="276" t="n"/>
      <c r="K192" s="276" t="n"/>
      <c r="L192" s="276" t="n"/>
      <c r="M192" s="276" t="n"/>
      <c r="N192" s="276" t="n"/>
      <c r="O192" s="276" t="n"/>
      <c r="P192" s="276" t="n"/>
      <c r="Q192" s="276" t="n"/>
      <c r="R192" s="276" t="n"/>
      <c r="S192" s="276" t="n"/>
      <c r="T192" s="276" t="n"/>
      <c r="U192" s="276" t="n"/>
      <c r="V192" s="276" t="n"/>
      <c r="W192" s="276" t="n"/>
      <c r="X192" s="276" t="n"/>
      <c r="Y192" s="276" t="n"/>
      <c r="Z192" s="277" t="n"/>
    </row>
    <row r="193">
      <c r="A193" s="275" t="n"/>
      <c r="B193" s="276" t="n"/>
      <c r="C193" s="276" t="n"/>
      <c r="D193" s="276" t="n"/>
      <c r="E193" s="276" t="n"/>
      <c r="F193" s="276" t="n"/>
      <c r="G193" s="276" t="n"/>
      <c r="H193" s="276" t="n"/>
      <c r="I193" s="276" t="n"/>
      <c r="J193" s="276" t="n"/>
      <c r="K193" s="276" t="n"/>
      <c r="L193" s="276" t="n"/>
      <c r="M193" s="276" t="n"/>
      <c r="N193" s="276" t="n"/>
      <c r="O193" s="276" t="n"/>
      <c r="P193" s="276" t="n"/>
      <c r="Q193" s="276" t="n"/>
      <c r="R193" s="276" t="n"/>
      <c r="S193" s="276" t="n"/>
      <c r="T193" s="276" t="n"/>
      <c r="U193" s="276" t="n"/>
      <c r="V193" s="276" t="n"/>
      <c r="W193" s="276" t="n"/>
      <c r="X193" s="276" t="n"/>
      <c r="Y193" s="276" t="n"/>
      <c r="Z193" s="277" t="n"/>
    </row>
    <row r="194">
      <c r="A194" s="275" t="n"/>
      <c r="B194" s="276" t="n"/>
      <c r="C194" s="276" t="n"/>
      <c r="D194" s="276" t="n"/>
      <c r="E194" s="276" t="n"/>
      <c r="F194" s="276" t="n"/>
      <c r="G194" s="276" t="n"/>
      <c r="H194" s="276" t="n"/>
      <c r="I194" s="276" t="n"/>
      <c r="J194" s="276" t="n"/>
      <c r="K194" s="276" t="n"/>
      <c r="L194" s="276" t="n"/>
      <c r="M194" s="276" t="n"/>
      <c r="N194" s="276" t="n"/>
      <c r="O194" s="276" t="n"/>
      <c r="P194" s="276" t="n"/>
      <c r="Q194" s="276" t="n"/>
      <c r="R194" s="276" t="n"/>
      <c r="S194" s="276" t="n"/>
      <c r="T194" s="276" t="n"/>
      <c r="U194" s="276" t="n"/>
      <c r="V194" s="276" t="n"/>
      <c r="W194" s="276" t="n"/>
      <c r="X194" s="276" t="n"/>
      <c r="Y194" s="276" t="n"/>
      <c r="Z194" s="277" t="n"/>
    </row>
    <row r="195">
      <c r="A195" s="275" t="n"/>
      <c r="B195" s="276" t="n"/>
      <c r="C195" s="276" t="n"/>
      <c r="D195" s="276" t="n"/>
      <c r="E195" s="276" t="n"/>
      <c r="F195" s="276" t="n"/>
      <c r="G195" s="276" t="n"/>
      <c r="H195" s="276" t="n"/>
      <c r="I195" s="276" t="n"/>
      <c r="J195" s="276" t="n"/>
      <c r="K195" s="276" t="n"/>
      <c r="L195" s="276" t="n"/>
      <c r="M195" s="276" t="n"/>
      <c r="N195" s="276" t="n"/>
      <c r="O195" s="276" t="n"/>
      <c r="P195" s="276" t="n"/>
      <c r="Q195" s="276" t="n"/>
      <c r="R195" s="276" t="n"/>
      <c r="S195" s="276" t="n"/>
      <c r="T195" s="276" t="n"/>
      <c r="U195" s="276" t="n"/>
      <c r="V195" s="276" t="n"/>
      <c r="W195" s="276" t="n"/>
      <c r="X195" s="276" t="n"/>
      <c r="Y195" s="276" t="n"/>
      <c r="Z195" s="277" t="n"/>
    </row>
    <row r="196">
      <c r="A196" s="275" t="n"/>
      <c r="B196" s="276" t="n"/>
      <c r="C196" s="276" t="n"/>
      <c r="D196" s="276" t="n"/>
      <c r="E196" s="276" t="n"/>
      <c r="F196" s="276" t="n"/>
      <c r="G196" s="276" t="n"/>
      <c r="H196" s="276" t="n"/>
      <c r="I196" s="276" t="n"/>
      <c r="J196" s="276" t="n"/>
      <c r="K196" s="276" t="n"/>
      <c r="L196" s="276" t="n"/>
      <c r="M196" s="276" t="n"/>
      <c r="N196" s="276" t="n"/>
      <c r="O196" s="276" t="n"/>
      <c r="P196" s="276" t="n"/>
      <c r="Q196" s="276" t="n"/>
      <c r="R196" s="276" t="n"/>
      <c r="S196" s="276" t="n"/>
      <c r="T196" s="276" t="n"/>
      <c r="U196" s="276" t="n"/>
      <c r="V196" s="276" t="n"/>
      <c r="W196" s="276" t="n"/>
      <c r="X196" s="276" t="n"/>
      <c r="Y196" s="276" t="n"/>
      <c r="Z196" s="277" t="n"/>
    </row>
    <row r="197">
      <c r="A197" s="275" t="n"/>
      <c r="B197" s="276" t="n"/>
      <c r="C197" s="276" t="n"/>
      <c r="D197" s="276" t="n"/>
      <c r="E197" s="276" t="n"/>
      <c r="F197" s="276" t="n"/>
      <c r="G197" s="276" t="n"/>
      <c r="H197" s="276" t="n"/>
      <c r="I197" s="276" t="n"/>
      <c r="J197" s="276" t="n"/>
      <c r="K197" s="276" t="n"/>
      <c r="L197" s="276" t="n"/>
      <c r="M197" s="276" t="n"/>
      <c r="N197" s="276" t="n"/>
      <c r="O197" s="276" t="n"/>
      <c r="P197" s="276" t="n"/>
      <c r="Q197" s="276" t="n"/>
      <c r="R197" s="276" t="n"/>
      <c r="S197" s="276" t="n"/>
      <c r="T197" s="276" t="n"/>
      <c r="U197" s="276" t="n"/>
      <c r="V197" s="276" t="n"/>
      <c r="W197" s="276" t="n"/>
      <c r="X197" s="276" t="n"/>
      <c r="Y197" s="276" t="n"/>
      <c r="Z197" s="277" t="n"/>
    </row>
    <row r="198">
      <c r="A198" s="275" t="n"/>
      <c r="B198" s="276" t="n"/>
      <c r="C198" s="276" t="n"/>
      <c r="D198" s="276" t="n"/>
      <c r="E198" s="276" t="n"/>
      <c r="F198" s="276" t="n"/>
      <c r="G198" s="276" t="n"/>
      <c r="H198" s="276" t="n"/>
      <c r="I198" s="276" t="n"/>
      <c r="J198" s="276" t="n"/>
      <c r="K198" s="276" t="n"/>
      <c r="L198" s="276" t="n"/>
      <c r="M198" s="276" t="n"/>
      <c r="N198" s="276" t="n"/>
      <c r="O198" s="276" t="n"/>
      <c r="P198" s="276" t="n"/>
      <c r="Q198" s="276" t="n"/>
      <c r="R198" s="276" t="n"/>
      <c r="S198" s="276" t="n"/>
      <c r="T198" s="276" t="n"/>
      <c r="U198" s="276" t="n"/>
      <c r="V198" s="276" t="n"/>
      <c r="W198" s="276" t="n"/>
      <c r="X198" s="276" t="n"/>
      <c r="Y198" s="276" t="n"/>
      <c r="Z198" s="277" t="n"/>
    </row>
    <row r="199">
      <c r="A199" s="275" t="n"/>
      <c r="B199" s="276" t="n"/>
      <c r="C199" s="276" t="n"/>
      <c r="D199" s="276" t="n"/>
      <c r="E199" s="276" t="n"/>
      <c r="F199" s="276" t="n"/>
      <c r="G199" s="276" t="n"/>
      <c r="H199" s="276" t="n"/>
      <c r="I199" s="276" t="n"/>
      <c r="J199" s="276" t="n"/>
      <c r="K199" s="276" t="n"/>
      <c r="L199" s="276" t="n"/>
      <c r="M199" s="276" t="n"/>
      <c r="N199" s="276" t="n"/>
      <c r="O199" s="276" t="n"/>
      <c r="P199" s="276" t="n"/>
      <c r="Q199" s="276" t="n"/>
      <c r="R199" s="276" t="n"/>
      <c r="S199" s="276" t="n"/>
      <c r="T199" s="276" t="n"/>
      <c r="U199" s="276" t="n"/>
      <c r="V199" s="276" t="n"/>
      <c r="W199" s="276" t="n"/>
      <c r="X199" s="276" t="n"/>
      <c r="Y199" s="276" t="n"/>
      <c r="Z199" s="277" t="n"/>
    </row>
    <row r="200">
      <c r="A200" s="275" t="n"/>
      <c r="B200" s="276" t="n"/>
      <c r="C200" s="276" t="n"/>
      <c r="D200" s="276" t="n"/>
      <c r="E200" s="276" t="n"/>
      <c r="F200" s="276" t="n"/>
      <c r="G200" s="276" t="n"/>
      <c r="H200" s="276" t="n"/>
      <c r="I200" s="276" t="n"/>
      <c r="J200" s="276" t="n"/>
      <c r="K200" s="276" t="n"/>
      <c r="L200" s="276" t="n"/>
      <c r="M200" s="276" t="n"/>
      <c r="N200" s="276" t="n"/>
      <c r="O200" s="276" t="n"/>
      <c r="P200" s="276" t="n"/>
      <c r="Q200" s="276" t="n"/>
      <c r="R200" s="276" t="n"/>
      <c r="S200" s="276" t="n"/>
      <c r="T200" s="276" t="n"/>
      <c r="U200" s="276" t="n"/>
      <c r="V200" s="276" t="n"/>
      <c r="W200" s="276" t="n"/>
      <c r="X200" s="276" t="n"/>
      <c r="Y200" s="276" t="n"/>
      <c r="Z200" s="277" t="n"/>
    </row>
    <row r="201">
      <c r="A201" s="275" t="n"/>
      <c r="B201" s="276" t="n"/>
      <c r="C201" s="276" t="n"/>
      <c r="D201" s="276" t="n"/>
      <c r="E201" s="276" t="n"/>
      <c r="F201" s="276" t="n"/>
      <c r="G201" s="276" t="n"/>
      <c r="H201" s="276" t="n"/>
      <c r="I201" s="276" t="n"/>
      <c r="J201" s="276" t="n"/>
      <c r="K201" s="276" t="n"/>
      <c r="L201" s="276" t="n"/>
      <c r="M201" s="276" t="n"/>
      <c r="N201" s="276" t="n"/>
      <c r="O201" s="276" t="n"/>
      <c r="P201" s="276" t="n"/>
      <c r="Q201" s="276" t="n"/>
      <c r="R201" s="276" t="n"/>
      <c r="S201" s="276" t="n"/>
      <c r="T201" s="276" t="n"/>
      <c r="U201" s="276" t="n"/>
      <c r="V201" s="276" t="n"/>
      <c r="W201" s="276" t="n"/>
      <c r="X201" s="276" t="n"/>
      <c r="Y201" s="276" t="n"/>
      <c r="Z201" s="277" t="n"/>
    </row>
    <row r="202">
      <c r="A202" s="275" t="n"/>
      <c r="B202" s="276" t="n"/>
      <c r="C202" s="276" t="n"/>
      <c r="D202" s="276" t="n"/>
      <c r="E202" s="276" t="n"/>
      <c r="F202" s="276" t="n"/>
      <c r="G202" s="276" t="n"/>
      <c r="H202" s="276" t="n"/>
      <c r="I202" s="276" t="n"/>
      <c r="J202" s="276" t="n"/>
      <c r="K202" s="276" t="n"/>
      <c r="L202" s="276" t="n"/>
      <c r="M202" s="276" t="n"/>
      <c r="N202" s="276" t="n"/>
      <c r="O202" s="276" t="n"/>
      <c r="P202" s="276" t="n"/>
      <c r="Q202" s="276" t="n"/>
      <c r="R202" s="276" t="n"/>
      <c r="S202" s="276" t="n"/>
      <c r="T202" s="276" t="n"/>
      <c r="U202" s="276" t="n"/>
      <c r="V202" s="276" t="n"/>
      <c r="W202" s="276" t="n"/>
      <c r="X202" s="276" t="n"/>
      <c r="Y202" s="276" t="n"/>
      <c r="Z202" s="277" t="n"/>
    </row>
    <row r="203">
      <c r="A203" s="275" t="n"/>
      <c r="B203" s="276" t="n"/>
      <c r="C203" s="276" t="n"/>
      <c r="D203" s="276" t="n"/>
      <c r="E203" s="276" t="n"/>
      <c r="F203" s="276" t="n"/>
      <c r="G203" s="276" t="n"/>
      <c r="H203" s="276" t="n"/>
      <c r="I203" s="276" t="n"/>
      <c r="J203" s="276" t="n"/>
      <c r="K203" s="276" t="n"/>
      <c r="L203" s="276" t="n"/>
      <c r="M203" s="276" t="n"/>
      <c r="N203" s="276" t="n"/>
      <c r="O203" s="276" t="n"/>
      <c r="P203" s="276" t="n"/>
      <c r="Q203" s="276" t="n"/>
      <c r="R203" s="276" t="n"/>
      <c r="S203" s="276" t="n"/>
      <c r="T203" s="276" t="n"/>
      <c r="U203" s="276" t="n"/>
      <c r="V203" s="276" t="n"/>
      <c r="W203" s="276" t="n"/>
      <c r="X203" s="276" t="n"/>
      <c r="Y203" s="276" t="n"/>
      <c r="Z203" s="277" t="n"/>
    </row>
    <row r="204">
      <c r="A204" s="275" t="n"/>
      <c r="B204" s="276" t="n"/>
      <c r="C204" s="276" t="n"/>
      <c r="D204" s="276" t="n"/>
      <c r="E204" s="276" t="n"/>
      <c r="F204" s="276" t="n"/>
      <c r="G204" s="276" t="n"/>
      <c r="H204" s="276" t="n"/>
      <c r="I204" s="276" t="n"/>
      <c r="J204" s="276" t="n"/>
      <c r="K204" s="276" t="n"/>
      <c r="L204" s="276" t="n"/>
      <c r="M204" s="276" t="n"/>
      <c r="N204" s="276" t="n"/>
      <c r="O204" s="276" t="n"/>
      <c r="P204" s="276" t="n"/>
      <c r="Q204" s="276" t="n"/>
      <c r="R204" s="276" t="n"/>
      <c r="S204" s="276" t="n"/>
      <c r="T204" s="276" t="n"/>
      <c r="U204" s="276" t="n"/>
      <c r="V204" s="276" t="n"/>
      <c r="W204" s="276" t="n"/>
      <c r="X204" s="276" t="n"/>
      <c r="Y204" s="276" t="n"/>
      <c r="Z204" s="277" t="n"/>
    </row>
    <row r="205">
      <c r="A205" s="275" t="n"/>
      <c r="B205" s="276" t="n"/>
      <c r="C205" s="276" t="n"/>
      <c r="D205" s="276" t="n"/>
      <c r="E205" s="276" t="n"/>
      <c r="F205" s="276" t="n"/>
      <c r="G205" s="276" t="n"/>
      <c r="H205" s="276" t="n"/>
      <c r="I205" s="276" t="n"/>
      <c r="J205" s="276" t="n"/>
      <c r="K205" s="276" t="n"/>
      <c r="L205" s="276" t="n"/>
      <c r="M205" s="276" t="n"/>
      <c r="N205" s="276" t="n"/>
      <c r="O205" s="276" t="n"/>
      <c r="P205" s="276" t="n"/>
      <c r="Q205" s="276" t="n"/>
      <c r="R205" s="276" t="n"/>
      <c r="S205" s="276" t="n"/>
      <c r="T205" s="276" t="n"/>
      <c r="U205" s="276" t="n"/>
      <c r="V205" s="276" t="n"/>
      <c r="W205" s="276" t="n"/>
      <c r="X205" s="276" t="n"/>
      <c r="Y205" s="276" t="n"/>
      <c r="Z205" s="277" t="n"/>
    </row>
    <row r="206">
      <c r="A206" s="275" t="n"/>
      <c r="B206" s="276" t="n"/>
      <c r="C206" s="276" t="n"/>
      <c r="D206" s="276" t="n"/>
      <c r="E206" s="276" t="n"/>
      <c r="F206" s="276" t="n"/>
      <c r="G206" s="276" t="n"/>
      <c r="H206" s="276" t="n"/>
      <c r="I206" s="276" t="n"/>
      <c r="J206" s="276" t="n"/>
      <c r="K206" s="276" t="n"/>
      <c r="L206" s="276" t="n"/>
      <c r="M206" s="276" t="n"/>
      <c r="N206" s="276" t="n"/>
      <c r="O206" s="276" t="n"/>
      <c r="P206" s="276" t="n"/>
      <c r="Q206" s="276" t="n"/>
      <c r="R206" s="276" t="n"/>
      <c r="S206" s="276" t="n"/>
      <c r="T206" s="276" t="n"/>
      <c r="U206" s="276" t="n"/>
      <c r="V206" s="276" t="n"/>
      <c r="W206" s="276" t="n"/>
      <c r="X206" s="276" t="n"/>
      <c r="Y206" s="276" t="n"/>
      <c r="Z206" s="277" t="n"/>
    </row>
    <row r="207">
      <c r="A207" s="275" t="n"/>
      <c r="B207" s="276" t="n"/>
      <c r="C207" s="276" t="n"/>
      <c r="D207" s="276" t="n"/>
      <c r="E207" s="276" t="n"/>
      <c r="F207" s="276" t="n"/>
      <c r="G207" s="276" t="n"/>
      <c r="H207" s="276" t="n"/>
      <c r="I207" s="276" t="n"/>
      <c r="J207" s="276" t="n"/>
      <c r="K207" s="276" t="n"/>
      <c r="L207" s="276" t="n"/>
      <c r="M207" s="276" t="n"/>
      <c r="N207" s="276" t="n"/>
      <c r="O207" s="276" t="n"/>
      <c r="P207" s="276" t="n"/>
      <c r="Q207" s="276" t="n"/>
      <c r="R207" s="276" t="n"/>
      <c r="S207" s="276" t="n"/>
      <c r="T207" s="276" t="n"/>
      <c r="U207" s="276" t="n"/>
      <c r="V207" s="276" t="n"/>
      <c r="W207" s="276" t="n"/>
      <c r="X207" s="276" t="n"/>
      <c r="Y207" s="276" t="n"/>
      <c r="Z207" s="277" t="n"/>
    </row>
    <row r="208">
      <c r="A208" s="275" t="n"/>
      <c r="B208" s="276" t="n"/>
      <c r="C208" s="276" t="n"/>
      <c r="D208" s="276" t="n"/>
      <c r="E208" s="276" t="n"/>
      <c r="F208" s="276" t="n"/>
      <c r="G208" s="276" t="n"/>
      <c r="H208" s="276" t="n"/>
      <c r="I208" s="276" t="n"/>
      <c r="J208" s="276" t="n"/>
      <c r="K208" s="276" t="n"/>
      <c r="L208" s="276" t="n"/>
      <c r="M208" s="276" t="n"/>
      <c r="N208" s="276" t="n"/>
      <c r="O208" s="276" t="n"/>
      <c r="P208" s="276" t="n"/>
      <c r="Q208" s="276" t="n"/>
      <c r="R208" s="276" t="n"/>
      <c r="S208" s="276" t="n"/>
      <c r="T208" s="276" t="n"/>
      <c r="U208" s="276" t="n"/>
      <c r="V208" s="276" t="n"/>
      <c r="W208" s="276" t="n"/>
      <c r="X208" s="276" t="n"/>
      <c r="Y208" s="276" t="n"/>
      <c r="Z208" s="277" t="n"/>
    </row>
    <row r="209">
      <c r="A209" s="275" t="n"/>
      <c r="B209" s="276" t="n"/>
      <c r="C209" s="276" t="n"/>
      <c r="D209" s="276" t="n"/>
      <c r="E209" s="276" t="n"/>
      <c r="F209" s="276" t="n"/>
      <c r="G209" s="276" t="n"/>
      <c r="H209" s="276" t="n"/>
      <c r="I209" s="276" t="n"/>
      <c r="J209" s="276" t="n"/>
      <c r="K209" s="276" t="n"/>
      <c r="L209" s="276" t="n"/>
      <c r="M209" s="276" t="n"/>
      <c r="N209" s="276" t="n"/>
      <c r="O209" s="276" t="n"/>
      <c r="P209" s="276" t="n"/>
      <c r="Q209" s="276" t="n"/>
      <c r="R209" s="276" t="n"/>
      <c r="S209" s="276" t="n"/>
      <c r="T209" s="276" t="n"/>
      <c r="U209" s="276" t="n"/>
      <c r="V209" s="276" t="n"/>
      <c r="W209" s="276" t="n"/>
      <c r="X209" s="276" t="n"/>
      <c r="Y209" s="276" t="n"/>
      <c r="Z209" s="277" t="n"/>
    </row>
    <row r="210">
      <c r="A210" s="275" t="n"/>
      <c r="B210" s="276" t="n"/>
      <c r="C210" s="276" t="n"/>
      <c r="D210" s="276" t="n"/>
      <c r="E210" s="276" t="n"/>
      <c r="F210" s="276" t="n"/>
      <c r="G210" s="276" t="n"/>
      <c r="H210" s="276" t="n"/>
      <c r="I210" s="276" t="n"/>
      <c r="J210" s="276" t="n"/>
      <c r="K210" s="276" t="n"/>
      <c r="L210" s="276" t="n"/>
      <c r="M210" s="276" t="n"/>
      <c r="N210" s="276" t="n"/>
      <c r="O210" s="276" t="n"/>
      <c r="P210" s="276" t="n"/>
      <c r="Q210" s="276" t="n"/>
      <c r="R210" s="276" t="n"/>
      <c r="S210" s="276" t="n"/>
      <c r="T210" s="276" t="n"/>
      <c r="U210" s="276" t="n"/>
      <c r="V210" s="276" t="n"/>
      <c r="W210" s="276" t="n"/>
      <c r="X210" s="276" t="n"/>
      <c r="Y210" s="276" t="n"/>
      <c r="Z210" s="277" t="n"/>
    </row>
    <row r="211">
      <c r="A211" s="275" t="n"/>
      <c r="B211" s="276" t="n"/>
      <c r="C211" s="276" t="n"/>
      <c r="D211" s="276" t="n"/>
      <c r="E211" s="276" t="n"/>
      <c r="F211" s="276" t="n"/>
      <c r="G211" s="276" t="n"/>
      <c r="H211" s="276" t="n"/>
      <c r="I211" s="276" t="n"/>
      <c r="J211" s="276" t="n"/>
      <c r="K211" s="276" t="n"/>
      <c r="L211" s="276" t="n"/>
      <c r="M211" s="276" t="n"/>
      <c r="N211" s="276" t="n"/>
      <c r="O211" s="276" t="n"/>
      <c r="P211" s="276" t="n"/>
      <c r="Q211" s="276" t="n"/>
      <c r="R211" s="276" t="n"/>
      <c r="S211" s="276" t="n"/>
      <c r="T211" s="276" t="n"/>
      <c r="U211" s="276" t="n"/>
      <c r="V211" s="276" t="n"/>
      <c r="W211" s="276" t="n"/>
      <c r="X211" s="276" t="n"/>
      <c r="Y211" s="276" t="n"/>
      <c r="Z211" s="277" t="n"/>
    </row>
    <row r="212">
      <c r="A212" s="275" t="n"/>
      <c r="B212" s="276" t="n"/>
      <c r="C212" s="276" t="n"/>
      <c r="D212" s="276" t="n"/>
      <c r="E212" s="276" t="n"/>
      <c r="F212" s="276" t="n"/>
      <c r="G212" s="276" t="n"/>
      <c r="H212" s="276" t="n"/>
      <c r="I212" s="276" t="n"/>
      <c r="J212" s="276" t="n"/>
      <c r="K212" s="276" t="n"/>
      <c r="L212" s="276" t="n"/>
      <c r="M212" s="276" t="n"/>
      <c r="N212" s="276" t="n"/>
      <c r="O212" s="276" t="n"/>
      <c r="P212" s="276" t="n"/>
      <c r="Q212" s="276" t="n"/>
      <c r="R212" s="276" t="n"/>
      <c r="S212" s="276" t="n"/>
      <c r="T212" s="276" t="n"/>
      <c r="U212" s="276" t="n"/>
      <c r="V212" s="276" t="n"/>
      <c r="W212" s="276" t="n"/>
      <c r="X212" s="276" t="n"/>
      <c r="Y212" s="276" t="n"/>
      <c r="Z212" s="277" t="n"/>
    </row>
    <row r="213">
      <c r="A213" s="275" t="n"/>
      <c r="B213" s="276" t="n"/>
      <c r="C213" s="276" t="n"/>
      <c r="D213" s="276" t="n"/>
      <c r="E213" s="276" t="n"/>
      <c r="F213" s="276" t="n"/>
      <c r="G213" s="276" t="n"/>
      <c r="H213" s="276" t="n"/>
      <c r="I213" s="276" t="n"/>
      <c r="J213" s="276" t="n"/>
      <c r="K213" s="276" t="n"/>
      <c r="L213" s="276" t="n"/>
      <c r="M213" s="276" t="n"/>
      <c r="N213" s="276" t="n"/>
      <c r="O213" s="276" t="n"/>
      <c r="P213" s="276" t="n"/>
      <c r="Q213" s="276" t="n"/>
      <c r="R213" s="276" t="n"/>
      <c r="S213" s="276" t="n"/>
      <c r="T213" s="276" t="n"/>
      <c r="U213" s="276" t="n"/>
      <c r="V213" s="276" t="n"/>
      <c r="W213" s="276" t="n"/>
      <c r="X213" s="276" t="n"/>
      <c r="Y213" s="276" t="n"/>
      <c r="Z213" s="277" t="n"/>
    </row>
    <row r="214">
      <c r="A214" s="275" t="n"/>
      <c r="B214" s="276" t="n"/>
      <c r="C214" s="276" t="n"/>
      <c r="D214" s="276" t="n"/>
      <c r="E214" s="276" t="n"/>
      <c r="F214" s="276" t="n"/>
      <c r="G214" s="276" t="n"/>
      <c r="H214" s="276" t="n"/>
      <c r="I214" s="276" t="n"/>
      <c r="J214" s="276" t="n"/>
      <c r="K214" s="276" t="n"/>
      <c r="L214" s="276" t="n"/>
      <c r="M214" s="276" t="n"/>
      <c r="N214" s="276" t="n"/>
      <c r="O214" s="276" t="n"/>
      <c r="P214" s="276" t="n"/>
      <c r="Q214" s="276" t="n"/>
      <c r="R214" s="276" t="n"/>
      <c r="S214" s="276" t="n"/>
      <c r="T214" s="276" t="n"/>
      <c r="U214" s="276" t="n"/>
      <c r="V214" s="276" t="n"/>
      <c r="W214" s="276" t="n"/>
      <c r="X214" s="276" t="n"/>
      <c r="Y214" s="276" t="n"/>
      <c r="Z214" s="277" t="n"/>
    </row>
    <row r="215">
      <c r="A215" s="275" t="n"/>
      <c r="B215" s="276" t="n"/>
      <c r="C215" s="276" t="n"/>
      <c r="D215" s="276" t="n"/>
      <c r="E215" s="276" t="n"/>
      <c r="F215" s="276" t="n"/>
      <c r="G215" s="276" t="n"/>
      <c r="H215" s="276" t="n"/>
      <c r="I215" s="276" t="n"/>
      <c r="J215" s="276" t="n"/>
      <c r="K215" s="276" t="n"/>
      <c r="L215" s="276" t="n"/>
      <c r="M215" s="276" t="n"/>
      <c r="N215" s="276" t="n"/>
      <c r="O215" s="276" t="n"/>
      <c r="P215" s="276" t="n"/>
      <c r="Q215" s="276" t="n"/>
      <c r="R215" s="276" t="n"/>
      <c r="S215" s="276" t="n"/>
      <c r="T215" s="276" t="n"/>
      <c r="U215" s="276" t="n"/>
      <c r="V215" s="276" t="n"/>
      <c r="W215" s="276" t="n"/>
      <c r="X215" s="276" t="n"/>
      <c r="Y215" s="276" t="n"/>
      <c r="Z215" s="277" t="n"/>
    </row>
    <row r="216">
      <c r="A216" s="275" t="n"/>
      <c r="B216" s="276" t="n"/>
      <c r="C216" s="276" t="n"/>
      <c r="D216" s="276" t="n"/>
      <c r="E216" s="276" t="n"/>
      <c r="F216" s="276" t="n"/>
      <c r="G216" s="276" t="n"/>
      <c r="H216" s="276" t="n"/>
      <c r="I216" s="276" t="n"/>
      <c r="J216" s="276" t="n"/>
      <c r="K216" s="276" t="n"/>
      <c r="L216" s="276" t="n"/>
      <c r="M216" s="276" t="n"/>
      <c r="N216" s="276" t="n"/>
      <c r="O216" s="276" t="n"/>
      <c r="P216" s="276" t="n"/>
      <c r="Q216" s="276" t="n"/>
      <c r="R216" s="276" t="n"/>
      <c r="S216" s="276" t="n"/>
      <c r="T216" s="276" t="n"/>
      <c r="U216" s="276" t="n"/>
      <c r="V216" s="276" t="n"/>
      <c r="W216" s="276" t="n"/>
      <c r="X216" s="276" t="n"/>
      <c r="Y216" s="276" t="n"/>
      <c r="Z216" s="277" t="n"/>
    </row>
    <row r="217">
      <c r="A217" s="275" t="n"/>
      <c r="B217" s="276" t="n"/>
      <c r="C217" s="276" t="n"/>
      <c r="D217" s="276" t="n"/>
      <c r="E217" s="276" t="n"/>
      <c r="F217" s="276" t="n"/>
      <c r="G217" s="276" t="n"/>
      <c r="H217" s="276" t="n"/>
      <c r="I217" s="276" t="n"/>
      <c r="J217" s="276" t="n"/>
      <c r="K217" s="276" t="n"/>
      <c r="L217" s="276" t="n"/>
      <c r="M217" s="276" t="n"/>
      <c r="N217" s="276" t="n"/>
      <c r="O217" s="276" t="n"/>
      <c r="P217" s="276" t="n"/>
      <c r="Q217" s="276" t="n"/>
      <c r="R217" s="276" t="n"/>
      <c r="S217" s="276" t="n"/>
      <c r="T217" s="276" t="n"/>
      <c r="U217" s="276" t="n"/>
      <c r="V217" s="276" t="n"/>
      <c r="W217" s="276" t="n"/>
      <c r="X217" s="276" t="n"/>
      <c r="Y217" s="276" t="n"/>
      <c r="Z217" s="277" t="n"/>
    </row>
    <row r="218">
      <c r="A218" s="275" t="n"/>
      <c r="B218" s="276" t="n"/>
      <c r="C218" s="276" t="n"/>
      <c r="D218" s="276" t="n"/>
      <c r="E218" s="276" t="n"/>
      <c r="F218" s="276" t="n"/>
      <c r="G218" s="276" t="n"/>
      <c r="H218" s="276" t="n"/>
      <c r="I218" s="276" t="n"/>
      <c r="J218" s="276" t="n"/>
      <c r="K218" s="276" t="n"/>
      <c r="L218" s="276" t="n"/>
      <c r="M218" s="276" t="n"/>
      <c r="N218" s="276" t="n"/>
      <c r="O218" s="276" t="n"/>
      <c r="P218" s="276" t="n"/>
      <c r="Q218" s="276" t="n"/>
      <c r="R218" s="276" t="n"/>
      <c r="S218" s="276" t="n"/>
      <c r="T218" s="276" t="n"/>
      <c r="U218" s="276" t="n"/>
      <c r="V218" s="276" t="n"/>
      <c r="W218" s="276" t="n"/>
      <c r="X218" s="276" t="n"/>
      <c r="Y218" s="276" t="n"/>
      <c r="Z218" s="277" t="n"/>
    </row>
    <row r="219">
      <c r="A219" s="275" t="n"/>
      <c r="B219" s="276" t="n"/>
      <c r="C219" s="276" t="n"/>
      <c r="D219" s="276" t="n"/>
      <c r="E219" s="276" t="n"/>
      <c r="F219" s="276" t="n"/>
      <c r="G219" s="276" t="n"/>
      <c r="H219" s="276" t="n"/>
      <c r="I219" s="276" t="n"/>
      <c r="J219" s="276" t="n"/>
      <c r="K219" s="276" t="n"/>
      <c r="L219" s="276" t="n"/>
      <c r="M219" s="276" t="n"/>
      <c r="N219" s="276" t="n"/>
      <c r="O219" s="276" t="n"/>
      <c r="P219" s="276" t="n"/>
      <c r="Q219" s="276" t="n"/>
      <c r="R219" s="276" t="n"/>
      <c r="S219" s="276" t="n"/>
      <c r="T219" s="276" t="n"/>
      <c r="U219" s="276" t="n"/>
      <c r="V219" s="276" t="n"/>
      <c r="W219" s="276" t="n"/>
      <c r="X219" s="276" t="n"/>
      <c r="Y219" s="276" t="n"/>
      <c r="Z219" s="277" t="n"/>
    </row>
    <row r="220">
      <c r="A220" s="275" t="n"/>
      <c r="B220" s="276" t="n"/>
      <c r="C220" s="276" t="n"/>
      <c r="D220" s="276" t="n"/>
      <c r="E220" s="276" t="n"/>
      <c r="F220" s="276" t="n"/>
      <c r="G220" s="276" t="n"/>
      <c r="H220" s="276" t="n"/>
      <c r="I220" s="276" t="n"/>
      <c r="J220" s="276" t="n"/>
      <c r="K220" s="276" t="n"/>
      <c r="L220" s="276" t="n"/>
      <c r="M220" s="276" t="n"/>
      <c r="N220" s="276" t="n"/>
      <c r="O220" s="276" t="n"/>
      <c r="P220" s="276" t="n"/>
      <c r="Q220" s="276" t="n"/>
      <c r="R220" s="276" t="n"/>
      <c r="S220" s="276" t="n"/>
      <c r="T220" s="276" t="n"/>
      <c r="U220" s="276" t="n"/>
      <c r="V220" s="276" t="n"/>
      <c r="W220" s="276" t="n"/>
      <c r="X220" s="276" t="n"/>
      <c r="Y220" s="276" t="n"/>
      <c r="Z220" s="277" t="n"/>
    </row>
    <row r="221">
      <c r="A221" s="275" t="n"/>
      <c r="B221" s="276" t="n"/>
      <c r="C221" s="276" t="n"/>
      <c r="D221" s="276" t="n"/>
      <c r="E221" s="276" t="n"/>
      <c r="F221" s="276" t="n"/>
      <c r="G221" s="276" t="n"/>
      <c r="H221" s="276" t="n"/>
      <c r="I221" s="276" t="n"/>
      <c r="J221" s="276" t="n"/>
      <c r="K221" s="276" t="n"/>
      <c r="L221" s="276" t="n"/>
      <c r="M221" s="276" t="n"/>
      <c r="N221" s="276" t="n"/>
      <c r="O221" s="276" t="n"/>
      <c r="P221" s="276" t="n"/>
      <c r="Q221" s="276" t="n"/>
      <c r="R221" s="276" t="n"/>
      <c r="S221" s="276" t="n"/>
      <c r="T221" s="276" t="n"/>
      <c r="U221" s="276" t="n"/>
      <c r="V221" s="276" t="n"/>
      <c r="W221" s="276" t="n"/>
      <c r="X221" s="276" t="n"/>
      <c r="Y221" s="276" t="n"/>
      <c r="Z221" s="277" t="n"/>
    </row>
    <row r="222">
      <c r="A222" s="275" t="n"/>
      <c r="B222" s="276" t="n"/>
      <c r="C222" s="276" t="n"/>
      <c r="D222" s="276" t="n"/>
      <c r="E222" s="276" t="n"/>
      <c r="F222" s="276" t="n"/>
      <c r="G222" s="276" t="n"/>
      <c r="H222" s="276" t="n"/>
      <c r="I222" s="276" t="n"/>
      <c r="J222" s="276" t="n"/>
      <c r="K222" s="276" t="n"/>
      <c r="L222" s="276" t="n"/>
      <c r="M222" s="276" t="n"/>
      <c r="N222" s="276" t="n"/>
      <c r="O222" s="276" t="n"/>
      <c r="P222" s="276" t="n"/>
      <c r="Q222" s="276" t="n"/>
      <c r="R222" s="276" t="n"/>
      <c r="S222" s="276" t="n"/>
      <c r="T222" s="276" t="n"/>
      <c r="U222" s="276" t="n"/>
      <c r="V222" s="276" t="n"/>
      <c r="W222" s="276" t="n"/>
      <c r="X222" s="276" t="n"/>
      <c r="Y222" s="276" t="n"/>
      <c r="Z222" s="277" t="n"/>
    </row>
    <row r="223">
      <c r="A223" s="275" t="n"/>
      <c r="B223" s="276" t="n"/>
      <c r="C223" s="276" t="n"/>
      <c r="D223" s="276" t="n"/>
      <c r="E223" s="276" t="n"/>
      <c r="F223" s="276" t="n"/>
      <c r="G223" s="276" t="n"/>
      <c r="H223" s="276" t="n"/>
      <c r="I223" s="276" t="n"/>
      <c r="J223" s="276" t="n"/>
      <c r="K223" s="276" t="n"/>
      <c r="L223" s="276" t="n"/>
      <c r="M223" s="276" t="n"/>
      <c r="N223" s="276" t="n"/>
      <c r="O223" s="276" t="n"/>
      <c r="P223" s="276" t="n"/>
      <c r="Q223" s="276" t="n"/>
      <c r="R223" s="276" t="n"/>
      <c r="S223" s="276" t="n"/>
      <c r="T223" s="276" t="n"/>
      <c r="U223" s="276" t="n"/>
      <c r="V223" s="276" t="n"/>
      <c r="W223" s="276" t="n"/>
      <c r="X223" s="276" t="n"/>
      <c r="Y223" s="276" t="n"/>
      <c r="Z223" s="277" t="n"/>
    </row>
    <row r="224">
      <c r="A224" s="275" t="n"/>
      <c r="B224" s="276" t="n"/>
      <c r="C224" s="276" t="n"/>
      <c r="D224" s="276" t="n"/>
      <c r="E224" s="276" t="n"/>
      <c r="F224" s="276" t="n"/>
      <c r="G224" s="276" t="n"/>
      <c r="H224" s="276" t="n"/>
      <c r="I224" s="276" t="n"/>
      <c r="J224" s="276" t="n"/>
      <c r="K224" s="276" t="n"/>
      <c r="L224" s="276" t="n"/>
      <c r="M224" s="276" t="n"/>
      <c r="N224" s="276" t="n"/>
      <c r="O224" s="276" t="n"/>
      <c r="P224" s="276" t="n"/>
      <c r="Q224" s="276" t="n"/>
      <c r="R224" s="276" t="n"/>
      <c r="S224" s="276" t="n"/>
      <c r="T224" s="276" t="n"/>
      <c r="U224" s="276" t="n"/>
      <c r="V224" s="276" t="n"/>
      <c r="W224" s="276" t="n"/>
      <c r="X224" s="276" t="n"/>
      <c r="Y224" s="276" t="n"/>
      <c r="Z224" s="277" t="n"/>
    </row>
    <row r="225">
      <c r="A225" s="275" t="n"/>
      <c r="B225" s="276" t="n"/>
      <c r="C225" s="276" t="n"/>
      <c r="D225" s="276" t="n"/>
      <c r="E225" s="276" t="n"/>
      <c r="F225" s="276" t="n"/>
      <c r="G225" s="276" t="n"/>
      <c r="H225" s="276" t="n"/>
      <c r="I225" s="276" t="n"/>
      <c r="J225" s="276" t="n"/>
      <c r="K225" s="276" t="n"/>
      <c r="L225" s="276" t="n"/>
      <c r="M225" s="276" t="n"/>
      <c r="N225" s="276" t="n"/>
      <c r="O225" s="276" t="n"/>
      <c r="P225" s="276" t="n"/>
      <c r="Q225" s="276" t="n"/>
      <c r="R225" s="276" t="n"/>
      <c r="S225" s="276" t="n"/>
      <c r="T225" s="276" t="n"/>
      <c r="U225" s="276" t="n"/>
      <c r="V225" s="276" t="n"/>
      <c r="W225" s="276" t="n"/>
      <c r="X225" s="276" t="n"/>
      <c r="Y225" s="276" t="n"/>
      <c r="Z225" s="277" t="n"/>
    </row>
    <row r="226">
      <c r="A226" s="275" t="n"/>
      <c r="B226" s="276" t="n"/>
      <c r="C226" s="276" t="n"/>
      <c r="D226" s="276" t="n"/>
      <c r="E226" s="276" t="n"/>
      <c r="F226" s="276" t="n"/>
      <c r="G226" s="276" t="n"/>
      <c r="H226" s="276" t="n"/>
      <c r="I226" s="276" t="n"/>
      <c r="J226" s="276" t="n"/>
      <c r="K226" s="276" t="n"/>
      <c r="L226" s="276" t="n"/>
      <c r="M226" s="276" t="n"/>
      <c r="N226" s="276" t="n"/>
      <c r="O226" s="276" t="n"/>
      <c r="P226" s="276" t="n"/>
      <c r="Q226" s="276" t="n"/>
      <c r="R226" s="276" t="n"/>
      <c r="S226" s="276" t="n"/>
      <c r="T226" s="276" t="n"/>
      <c r="U226" s="276" t="n"/>
      <c r="V226" s="276" t="n"/>
      <c r="W226" s="276" t="n"/>
      <c r="X226" s="276" t="n"/>
      <c r="Y226" s="276" t="n"/>
      <c r="Z226" s="277" t="n"/>
    </row>
    <row r="227">
      <c r="A227" s="275" t="n"/>
      <c r="B227" s="276" t="n"/>
      <c r="C227" s="276" t="n"/>
      <c r="D227" s="276" t="n"/>
      <c r="E227" s="276" t="n"/>
      <c r="F227" s="276" t="n"/>
      <c r="G227" s="276" t="n"/>
      <c r="H227" s="276" t="n"/>
      <c r="I227" s="276" t="n"/>
      <c r="J227" s="276" t="n"/>
      <c r="K227" s="276" t="n"/>
      <c r="L227" s="276" t="n"/>
      <c r="M227" s="276" t="n"/>
      <c r="N227" s="276" t="n"/>
      <c r="O227" s="276" t="n"/>
      <c r="P227" s="276" t="n"/>
      <c r="Q227" s="276" t="n"/>
      <c r="R227" s="276" t="n"/>
      <c r="S227" s="276" t="n"/>
      <c r="T227" s="276" t="n"/>
      <c r="U227" s="276" t="n"/>
      <c r="V227" s="276" t="n"/>
      <c r="W227" s="276" t="n"/>
      <c r="X227" s="276" t="n"/>
      <c r="Y227" s="276" t="n"/>
      <c r="Z227" s="277" t="n"/>
    </row>
    <row r="228">
      <c r="A228" s="275" t="n"/>
      <c r="B228" s="276" t="n"/>
      <c r="C228" s="276" t="n"/>
      <c r="D228" s="276" t="n"/>
      <c r="E228" s="276" t="n"/>
      <c r="F228" s="276" t="n"/>
      <c r="G228" s="276" t="n"/>
      <c r="H228" s="276" t="n"/>
      <c r="I228" s="276" t="n"/>
      <c r="J228" s="276" t="n"/>
      <c r="K228" s="276" t="n"/>
      <c r="L228" s="276" t="n"/>
      <c r="M228" s="276" t="n"/>
      <c r="N228" s="276" t="n"/>
      <c r="O228" s="276" t="n"/>
      <c r="P228" s="276" t="n"/>
      <c r="Q228" s="276" t="n"/>
      <c r="R228" s="276" t="n"/>
      <c r="S228" s="276" t="n"/>
      <c r="T228" s="276" t="n"/>
      <c r="U228" s="276" t="n"/>
      <c r="V228" s="276" t="n"/>
      <c r="W228" s="276" t="n"/>
      <c r="X228" s="276" t="n"/>
      <c r="Y228" s="276" t="n"/>
      <c r="Z228" s="277" t="n"/>
    </row>
    <row r="229">
      <c r="A229" s="275" t="n"/>
      <c r="B229" s="276" t="n"/>
      <c r="C229" s="276" t="n"/>
      <c r="D229" s="276" t="n"/>
      <c r="E229" s="276" t="n"/>
      <c r="F229" s="276" t="n"/>
      <c r="G229" s="276" t="n"/>
      <c r="H229" s="276" t="n"/>
      <c r="I229" s="276" t="n"/>
      <c r="J229" s="276" t="n"/>
      <c r="K229" s="276" t="n"/>
      <c r="L229" s="276" t="n"/>
      <c r="M229" s="276" t="n"/>
      <c r="N229" s="276" t="n"/>
      <c r="O229" s="276" t="n"/>
      <c r="P229" s="276" t="n"/>
      <c r="Q229" s="276" t="n"/>
      <c r="R229" s="276" t="n"/>
      <c r="S229" s="276" t="n"/>
      <c r="T229" s="276" t="n"/>
      <c r="U229" s="276" t="n"/>
      <c r="V229" s="276" t="n"/>
      <c r="W229" s="276" t="n"/>
      <c r="X229" s="276" t="n"/>
      <c r="Y229" s="276" t="n"/>
      <c r="Z229" s="277" t="n"/>
    </row>
    <row r="230">
      <c r="A230" s="275" t="n"/>
      <c r="B230" s="276" t="n"/>
      <c r="C230" s="276" t="n"/>
      <c r="D230" s="276" t="n"/>
      <c r="E230" s="276" t="n"/>
      <c r="F230" s="276" t="n"/>
      <c r="G230" s="276" t="n"/>
      <c r="H230" s="276" t="n"/>
      <c r="I230" s="276" t="n"/>
      <c r="J230" s="276" t="n"/>
      <c r="K230" s="276" t="n"/>
      <c r="L230" s="276" t="n"/>
      <c r="M230" s="276" t="n"/>
      <c r="N230" s="276" t="n"/>
      <c r="O230" s="276" t="n"/>
      <c r="P230" s="276" t="n"/>
      <c r="Q230" s="276" t="n"/>
      <c r="R230" s="276" t="n"/>
      <c r="S230" s="276" t="n"/>
      <c r="T230" s="276" t="n"/>
      <c r="U230" s="276" t="n"/>
      <c r="V230" s="276" t="n"/>
      <c r="W230" s="276" t="n"/>
      <c r="X230" s="276" t="n"/>
      <c r="Y230" s="276" t="n"/>
      <c r="Z230" s="277" t="n"/>
    </row>
    <row r="231">
      <c r="A231" s="275" t="n"/>
      <c r="B231" s="276" t="n"/>
      <c r="C231" s="276" t="n"/>
      <c r="D231" s="276" t="n"/>
      <c r="E231" s="276" t="n"/>
      <c r="F231" s="276" t="n"/>
      <c r="G231" s="276" t="n"/>
      <c r="H231" s="276" t="n"/>
      <c r="I231" s="276" t="n"/>
      <c r="J231" s="276" t="n"/>
      <c r="K231" s="276" t="n"/>
      <c r="L231" s="276" t="n"/>
      <c r="M231" s="276" t="n"/>
      <c r="N231" s="276" t="n"/>
      <c r="O231" s="276" t="n"/>
      <c r="P231" s="276" t="n"/>
      <c r="Q231" s="276" t="n"/>
      <c r="R231" s="276" t="n"/>
      <c r="S231" s="276" t="n"/>
      <c r="T231" s="276" t="n"/>
      <c r="U231" s="276" t="n"/>
      <c r="V231" s="276" t="n"/>
      <c r="W231" s="276" t="n"/>
      <c r="X231" s="276" t="n"/>
      <c r="Y231" s="276" t="n"/>
      <c r="Z231" s="277" t="n"/>
    </row>
    <row r="232">
      <c r="A232" s="275" t="n"/>
      <c r="B232" s="276" t="n"/>
      <c r="C232" s="276" t="n"/>
      <c r="D232" s="276" t="n"/>
      <c r="E232" s="276" t="n"/>
      <c r="F232" s="276" t="n"/>
      <c r="G232" s="276" t="n"/>
      <c r="H232" s="276" t="n"/>
      <c r="I232" s="276" t="n"/>
      <c r="J232" s="276" t="n"/>
      <c r="K232" s="276" t="n"/>
      <c r="L232" s="276" t="n"/>
      <c r="M232" s="276" t="n"/>
      <c r="N232" s="276" t="n"/>
      <c r="O232" s="276" t="n"/>
      <c r="P232" s="276" t="n"/>
      <c r="Q232" s="276" t="n"/>
      <c r="R232" s="276" t="n"/>
      <c r="S232" s="276" t="n"/>
      <c r="T232" s="276" t="n"/>
      <c r="U232" s="276" t="n"/>
      <c r="V232" s="276" t="n"/>
      <c r="W232" s="276" t="n"/>
      <c r="X232" s="276" t="n"/>
      <c r="Y232" s="276" t="n"/>
      <c r="Z232" s="277" t="n"/>
    </row>
    <row r="233">
      <c r="A233" s="275" t="n"/>
      <c r="B233" s="276" t="n"/>
      <c r="C233" s="276" t="n"/>
      <c r="D233" s="276" t="n"/>
      <c r="E233" s="276" t="n"/>
      <c r="F233" s="276" t="n"/>
      <c r="G233" s="276" t="n"/>
      <c r="H233" s="276" t="n"/>
      <c r="I233" s="276" t="n"/>
      <c r="J233" s="276" t="n"/>
      <c r="K233" s="276" t="n"/>
      <c r="L233" s="276" t="n"/>
      <c r="M233" s="276" t="n"/>
      <c r="N233" s="276" t="n"/>
      <c r="O233" s="276" t="n"/>
      <c r="P233" s="276" t="n"/>
      <c r="Q233" s="276" t="n"/>
      <c r="R233" s="276" t="n"/>
      <c r="S233" s="276" t="n"/>
      <c r="T233" s="276" t="n"/>
      <c r="U233" s="276" t="n"/>
      <c r="V233" s="276" t="n"/>
      <c r="W233" s="276" t="n"/>
      <c r="X233" s="276" t="n"/>
      <c r="Y233" s="276" t="n"/>
      <c r="Z233" s="277" t="n"/>
    </row>
    <row r="234">
      <c r="A234" s="275" t="n"/>
      <c r="B234" s="276" t="n"/>
      <c r="C234" s="276" t="n"/>
      <c r="D234" s="276" t="n"/>
      <c r="E234" s="276" t="n"/>
      <c r="F234" s="276" t="n"/>
      <c r="G234" s="276" t="n"/>
      <c r="H234" s="276" t="n"/>
      <c r="I234" s="276" t="n"/>
      <c r="J234" s="276" t="n"/>
      <c r="K234" s="276" t="n"/>
      <c r="L234" s="276" t="n"/>
      <c r="M234" s="276" t="n"/>
      <c r="N234" s="276" t="n"/>
      <c r="O234" s="276" t="n"/>
      <c r="P234" s="276" t="n"/>
      <c r="Q234" s="276" t="n"/>
      <c r="R234" s="276" t="n"/>
      <c r="S234" s="276" t="n"/>
      <c r="T234" s="276" t="n"/>
      <c r="U234" s="276" t="n"/>
      <c r="V234" s="276" t="n"/>
      <c r="W234" s="276" t="n"/>
      <c r="X234" s="276" t="n"/>
      <c r="Y234" s="276" t="n"/>
      <c r="Z234" s="277" t="n"/>
    </row>
    <row r="235">
      <c r="A235" s="275" t="n"/>
      <c r="B235" s="276" t="n"/>
      <c r="C235" s="276" t="n"/>
      <c r="D235" s="276" t="n"/>
      <c r="E235" s="276" t="n"/>
      <c r="F235" s="276" t="n"/>
      <c r="G235" s="276" t="n"/>
      <c r="H235" s="276" t="n"/>
      <c r="I235" s="276" t="n"/>
      <c r="J235" s="276" t="n"/>
      <c r="K235" s="276" t="n"/>
      <c r="L235" s="276" t="n"/>
      <c r="M235" s="276" t="n"/>
      <c r="N235" s="276" t="n"/>
      <c r="O235" s="276" t="n"/>
      <c r="P235" s="276" t="n"/>
      <c r="Q235" s="276" t="n"/>
      <c r="R235" s="276" t="n"/>
      <c r="S235" s="276" t="n"/>
      <c r="T235" s="276" t="n"/>
      <c r="U235" s="276" t="n"/>
      <c r="V235" s="276" t="n"/>
      <c r="W235" s="276" t="n"/>
      <c r="X235" s="276" t="n"/>
      <c r="Y235" s="276" t="n"/>
      <c r="Z235" s="277" t="n"/>
    </row>
    <row r="236">
      <c r="A236" s="275" t="n"/>
      <c r="B236" s="276" t="n"/>
      <c r="C236" s="276" t="n"/>
      <c r="D236" s="276" t="n"/>
      <c r="E236" s="276" t="n"/>
      <c r="F236" s="276" t="n"/>
      <c r="G236" s="276" t="n"/>
      <c r="H236" s="276" t="n"/>
      <c r="I236" s="276" t="n"/>
      <c r="J236" s="276" t="n"/>
      <c r="K236" s="276" t="n"/>
      <c r="L236" s="276" t="n"/>
      <c r="M236" s="276" t="n"/>
      <c r="N236" s="276" t="n"/>
      <c r="O236" s="276" t="n"/>
      <c r="P236" s="276" t="n"/>
      <c r="Q236" s="276" t="n"/>
      <c r="R236" s="276" t="n"/>
      <c r="S236" s="276" t="n"/>
      <c r="T236" s="276" t="n"/>
      <c r="U236" s="276" t="n"/>
      <c r="V236" s="276" t="n"/>
      <c r="W236" s="276" t="n"/>
      <c r="X236" s="276" t="n"/>
      <c r="Y236" s="276" t="n"/>
      <c r="Z236" s="277" t="n"/>
    </row>
    <row r="237">
      <c r="A237" s="275" t="n"/>
      <c r="B237" s="276" t="n"/>
      <c r="C237" s="276" t="n"/>
      <c r="D237" s="276" t="n"/>
      <c r="E237" s="276" t="n"/>
      <c r="F237" s="276" t="n"/>
      <c r="G237" s="276" t="n"/>
      <c r="H237" s="276" t="n"/>
      <c r="I237" s="276" t="n"/>
      <c r="J237" s="276" t="n"/>
      <c r="K237" s="276" t="n"/>
      <c r="L237" s="276" t="n"/>
      <c r="M237" s="276" t="n"/>
      <c r="N237" s="276" t="n"/>
      <c r="O237" s="276" t="n"/>
      <c r="P237" s="276" t="n"/>
      <c r="Q237" s="276" t="n"/>
      <c r="R237" s="276" t="n"/>
      <c r="S237" s="276" t="n"/>
      <c r="T237" s="276" t="n"/>
      <c r="U237" s="276" t="n"/>
      <c r="V237" s="276" t="n"/>
      <c r="W237" s="276" t="n"/>
      <c r="X237" s="276" t="n"/>
      <c r="Y237" s="276" t="n"/>
      <c r="Z237" s="277" t="n"/>
    </row>
    <row r="238">
      <c r="A238" s="275" t="n"/>
      <c r="B238" s="276" t="n"/>
      <c r="C238" s="276" t="n"/>
      <c r="D238" s="276" t="n"/>
      <c r="E238" s="276" t="n"/>
      <c r="F238" s="276" t="n"/>
      <c r="G238" s="276" t="n"/>
      <c r="H238" s="276" t="n"/>
      <c r="I238" s="276" t="n"/>
      <c r="J238" s="276" t="n"/>
      <c r="K238" s="276" t="n"/>
      <c r="L238" s="276" t="n"/>
      <c r="M238" s="276" t="n"/>
      <c r="N238" s="276" t="n"/>
      <c r="O238" s="276" t="n"/>
      <c r="P238" s="276" t="n"/>
      <c r="Q238" s="276" t="n"/>
      <c r="R238" s="276" t="n"/>
      <c r="S238" s="276" t="n"/>
      <c r="T238" s="276" t="n"/>
      <c r="U238" s="276" t="n"/>
      <c r="V238" s="276" t="n"/>
      <c r="W238" s="276" t="n"/>
      <c r="X238" s="276" t="n"/>
      <c r="Y238" s="276" t="n"/>
      <c r="Z238" s="277" t="n"/>
    </row>
    <row r="239">
      <c r="A239" s="275" t="n"/>
      <c r="B239" s="276" t="n"/>
      <c r="C239" s="276" t="n"/>
      <c r="D239" s="276" t="n"/>
      <c r="E239" s="276" t="n"/>
      <c r="F239" s="276" t="n"/>
      <c r="G239" s="276" t="n"/>
      <c r="H239" s="276" t="n"/>
      <c r="I239" s="276" t="n"/>
      <c r="J239" s="276" t="n"/>
      <c r="K239" s="276" t="n"/>
      <c r="L239" s="276" t="n"/>
      <c r="M239" s="276" t="n"/>
      <c r="N239" s="276" t="n"/>
      <c r="O239" s="276" t="n"/>
      <c r="P239" s="276" t="n"/>
      <c r="Q239" s="276" t="n"/>
      <c r="R239" s="276" t="n"/>
      <c r="S239" s="276" t="n"/>
      <c r="T239" s="276" t="n"/>
      <c r="U239" s="276" t="n"/>
      <c r="V239" s="276" t="n"/>
      <c r="W239" s="276" t="n"/>
      <c r="X239" s="276" t="n"/>
      <c r="Y239" s="276" t="n"/>
      <c r="Z239" s="277" t="n"/>
    </row>
    <row r="240">
      <c r="A240" s="275" t="n"/>
      <c r="B240" s="276" t="n"/>
      <c r="C240" s="276" t="n"/>
      <c r="D240" s="276" t="n"/>
      <c r="E240" s="276" t="n"/>
      <c r="F240" s="276" t="n"/>
      <c r="G240" s="276" t="n"/>
      <c r="H240" s="276" t="n"/>
      <c r="I240" s="276" t="n"/>
      <c r="J240" s="276" t="n"/>
      <c r="K240" s="276" t="n"/>
      <c r="L240" s="276" t="n"/>
      <c r="M240" s="276" t="n"/>
      <c r="N240" s="276" t="n"/>
      <c r="O240" s="276" t="n"/>
      <c r="P240" s="276" t="n"/>
      <c r="Q240" s="276" t="n"/>
      <c r="R240" s="276" t="n"/>
      <c r="S240" s="276" t="n"/>
      <c r="T240" s="276" t="n"/>
      <c r="U240" s="276" t="n"/>
      <c r="V240" s="276" t="n"/>
      <c r="W240" s="276" t="n"/>
      <c r="X240" s="276" t="n"/>
      <c r="Y240" s="276" t="n"/>
      <c r="Z240" s="277" t="n"/>
    </row>
    <row r="241">
      <c r="A241" s="275" t="n"/>
      <c r="B241" s="276" t="n"/>
      <c r="C241" s="276" t="n"/>
      <c r="D241" s="276" t="n"/>
      <c r="E241" s="276" t="n"/>
      <c r="F241" s="276" t="n"/>
      <c r="G241" s="276" t="n"/>
      <c r="H241" s="276" t="n"/>
      <c r="I241" s="276" t="n"/>
      <c r="J241" s="276" t="n"/>
      <c r="K241" s="276" t="n"/>
      <c r="L241" s="276" t="n"/>
      <c r="M241" s="276" t="n"/>
      <c r="N241" s="276" t="n"/>
      <c r="O241" s="276" t="n"/>
      <c r="P241" s="276" t="n"/>
      <c r="Q241" s="276" t="n"/>
      <c r="R241" s="276" t="n"/>
      <c r="S241" s="276" t="n"/>
      <c r="T241" s="276" t="n"/>
      <c r="U241" s="276" t="n"/>
      <c r="V241" s="276" t="n"/>
      <c r="W241" s="276" t="n"/>
      <c r="X241" s="276" t="n"/>
      <c r="Y241" s="276" t="n"/>
      <c r="Z241" s="277" t="n"/>
    </row>
    <row r="242">
      <c r="A242" s="275" t="n"/>
      <c r="B242" s="276" t="n"/>
      <c r="C242" s="276" t="n"/>
      <c r="D242" s="276" t="n"/>
      <c r="E242" s="276" t="n"/>
      <c r="F242" s="276" t="n"/>
      <c r="G242" s="276" t="n"/>
      <c r="H242" s="276" t="n"/>
      <c r="I242" s="276" t="n"/>
      <c r="J242" s="276" t="n"/>
      <c r="K242" s="276" t="n"/>
      <c r="L242" s="276" t="n"/>
      <c r="M242" s="276" t="n"/>
      <c r="N242" s="276" t="n"/>
      <c r="O242" s="276" t="n"/>
      <c r="P242" s="276" t="n"/>
      <c r="Q242" s="276" t="n"/>
      <c r="R242" s="276" t="n"/>
      <c r="S242" s="276" t="n"/>
      <c r="T242" s="276" t="n"/>
      <c r="U242" s="276" t="n"/>
      <c r="V242" s="276" t="n"/>
      <c r="W242" s="276" t="n"/>
      <c r="X242" s="276" t="n"/>
      <c r="Y242" s="276" t="n"/>
      <c r="Z242" s="277" t="n"/>
    </row>
    <row r="243">
      <c r="A243" s="275" t="n"/>
      <c r="B243" s="276" t="n"/>
      <c r="C243" s="276" t="n"/>
      <c r="D243" s="276" t="n"/>
      <c r="E243" s="276" t="n"/>
      <c r="F243" s="276" t="n"/>
      <c r="G243" s="276" t="n"/>
      <c r="H243" s="276" t="n"/>
      <c r="I243" s="276" t="n"/>
      <c r="J243" s="276" t="n"/>
      <c r="K243" s="276" t="n"/>
      <c r="L243" s="276" t="n"/>
      <c r="M243" s="276" t="n"/>
      <c r="N243" s="276" t="n"/>
      <c r="O243" s="276" t="n"/>
      <c r="P243" s="276" t="n"/>
      <c r="Q243" s="276" t="n"/>
      <c r="R243" s="276" t="n"/>
      <c r="S243" s="276" t="n"/>
      <c r="T243" s="276" t="n"/>
      <c r="U243" s="276" t="n"/>
      <c r="V243" s="276" t="n"/>
      <c r="W243" s="276" t="n"/>
      <c r="X243" s="276" t="n"/>
      <c r="Y243" s="276" t="n"/>
      <c r="Z243" s="277" t="n"/>
    </row>
    <row r="244">
      <c r="A244" s="275" t="n"/>
      <c r="B244" s="276" t="n"/>
      <c r="C244" s="276" t="n"/>
      <c r="D244" s="276" t="n"/>
      <c r="E244" s="276" t="n"/>
      <c r="F244" s="276" t="n"/>
      <c r="G244" s="276" t="n"/>
      <c r="H244" s="276" t="n"/>
      <c r="I244" s="276" t="n"/>
      <c r="J244" s="276" t="n"/>
      <c r="K244" s="276" t="n"/>
      <c r="L244" s="276" t="n"/>
      <c r="M244" s="276" t="n"/>
      <c r="N244" s="276" t="n"/>
      <c r="O244" s="276" t="n"/>
      <c r="P244" s="276" t="n"/>
      <c r="Q244" s="276" t="n"/>
      <c r="R244" s="276" t="n"/>
      <c r="S244" s="276" t="n"/>
      <c r="T244" s="276" t="n"/>
      <c r="U244" s="276" t="n"/>
      <c r="V244" s="276" t="n"/>
      <c r="W244" s="276" t="n"/>
      <c r="X244" s="276" t="n"/>
      <c r="Y244" s="276" t="n"/>
      <c r="Z244" s="277" t="n"/>
    </row>
    <row r="245">
      <c r="A245" s="275" t="n"/>
      <c r="B245" s="276" t="n"/>
      <c r="C245" s="276" t="n"/>
      <c r="D245" s="276" t="n"/>
      <c r="E245" s="276" t="n"/>
      <c r="F245" s="276" t="n"/>
      <c r="G245" s="276" t="n"/>
      <c r="H245" s="276" t="n"/>
      <c r="I245" s="276" t="n"/>
      <c r="J245" s="276" t="n"/>
      <c r="K245" s="276" t="n"/>
      <c r="L245" s="276" t="n"/>
      <c r="M245" s="276" t="n"/>
      <c r="N245" s="276" t="n"/>
      <c r="O245" s="276" t="n"/>
      <c r="P245" s="276" t="n"/>
      <c r="Q245" s="276" t="n"/>
      <c r="R245" s="276" t="n"/>
      <c r="S245" s="276" t="n"/>
      <c r="T245" s="276" t="n"/>
      <c r="U245" s="276" t="n"/>
      <c r="V245" s="276" t="n"/>
      <c r="W245" s="276" t="n"/>
      <c r="X245" s="276" t="n"/>
      <c r="Y245" s="276" t="n"/>
      <c r="Z245" s="277" t="n"/>
    </row>
    <row r="246">
      <c r="A246" s="275" t="n"/>
      <c r="B246" s="276" t="n"/>
      <c r="C246" s="276" t="n"/>
      <c r="D246" s="276" t="n"/>
      <c r="E246" s="276" t="n"/>
      <c r="F246" s="276" t="n"/>
      <c r="G246" s="276" t="n"/>
      <c r="H246" s="276" t="n"/>
      <c r="I246" s="276" t="n"/>
      <c r="J246" s="276" t="n"/>
      <c r="K246" s="276" t="n"/>
      <c r="L246" s="276" t="n"/>
      <c r="M246" s="276" t="n"/>
      <c r="N246" s="276" t="n"/>
      <c r="O246" s="276" t="n"/>
      <c r="P246" s="276" t="n"/>
      <c r="Q246" s="276" t="n"/>
      <c r="R246" s="276" t="n"/>
      <c r="S246" s="276" t="n"/>
      <c r="T246" s="276" t="n"/>
      <c r="U246" s="276" t="n"/>
      <c r="V246" s="276" t="n"/>
      <c r="W246" s="276" t="n"/>
      <c r="X246" s="276" t="n"/>
      <c r="Y246" s="276" t="n"/>
      <c r="Z246" s="277" t="n"/>
    </row>
    <row r="247">
      <c r="A247" s="275" t="n"/>
      <c r="B247" s="276" t="n"/>
      <c r="C247" s="276" t="n"/>
      <c r="D247" s="276" t="n"/>
      <c r="E247" s="276" t="n"/>
      <c r="F247" s="276" t="n"/>
      <c r="G247" s="276" t="n"/>
      <c r="H247" s="276" t="n"/>
      <c r="I247" s="276" t="n"/>
      <c r="J247" s="276" t="n"/>
      <c r="K247" s="276" t="n"/>
      <c r="L247" s="276" t="n"/>
      <c r="M247" s="276" t="n"/>
      <c r="N247" s="276" t="n"/>
      <c r="O247" s="276" t="n"/>
      <c r="P247" s="276" t="n"/>
      <c r="Q247" s="276" t="n"/>
      <c r="R247" s="276" t="n"/>
      <c r="S247" s="276" t="n"/>
      <c r="T247" s="276" t="n"/>
      <c r="U247" s="276" t="n"/>
      <c r="V247" s="276" t="n"/>
      <c r="W247" s="276" t="n"/>
      <c r="X247" s="276" t="n"/>
      <c r="Y247" s="276" t="n"/>
      <c r="Z247" s="277" t="n"/>
    </row>
    <row r="248">
      <c r="A248" s="275" t="n"/>
      <c r="B248" s="276" t="n"/>
      <c r="C248" s="276" t="n"/>
      <c r="D248" s="276" t="n"/>
      <c r="E248" s="276" t="n"/>
      <c r="F248" s="276" t="n"/>
      <c r="G248" s="276" t="n"/>
      <c r="H248" s="276" t="n"/>
      <c r="I248" s="276" t="n"/>
      <c r="J248" s="276" t="n"/>
      <c r="K248" s="276" t="n"/>
      <c r="L248" s="276" t="n"/>
      <c r="M248" s="276" t="n"/>
      <c r="N248" s="276" t="n"/>
      <c r="O248" s="276" t="n"/>
      <c r="P248" s="276" t="n"/>
      <c r="Q248" s="276" t="n"/>
      <c r="R248" s="276" t="n"/>
      <c r="S248" s="276" t="n"/>
      <c r="T248" s="276" t="n"/>
      <c r="U248" s="276" t="n"/>
      <c r="V248" s="276" t="n"/>
      <c r="W248" s="276" t="n"/>
      <c r="X248" s="276" t="n"/>
      <c r="Y248" s="276" t="n"/>
      <c r="Z248" s="277" t="n"/>
    </row>
    <row r="249">
      <c r="A249" s="275" t="n"/>
      <c r="B249" s="276" t="n"/>
      <c r="C249" s="276" t="n"/>
      <c r="D249" s="276" t="n"/>
      <c r="E249" s="276" t="n"/>
      <c r="F249" s="276" t="n"/>
      <c r="G249" s="276" t="n"/>
      <c r="H249" s="276" t="n"/>
      <c r="I249" s="276" t="n"/>
      <c r="J249" s="276" t="n"/>
      <c r="K249" s="276" t="n"/>
      <c r="L249" s="276" t="n"/>
      <c r="M249" s="276" t="n"/>
      <c r="N249" s="276" t="n"/>
      <c r="O249" s="276" t="n"/>
      <c r="P249" s="276" t="n"/>
      <c r="Q249" s="276" t="n"/>
      <c r="R249" s="276" t="n"/>
      <c r="S249" s="276" t="n"/>
      <c r="T249" s="276" t="n"/>
      <c r="U249" s="276" t="n"/>
      <c r="V249" s="276" t="n"/>
      <c r="W249" s="276" t="n"/>
      <c r="X249" s="276" t="n"/>
      <c r="Y249" s="276" t="n"/>
      <c r="Z249" s="277" t="n"/>
    </row>
    <row r="250">
      <c r="A250" s="278" t="n"/>
      <c r="B250" s="279" t="n"/>
      <c r="C250" s="279" t="n"/>
      <c r="D250" s="279" t="n"/>
      <c r="E250" s="279" t="n"/>
      <c r="F250" s="279" t="n"/>
      <c r="G250" s="279" t="n"/>
      <c r="H250" s="279" t="n"/>
      <c r="I250" s="279" t="n"/>
      <c r="J250" s="279" t="n"/>
      <c r="K250" s="279" t="n"/>
      <c r="L250" s="279" t="n"/>
      <c r="M250" s="279" t="n"/>
      <c r="N250" s="279" t="n"/>
      <c r="O250" s="279" t="n"/>
      <c r="P250" s="279" t="n"/>
      <c r="Q250" s="279" t="n"/>
      <c r="R250" s="279" t="n"/>
      <c r="S250" s="279" t="n"/>
      <c r="T250" s="279" t="n"/>
      <c r="U250" s="279" t="n"/>
      <c r="V250" s="279" t="n"/>
      <c r="W250" s="279" t="n"/>
      <c r="X250" s="279" t="n"/>
      <c r="Y250" s="279" t="n"/>
      <c r="Z250" s="280" t="n"/>
    </row>
  </sheetData>
  <mergeCells count="3">
    <mergeCell ref="A2:L2"/>
    <mergeCell ref="A1:L1"/>
    <mergeCell ref="A5:L5"/>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P250"/>
  <sheetViews>
    <sheetView showGridLines="0" workbookViewId="0">
      <selection activeCell="A1" sqref="A1"/>
    </sheetView>
  </sheetViews>
  <sheetFormatPr baseColWidth="8" defaultRowHeight="15"/>
  <sheetData>
    <row r="1" ht="27" customHeight="1" s="242">
      <c r="A1" s="390" t="inlineStr">
        <is>
          <t>12 — Threat and Successful-Event Frequency</t>
        </is>
      </c>
    </row>
    <row r="2" ht="34" customHeight="1" s="242">
      <c r="A2" s="247" t="inlineStr">
        <is>
          <t>Campaign-rate allocation and successful-event frequency by actor, scenario and route.</t>
        </is>
      </c>
    </row>
    <row r="5">
      <c r="A5" s="333" t="inlineStr">
        <is>
          <t>ENGINE OUTPUT — do not edit. Run the Python engine after changing inputs or sector packs.</t>
        </is>
      </c>
    </row>
    <row r="15">
      <c r="A15" s="235" t="inlineStr">
        <is>
          <t>Threat actor</t>
        </is>
      </c>
      <c r="B15" s="236" t="inlineStr">
        <is>
          <t>Scenario</t>
        </is>
      </c>
      <c r="C15" s="236" t="inlineStr">
        <is>
          <t>Route</t>
        </is>
      </c>
      <c r="D15" s="236" t="inlineStr">
        <is>
          <t>Attempts / yr</t>
        </is>
      </c>
      <c r="E15" s="236" t="inlineStr">
        <is>
          <t>P(success)</t>
        </is>
      </c>
      <c r="F15" s="236" t="inlineStr">
        <is>
          <t>Events / yr</t>
        </is>
      </c>
      <c r="G15" s="236" t="inlineStr">
        <is>
          <t>P50 loss</t>
        </is>
      </c>
      <c r="H15" s="236" t="inlineStr">
        <is>
          <t>P99 loss</t>
        </is>
      </c>
      <c r="I15" s="236" t="inlineStr">
        <is>
          <t>Expected event loss</t>
        </is>
      </c>
      <c r="J15" s="236" t="inlineStr">
        <is>
          <t>AAL</t>
        </is>
      </c>
      <c r="K15" s="236" t="inlineStr">
        <is>
          <t>Exposure model</t>
        </is>
      </c>
      <c r="L15" s="273" t="n"/>
      <c r="M15" s="273" t="n"/>
      <c r="N15" s="273" t="n"/>
      <c r="O15" s="273" t="n"/>
      <c r="P15" s="274" t="n"/>
    </row>
    <row r="16">
      <c r="A16" s="275" t="inlineStr">
        <is>
          <t>Nation-state</t>
        </is>
      </c>
      <c r="B16" s="276" t="inlineStr">
        <is>
          <t>Critical business-service disruption</t>
        </is>
      </c>
      <c r="C16" s="276" t="inlineStr">
        <is>
          <t>Identity and credential compromise</t>
        </is>
      </c>
      <c r="D16" s="276" t="n">
        <v>0.006320224719101123</v>
      </c>
      <c r="E16" s="276" t="n">
        <v>0.05898750000000001</v>
      </c>
      <c r="F16" s="276" t="n">
        <v>0.0003728142556179776</v>
      </c>
      <c r="G16" s="276" t="n">
        <v>4420753.424657534</v>
      </c>
      <c r="H16" s="276" t="n">
        <v>90133013.69863012</v>
      </c>
      <c r="I16" s="276" t="n">
        <v>10186141.8209453</v>
      </c>
      <c r="J16" s="276" t="n">
        <v>3797.538880594872</v>
      </c>
      <c r="K16" s="276" t="inlineStr">
        <is>
          <t>No</t>
        </is>
      </c>
      <c r="L16" s="276" t="n"/>
      <c r="M16" s="276" t="n"/>
      <c r="N16" s="276" t="n"/>
      <c r="O16" s="276" t="n"/>
      <c r="P16" s="277" t="n"/>
    </row>
    <row r="17">
      <c r="A17" s="275" t="inlineStr">
        <is>
          <t>Nation-state</t>
        </is>
      </c>
      <c r="B17" s="276" t="inlineStr">
        <is>
          <t>Critical business-service disruption</t>
        </is>
      </c>
      <c r="C17" s="276" t="inlineStr">
        <is>
          <t>User endpoint and social engineering</t>
        </is>
      </c>
      <c r="D17" s="276" t="n">
        <v>0.005561797752808989</v>
      </c>
      <c r="E17" s="276" t="n">
        <v>0.025515</v>
      </c>
      <c r="F17" s="276" t="n">
        <v>0.0001419092696629213</v>
      </c>
      <c r="G17" s="276" t="n">
        <v>4420753.424657534</v>
      </c>
      <c r="H17" s="276" t="n">
        <v>90133013.69863012</v>
      </c>
      <c r="I17" s="276" t="n">
        <v>10186141.8209453</v>
      </c>
      <c r="J17" s="276" t="n">
        <v>1445.507946493287</v>
      </c>
      <c r="K17" s="276" t="inlineStr">
        <is>
          <t>No</t>
        </is>
      </c>
      <c r="L17" s="276" t="n"/>
      <c r="M17" s="276" t="n"/>
      <c r="N17" s="276" t="n"/>
      <c r="O17" s="276" t="n"/>
      <c r="P17" s="277" t="n"/>
    </row>
    <row r="18">
      <c r="A18" s="275" t="inlineStr">
        <is>
          <t>Nation-state</t>
        </is>
      </c>
      <c r="B18" s="276" t="inlineStr">
        <is>
          <t>Critical business-service disruption</t>
        </is>
      </c>
      <c r="C18" s="276" t="inlineStr">
        <is>
          <t>Public-facing application exploitation</t>
        </is>
      </c>
      <c r="D18" s="276" t="n">
        <v>0.009691011235955057</v>
      </c>
      <c r="E18" s="276" t="n">
        <v>0.02025</v>
      </c>
      <c r="F18" s="276" t="n">
        <v>0.0001962429775280899</v>
      </c>
      <c r="G18" s="276" t="n">
        <v>4420753.424657534</v>
      </c>
      <c r="H18" s="276" t="n">
        <v>90133013.69863012</v>
      </c>
      <c r="I18" s="276" t="n">
        <v>10186141.8209453</v>
      </c>
      <c r="J18" s="276" t="n">
        <v>1998.958800465705</v>
      </c>
      <c r="K18" s="276" t="inlineStr">
        <is>
          <t>No</t>
        </is>
      </c>
      <c r="L18" s="276" t="n"/>
      <c r="M18" s="276" t="n"/>
      <c r="N18" s="276" t="n"/>
      <c r="O18" s="276" t="n"/>
      <c r="P18" s="277" t="n"/>
    </row>
    <row r="19">
      <c r="A19" s="275" t="inlineStr">
        <is>
          <t>Nation-state</t>
        </is>
      </c>
      <c r="B19" s="276" t="inlineStr">
        <is>
          <t>Critical business-service disruption</t>
        </is>
      </c>
      <c r="C19" s="276" t="inlineStr">
        <is>
          <t>Third-party or software supply chain</t>
        </is>
      </c>
      <c r="D19" s="276" t="n">
        <v>0.006320224719101123</v>
      </c>
      <c r="E19" s="276" t="n">
        <v>0.196625</v>
      </c>
      <c r="F19" s="276" t="n">
        <v>0.001242714185393259</v>
      </c>
      <c r="G19" s="276" t="n">
        <v>4420753.424657534</v>
      </c>
      <c r="H19" s="276" t="n">
        <v>90133013.69863012</v>
      </c>
      <c r="I19" s="276" t="n">
        <v>10186141.8209453</v>
      </c>
      <c r="J19" s="276" t="n">
        <v>12658.46293531624</v>
      </c>
      <c r="K19" s="276" t="inlineStr">
        <is>
          <t>No</t>
        </is>
      </c>
      <c r="L19" s="276" t="n"/>
      <c r="M19" s="276" t="n"/>
      <c r="N19" s="276" t="n"/>
      <c r="O19" s="276" t="n"/>
      <c r="P19" s="277" t="n"/>
    </row>
    <row r="20">
      <c r="A20" s="275" t="inlineStr">
        <is>
          <t>Nation-state</t>
        </is>
      </c>
      <c r="B20" s="276" t="inlineStr">
        <is>
          <t>Critical business-service disruption</t>
        </is>
      </c>
      <c r="C20" s="276" t="inlineStr">
        <is>
          <t>Direct availability or DDoS</t>
        </is>
      </c>
      <c r="D20" s="276" t="n">
        <v>0.001685393258426967</v>
      </c>
      <c r="E20" s="276" t="n">
        <v>0.36</v>
      </c>
      <c r="F20" s="276" t="n">
        <v>0.0006067415730337079</v>
      </c>
      <c r="G20" s="276" t="n">
        <v>4420753.424657534</v>
      </c>
      <c r="H20" s="276" t="n">
        <v>90133013.69863012</v>
      </c>
      <c r="I20" s="276" t="n">
        <v>10186141.8209453</v>
      </c>
      <c r="J20" s="276" t="n">
        <v>6180.355711584788</v>
      </c>
      <c r="K20" s="276" t="inlineStr">
        <is>
          <t>No</t>
        </is>
      </c>
      <c r="L20" s="276" t="n"/>
      <c r="M20" s="276" t="n"/>
      <c r="N20" s="276" t="n"/>
      <c r="O20" s="276" t="n"/>
      <c r="P20" s="277" t="n"/>
    </row>
    <row r="21">
      <c r="A21" s="275" t="inlineStr">
        <is>
          <t>Nation-state</t>
        </is>
      </c>
      <c r="B21" s="276" t="inlineStr">
        <is>
          <t>Critical business-service disruption</t>
        </is>
      </c>
      <c r="C21" s="276" t="inlineStr">
        <is>
          <t>Insider or trusted access</t>
        </is>
      </c>
      <c r="D21" s="276" t="n">
        <v>0.0004213483146067416</v>
      </c>
      <c r="E21" s="276" t="n">
        <v>0.29575</v>
      </c>
      <c r="F21" s="276" t="n">
        <v>0.0001246137640449438</v>
      </c>
      <c r="G21" s="276" t="n">
        <v>4420753.424657534</v>
      </c>
      <c r="H21" s="276" t="n">
        <v>90133013.69863012</v>
      </c>
      <c r="I21" s="276" t="n">
        <v>10186141.8209453</v>
      </c>
      <c r="J21" s="276" t="n">
        <v>1269.333473403612</v>
      </c>
      <c r="K21" s="276" t="inlineStr">
        <is>
          <t>No</t>
        </is>
      </c>
      <c r="L21" s="276" t="n"/>
      <c r="M21" s="276" t="n"/>
      <c r="N21" s="276" t="n"/>
      <c r="O21" s="276" t="n"/>
      <c r="P21" s="277" t="n"/>
    </row>
    <row r="22">
      <c r="A22" s="275" t="inlineStr">
        <is>
          <t>Nation-state</t>
        </is>
      </c>
      <c r="B22" s="276" t="inlineStr">
        <is>
          <t>Sensitive-data compromise</t>
        </is>
      </c>
      <c r="C22" s="276" t="inlineStr">
        <is>
          <t>Identity and credential compromise</t>
        </is>
      </c>
      <c r="D22" s="276" t="n">
        <v>0.01485849056603773</v>
      </c>
      <c r="E22" s="276" t="n">
        <v>0.05898750000000001</v>
      </c>
      <c r="F22" s="276" t="n">
        <v>0.0008764652122641509</v>
      </c>
      <c r="G22" s="276" t="n">
        <v>5093972.602739726</v>
      </c>
      <c r="H22" s="276" t="n">
        <v>88368904.10958904</v>
      </c>
      <c r="I22" s="276" t="n">
        <v>10775408.82315819</v>
      </c>
      <c r="J22" s="276" t="n">
        <v>9444.270981422349</v>
      </c>
      <c r="K22" s="276" t="inlineStr">
        <is>
          <t>No</t>
        </is>
      </c>
      <c r="L22" s="276" t="n"/>
      <c r="M22" s="276" t="n"/>
      <c r="N22" s="276" t="n"/>
      <c r="O22" s="276" t="n"/>
      <c r="P22" s="277" t="n"/>
    </row>
    <row r="23">
      <c r="A23" s="275" t="inlineStr">
        <is>
          <t>Nation-state</t>
        </is>
      </c>
      <c r="B23" s="276" t="inlineStr">
        <is>
          <t>Sensitive-data compromise</t>
        </is>
      </c>
      <c r="C23" s="276" t="inlineStr">
        <is>
          <t>User endpoint and social engineering</t>
        </is>
      </c>
      <c r="D23" s="276" t="n">
        <v>0.006537735849056604</v>
      </c>
      <c r="E23" s="276" t="n">
        <v>0.025515</v>
      </c>
      <c r="F23" s="276" t="n">
        <v>0.0001668103301886793</v>
      </c>
      <c r="G23" s="276" t="n">
        <v>5093972.602739726</v>
      </c>
      <c r="H23" s="276" t="n">
        <v>88368904.10958904</v>
      </c>
      <c r="I23" s="276" t="n">
        <v>10775408.82315819</v>
      </c>
      <c r="J23" s="276" t="n">
        <v>1797.449503709026</v>
      </c>
      <c r="K23" s="276" t="inlineStr">
        <is>
          <t>No</t>
        </is>
      </c>
      <c r="L23" s="276" t="n"/>
      <c r="M23" s="276" t="n"/>
      <c r="N23" s="276" t="n"/>
      <c r="O23" s="276" t="n"/>
      <c r="P23" s="277" t="n"/>
    </row>
    <row r="24">
      <c r="A24" s="275" t="inlineStr">
        <is>
          <t>Nation-state</t>
        </is>
      </c>
      <c r="B24" s="276" t="inlineStr">
        <is>
          <t>Sensitive-data compromise</t>
        </is>
      </c>
      <c r="C24" s="276" t="inlineStr">
        <is>
          <t>Public-facing application exploitation</t>
        </is>
      </c>
      <c r="D24" s="276" t="n">
        <v>0.01139150943396226</v>
      </c>
      <c r="E24" s="276" t="n">
        <v>0.02025</v>
      </c>
      <c r="F24" s="276" t="n">
        <v>0.0002306780660377359</v>
      </c>
      <c r="G24" s="276" t="n">
        <v>5093972.602739726</v>
      </c>
      <c r="H24" s="276" t="n">
        <v>88368904.10958904</v>
      </c>
      <c r="I24" s="276" t="n">
        <v>10775408.82315819</v>
      </c>
      <c r="J24" s="276" t="n">
        <v>2485.650468092087</v>
      </c>
      <c r="K24" s="276" t="inlineStr">
        <is>
          <t>No</t>
        </is>
      </c>
      <c r="L24" s="276" t="n"/>
      <c r="M24" s="276" t="n"/>
      <c r="N24" s="276" t="n"/>
      <c r="O24" s="276" t="n"/>
      <c r="P24" s="277" t="n"/>
    </row>
    <row r="25">
      <c r="A25" s="275" t="inlineStr">
        <is>
          <t>Nation-state</t>
        </is>
      </c>
      <c r="B25" s="276" t="inlineStr">
        <is>
          <t>Sensitive-data compromise</t>
        </is>
      </c>
      <c r="C25" s="276" t="inlineStr">
        <is>
          <t>Third-party or software supply chain</t>
        </is>
      </c>
      <c r="D25" s="276" t="n">
        <v>0.008419811320754717</v>
      </c>
      <c r="E25" s="276" t="n">
        <v>0.196625</v>
      </c>
      <c r="F25" s="276" t="n">
        <v>0.001655545400943397</v>
      </c>
      <c r="G25" s="276" t="n">
        <v>5093972.602739726</v>
      </c>
      <c r="H25" s="276" t="n">
        <v>88368904.10958904</v>
      </c>
      <c r="I25" s="276" t="n">
        <v>10775408.82315819</v>
      </c>
      <c r="J25" s="276" t="n">
        <v>17839.17852046444</v>
      </c>
      <c r="K25" s="276" t="inlineStr">
        <is>
          <t>No</t>
        </is>
      </c>
      <c r="L25" s="276" t="n"/>
      <c r="M25" s="276" t="n"/>
      <c r="N25" s="276" t="n"/>
      <c r="O25" s="276" t="n"/>
      <c r="P25" s="277" t="n"/>
    </row>
    <row r="26">
      <c r="A26" s="275" t="inlineStr">
        <is>
          <t>Nation-state</t>
        </is>
      </c>
      <c r="B26" s="276" t="inlineStr">
        <is>
          <t>Sensitive-data compromise</t>
        </is>
      </c>
      <c r="C26" s="276" t="inlineStr">
        <is>
          <t>Direct availability or DDoS</t>
        </is>
      </c>
      <c r="D26" s="276" t="n">
        <v>0</v>
      </c>
      <c r="E26" s="276" t="n">
        <v>0</v>
      </c>
      <c r="F26" s="276" t="n">
        <v>0</v>
      </c>
      <c r="G26" s="276" t="n">
        <v>5093972.602739726</v>
      </c>
      <c r="H26" s="276" t="n">
        <v>88368904.10958904</v>
      </c>
      <c r="I26" s="276" t="n">
        <v>10775408.82315819</v>
      </c>
      <c r="J26" s="276" t="n">
        <v>0</v>
      </c>
      <c r="K26" s="276" t="inlineStr">
        <is>
          <t>No</t>
        </is>
      </c>
      <c r="L26" s="276" t="n"/>
      <c r="M26" s="276" t="n"/>
      <c r="N26" s="276" t="n"/>
      <c r="O26" s="276" t="n"/>
      <c r="P26" s="277" t="n"/>
    </row>
    <row r="27">
      <c r="A27" s="275" t="inlineStr">
        <is>
          <t>Nation-state</t>
        </is>
      </c>
      <c r="B27" s="276" t="inlineStr">
        <is>
          <t>Sensitive-data compromise</t>
        </is>
      </c>
      <c r="C27" s="276" t="inlineStr">
        <is>
          <t>Insider or trusted access</t>
        </is>
      </c>
      <c r="D27" s="276" t="n">
        <v>0.0007924528301886791</v>
      </c>
      <c r="E27" s="276" t="n">
        <v>0.29575</v>
      </c>
      <c r="F27" s="276" t="n">
        <v>0.0002343679245283018</v>
      </c>
      <c r="G27" s="276" t="n">
        <v>5093972.602739726</v>
      </c>
      <c r="H27" s="276" t="n">
        <v>88368904.10958904</v>
      </c>
      <c r="I27" s="276" t="n">
        <v>10775408.82315819</v>
      </c>
      <c r="J27" s="276" t="n">
        <v>2525.410201827537</v>
      </c>
      <c r="K27" s="276" t="inlineStr">
        <is>
          <t>No</t>
        </is>
      </c>
      <c r="L27" s="276" t="n"/>
      <c r="M27" s="276" t="n"/>
      <c r="N27" s="276" t="n"/>
      <c r="O27" s="276" t="n"/>
      <c r="P27" s="277" t="n"/>
    </row>
    <row r="28">
      <c r="A28" s="275" t="inlineStr">
        <is>
          <t>Nation-state</t>
        </is>
      </c>
      <c r="B28" s="276" t="inlineStr">
        <is>
          <t>Data or transaction-integrity compromise</t>
        </is>
      </c>
      <c r="C28" s="276" t="inlineStr">
        <is>
          <t>Identity and credential compromise</t>
        </is>
      </c>
      <c r="D28" s="276" t="n">
        <v>0.01047619047619047</v>
      </c>
      <c r="E28" s="276" t="n">
        <v>0.05898750000000001</v>
      </c>
      <c r="F28" s="276" t="n">
        <v>0.0006179642857142857</v>
      </c>
      <c r="G28" s="276" t="n">
        <v>4175890.410958904</v>
      </c>
      <c r="H28" s="276" t="n">
        <v>78266164.38356164</v>
      </c>
      <c r="I28" s="276" t="n">
        <v>9183694.454320414</v>
      </c>
      <c r="J28" s="276" t="n">
        <v>5675.195183682362</v>
      </c>
      <c r="K28" s="276" t="inlineStr">
        <is>
          <t>No</t>
        </is>
      </c>
      <c r="L28" s="276" t="n"/>
      <c r="M28" s="276" t="n"/>
      <c r="N28" s="276" t="n"/>
      <c r="O28" s="276" t="n"/>
      <c r="P28" s="277" t="n"/>
    </row>
    <row r="29">
      <c r="A29" s="275" t="inlineStr">
        <is>
          <t>Nation-state</t>
        </is>
      </c>
      <c r="B29" s="276" t="inlineStr">
        <is>
          <t>Data or transaction-integrity compromise</t>
        </is>
      </c>
      <c r="C29" s="276" t="inlineStr">
        <is>
          <t>User endpoint and social engineering</t>
        </is>
      </c>
      <c r="D29" s="276" t="n">
        <v>0.004285714285714285</v>
      </c>
      <c r="E29" s="276" t="n">
        <v>0.025515</v>
      </c>
      <c r="F29" s="276" t="n">
        <v>0.00010935</v>
      </c>
      <c r="G29" s="276" t="n">
        <v>4175890.410958904</v>
      </c>
      <c r="H29" s="276" t="n">
        <v>78266164.38356164</v>
      </c>
      <c r="I29" s="276" t="n">
        <v>9183694.454320414</v>
      </c>
      <c r="J29" s="276" t="n">
        <v>1004.236988579937</v>
      </c>
      <c r="K29" s="276" t="inlineStr">
        <is>
          <t>No</t>
        </is>
      </c>
      <c r="L29" s="276" t="n"/>
      <c r="M29" s="276" t="n"/>
      <c r="N29" s="276" t="n"/>
      <c r="O29" s="276" t="n"/>
      <c r="P29" s="277" t="n"/>
    </row>
    <row r="30">
      <c r="A30" s="275" t="inlineStr">
        <is>
          <t>Nation-state</t>
        </is>
      </c>
      <c r="B30" s="276" t="inlineStr">
        <is>
          <t>Data or transaction-integrity compromise</t>
        </is>
      </c>
      <c r="C30" s="276" t="inlineStr">
        <is>
          <t>Public-facing application exploitation</t>
        </is>
      </c>
      <c r="D30" s="276" t="n">
        <v>0.009523809523809523</v>
      </c>
      <c r="E30" s="276" t="n">
        <v>0.02025</v>
      </c>
      <c r="F30" s="276" t="n">
        <v>0.0001928571428571428</v>
      </c>
      <c r="G30" s="276" t="n">
        <v>4175890.410958904</v>
      </c>
      <c r="H30" s="276" t="n">
        <v>78266164.38356164</v>
      </c>
      <c r="I30" s="276" t="n">
        <v>9183694.454320414</v>
      </c>
      <c r="J30" s="276" t="n">
        <v>1771.141073333222</v>
      </c>
      <c r="K30" s="276" t="inlineStr">
        <is>
          <t>No</t>
        </is>
      </c>
      <c r="L30" s="276" t="n"/>
      <c r="M30" s="276" t="n"/>
      <c r="N30" s="276" t="n"/>
      <c r="O30" s="276" t="n"/>
      <c r="P30" s="277" t="n"/>
    </row>
    <row r="31">
      <c r="A31" s="275" t="inlineStr">
        <is>
          <t>Nation-state</t>
        </is>
      </c>
      <c r="B31" s="276" t="inlineStr">
        <is>
          <t>Data or transaction-integrity compromise</t>
        </is>
      </c>
      <c r="C31" s="276" t="inlineStr">
        <is>
          <t>Third-party or software supply chain</t>
        </is>
      </c>
      <c r="D31" s="276" t="n">
        <v>0.009523809523809523</v>
      </c>
      <c r="E31" s="276" t="n">
        <v>0.196625</v>
      </c>
      <c r="F31" s="276" t="n">
        <v>0.001872619047619048</v>
      </c>
      <c r="G31" s="276" t="n">
        <v>4175890.410958904</v>
      </c>
      <c r="H31" s="276" t="n">
        <v>78266164.38356164</v>
      </c>
      <c r="I31" s="276" t="n">
        <v>9183694.454320414</v>
      </c>
      <c r="J31" s="276" t="n">
        <v>17197.56116267382</v>
      </c>
      <c r="K31" s="276" t="inlineStr">
        <is>
          <t>No</t>
        </is>
      </c>
      <c r="L31" s="276" t="n"/>
      <c r="M31" s="276" t="n"/>
      <c r="N31" s="276" t="n"/>
      <c r="O31" s="276" t="n"/>
      <c r="P31" s="277" t="n"/>
    </row>
    <row r="32">
      <c r="A32" s="275" t="inlineStr">
        <is>
          <t>Nation-state</t>
        </is>
      </c>
      <c r="B32" s="276" t="inlineStr">
        <is>
          <t>Data or transaction-integrity compromise</t>
        </is>
      </c>
      <c r="C32" s="276" t="inlineStr">
        <is>
          <t>Direct availability or DDoS</t>
        </is>
      </c>
      <c r="D32" s="276" t="n">
        <v>0</v>
      </c>
      <c r="E32" s="276" t="n">
        <v>0</v>
      </c>
      <c r="F32" s="276" t="n">
        <v>0</v>
      </c>
      <c r="G32" s="276" t="n">
        <v>4175890.410958904</v>
      </c>
      <c r="H32" s="276" t="n">
        <v>78266164.38356164</v>
      </c>
      <c r="I32" s="276" t="n">
        <v>9183694.454320414</v>
      </c>
      <c r="J32" s="276" t="n">
        <v>0</v>
      </c>
      <c r="K32" s="276" t="inlineStr">
        <is>
          <t>No</t>
        </is>
      </c>
      <c r="L32" s="276" t="n"/>
      <c r="M32" s="276" t="n"/>
      <c r="N32" s="276" t="n"/>
      <c r="O32" s="276" t="n"/>
      <c r="P32" s="277" t="n"/>
    </row>
    <row r="33">
      <c r="A33" s="275" t="inlineStr">
        <is>
          <t>Nation-state</t>
        </is>
      </c>
      <c r="B33" s="276" t="inlineStr">
        <is>
          <t>Data or transaction-integrity compromise</t>
        </is>
      </c>
      <c r="C33" s="276" t="inlineStr">
        <is>
          <t>Insider or trusted access</t>
        </is>
      </c>
      <c r="D33" s="276" t="n">
        <v>0.002190476190476191</v>
      </c>
      <c r="E33" s="276" t="n">
        <v>0.29575</v>
      </c>
      <c r="F33" s="276" t="n">
        <v>0.0006478333333333333</v>
      </c>
      <c r="G33" s="276" t="n">
        <v>4175890.410958904</v>
      </c>
      <c r="H33" s="276" t="n">
        <v>78266164.38356164</v>
      </c>
      <c r="I33" s="276" t="n">
        <v>9183694.454320414</v>
      </c>
      <c r="J33" s="276" t="n">
        <v>5949.503390657241</v>
      </c>
      <c r="K33" s="276" t="inlineStr">
        <is>
          <t>No</t>
        </is>
      </c>
      <c r="L33" s="276" t="n"/>
      <c r="M33" s="276" t="n"/>
      <c r="N33" s="276" t="n"/>
      <c r="O33" s="276" t="n"/>
      <c r="P33" s="277" t="n"/>
    </row>
    <row r="34">
      <c r="A34" s="275" t="inlineStr">
        <is>
          <t>Nation-state</t>
        </is>
      </c>
      <c r="B34" s="276" t="inlineStr">
        <is>
          <t>Cyber-enabled theft or fraud</t>
        </is>
      </c>
      <c r="C34" s="276" t="inlineStr">
        <is>
          <t>Identity and credential compromise</t>
        </is>
      </c>
      <c r="D34" s="276" t="n">
        <v>0.005865921787709497</v>
      </c>
      <c r="E34" s="276" t="n">
        <v>0.10725</v>
      </c>
      <c r="F34" s="276" t="n">
        <v>0.0006291201117318437</v>
      </c>
      <c r="G34" s="276" t="n">
        <v>1835000</v>
      </c>
      <c r="H34" s="276" t="n">
        <v>29830000</v>
      </c>
      <c r="I34" s="276" t="n">
        <v>3754990.772199141</v>
      </c>
      <c r="J34" s="276" t="n">
        <v>2362.340214157965</v>
      </c>
      <c r="K34" s="276" t="inlineStr">
        <is>
          <t>No</t>
        </is>
      </c>
      <c r="L34" s="276" t="n"/>
      <c r="M34" s="276" t="n"/>
      <c r="N34" s="276" t="n"/>
      <c r="O34" s="276" t="n"/>
      <c r="P34" s="277" t="n"/>
    </row>
    <row r="35">
      <c r="A35" s="275" t="inlineStr">
        <is>
          <t>Nation-state</t>
        </is>
      </c>
      <c r="B35" s="276" t="inlineStr">
        <is>
          <t>Cyber-enabled theft or fraud</t>
        </is>
      </c>
      <c r="C35" s="276" t="inlineStr">
        <is>
          <t>User endpoint and social engineering</t>
        </is>
      </c>
      <c r="D35" s="276" t="n">
        <v>0.001508379888268157</v>
      </c>
      <c r="E35" s="276" t="n">
        <v>0.126</v>
      </c>
      <c r="F35" s="276" t="n">
        <v>0.0001900558659217877</v>
      </c>
      <c r="G35" s="276" t="n">
        <v>1835000</v>
      </c>
      <c r="H35" s="276" t="n">
        <v>29830000</v>
      </c>
      <c r="I35" s="276" t="n">
        <v>3754990.772199141</v>
      </c>
      <c r="J35" s="276" t="n">
        <v>713.6580227386301</v>
      </c>
      <c r="K35" s="276" t="inlineStr">
        <is>
          <t>No</t>
        </is>
      </c>
      <c r="L35" s="276" t="n"/>
      <c r="M35" s="276" t="n"/>
      <c r="N35" s="276" t="n"/>
      <c r="O35" s="276" t="n"/>
      <c r="P35" s="277" t="n"/>
    </row>
    <row r="36">
      <c r="A36" s="275" t="inlineStr">
        <is>
          <t>Nation-state</t>
        </is>
      </c>
      <c r="B36" s="276" t="inlineStr">
        <is>
          <t>Cyber-enabled theft or fraud</t>
        </is>
      </c>
      <c r="C36" s="276" t="inlineStr">
        <is>
          <t>Public-facing application exploitation</t>
        </is>
      </c>
      <c r="D36" s="276" t="n">
        <v>0.002011173184357542</v>
      </c>
      <c r="E36" s="276" t="n">
        <v>0.02025</v>
      </c>
      <c r="F36" s="276" t="n">
        <v>4.072625698324023e-05</v>
      </c>
      <c r="G36" s="276" t="n">
        <v>1835000</v>
      </c>
      <c r="H36" s="276" t="n">
        <v>29830000</v>
      </c>
      <c r="I36" s="276" t="n">
        <v>3754990.772199141</v>
      </c>
      <c r="J36" s="276" t="n">
        <v>152.9267191582779</v>
      </c>
      <c r="K36" s="276" t="inlineStr">
        <is>
          <t>No</t>
        </is>
      </c>
      <c r="L36" s="276" t="n"/>
      <c r="M36" s="276" t="n"/>
      <c r="N36" s="276" t="n"/>
      <c r="O36" s="276" t="n"/>
      <c r="P36" s="277" t="n"/>
    </row>
    <row r="37">
      <c r="A37" s="275" t="inlineStr">
        <is>
          <t>Nation-state</t>
        </is>
      </c>
      <c r="B37" s="276" t="inlineStr">
        <is>
          <t>Cyber-enabled theft or fraud</t>
        </is>
      </c>
      <c r="C37" s="276" t="inlineStr">
        <is>
          <t>Third-party or software supply chain</t>
        </is>
      </c>
      <c r="D37" s="276" t="n">
        <v>0.001675977653631285</v>
      </c>
      <c r="E37" s="276" t="n">
        <v>0.196625</v>
      </c>
      <c r="F37" s="276" t="n">
        <v>0.0003295391061452515</v>
      </c>
      <c r="G37" s="276" t="n">
        <v>1835000</v>
      </c>
      <c r="H37" s="276" t="n">
        <v>29830000</v>
      </c>
      <c r="I37" s="276" t="n">
        <v>3754990.772199141</v>
      </c>
      <c r="J37" s="276" t="n">
        <v>1237.416302654173</v>
      </c>
      <c r="K37" s="276" t="inlineStr">
        <is>
          <t>No</t>
        </is>
      </c>
      <c r="L37" s="276" t="n"/>
      <c r="M37" s="276" t="n"/>
      <c r="N37" s="276" t="n"/>
      <c r="O37" s="276" t="n"/>
      <c r="P37" s="277" t="n"/>
    </row>
    <row r="38">
      <c r="A38" s="275" t="inlineStr">
        <is>
          <t>Nation-state</t>
        </is>
      </c>
      <c r="B38" s="276" t="inlineStr">
        <is>
          <t>Cyber-enabled theft or fraud</t>
        </is>
      </c>
      <c r="C38" s="276" t="inlineStr">
        <is>
          <t>Direct availability or DDoS</t>
        </is>
      </c>
      <c r="D38" s="276" t="n">
        <v>0</v>
      </c>
      <c r="E38" s="276" t="n">
        <v>0</v>
      </c>
      <c r="F38" s="276" t="n">
        <v>0</v>
      </c>
      <c r="G38" s="276" t="n">
        <v>1835000</v>
      </c>
      <c r="H38" s="276" t="n">
        <v>29830000</v>
      </c>
      <c r="I38" s="276" t="n">
        <v>3754990.772199141</v>
      </c>
      <c r="J38" s="276" t="n">
        <v>0</v>
      </c>
      <c r="K38" s="276" t="inlineStr">
        <is>
          <t>No</t>
        </is>
      </c>
      <c r="L38" s="276" t="n"/>
      <c r="M38" s="276" t="n"/>
      <c r="N38" s="276" t="n"/>
      <c r="O38" s="276" t="n"/>
      <c r="P38" s="277" t="n"/>
    </row>
    <row r="39">
      <c r="A39" s="275" t="inlineStr">
        <is>
          <t>Nation-state</t>
        </is>
      </c>
      <c r="B39" s="276" t="inlineStr">
        <is>
          <t>Cyber-enabled theft or fraud</t>
        </is>
      </c>
      <c r="C39" s="276" t="inlineStr">
        <is>
          <t>Insider or trusted access</t>
        </is>
      </c>
      <c r="D39" s="276" t="n">
        <v>0.0009385474860335197</v>
      </c>
      <c r="E39" s="276" t="n">
        <v>0.455</v>
      </c>
      <c r="F39" s="276" t="n">
        <v>0.0004270391061452514</v>
      </c>
      <c r="G39" s="276" t="n">
        <v>1835000</v>
      </c>
      <c r="H39" s="276" t="n">
        <v>29830000</v>
      </c>
      <c r="I39" s="276" t="n">
        <v>3754990.772199141</v>
      </c>
      <c r="J39" s="276" t="n">
        <v>1603.527902943589</v>
      </c>
      <c r="K39" s="276" t="inlineStr">
        <is>
          <t>No</t>
        </is>
      </c>
      <c r="L39" s="276" t="n"/>
      <c r="M39" s="276" t="n"/>
      <c r="N39" s="276" t="n"/>
      <c r="O39" s="276" t="n"/>
      <c r="P39" s="277" t="n"/>
    </row>
    <row r="40">
      <c r="A40" s="275" t="inlineStr">
        <is>
          <t>Cybercriminal</t>
        </is>
      </c>
      <c r="B40" s="276" t="inlineStr">
        <is>
          <t>Critical business-service disruption</t>
        </is>
      </c>
      <c r="C40" s="276" t="inlineStr">
        <is>
          <t>Identity and credential compromise</t>
        </is>
      </c>
      <c r="D40" s="276" t="n">
        <v>0.04986420423682782</v>
      </c>
      <c r="E40" s="276" t="n">
        <v>0.05898750000000001</v>
      </c>
      <c r="F40" s="276" t="n">
        <v>0.002941364747419881</v>
      </c>
      <c r="G40" s="276" t="n">
        <v>5420753.424657534</v>
      </c>
      <c r="H40" s="276" t="n">
        <v>110133013.6986301</v>
      </c>
      <c r="I40" s="276" t="n">
        <v>12486741.05510725</v>
      </c>
      <c r="J40" s="276" t="n">
        <v>36728.05994965298</v>
      </c>
      <c r="K40" s="276" t="inlineStr">
        <is>
          <t>No</t>
        </is>
      </c>
      <c r="L40" s="276" t="n"/>
      <c r="M40" s="276" t="n"/>
      <c r="N40" s="276" t="n"/>
      <c r="O40" s="276" t="n"/>
      <c r="P40" s="277" t="n"/>
    </row>
    <row r="41">
      <c r="A41" s="275" t="inlineStr">
        <is>
          <t>Cybercriminal</t>
        </is>
      </c>
      <c r="B41" s="276" t="inlineStr">
        <is>
          <t>Critical business-service disruption</t>
        </is>
      </c>
      <c r="C41" s="276" t="inlineStr">
        <is>
          <t>User endpoint and social engineering</t>
        </is>
      </c>
      <c r="D41" s="276" t="n">
        <v>0.06094513851167845</v>
      </c>
      <c r="E41" s="276" t="n">
        <v>0.025515</v>
      </c>
      <c r="F41" s="276" t="n">
        <v>0.001555015209125476</v>
      </c>
      <c r="G41" s="276" t="n">
        <v>5420753.424657534</v>
      </c>
      <c r="H41" s="276" t="n">
        <v>110133013.6986301</v>
      </c>
      <c r="I41" s="276" t="n">
        <v>12486741.05510725</v>
      </c>
      <c r="J41" s="276" t="n">
        <v>19417.07225310326</v>
      </c>
      <c r="K41" s="276" t="inlineStr">
        <is>
          <t>No</t>
        </is>
      </c>
      <c r="L41" s="276" t="n"/>
      <c r="M41" s="276" t="n"/>
      <c r="N41" s="276" t="n"/>
      <c r="O41" s="276" t="n"/>
      <c r="P41" s="277" t="n"/>
    </row>
    <row r="42">
      <c r="A42" s="275" t="inlineStr">
        <is>
          <t>Cybercriminal</t>
        </is>
      </c>
      <c r="B42" s="276" t="inlineStr">
        <is>
          <t>Critical business-service disruption</t>
        </is>
      </c>
      <c r="C42" s="276" t="inlineStr">
        <is>
          <t>Public-facing application exploitation</t>
        </is>
      </c>
      <c r="D42" s="276" t="n">
        <v>0.05606952743074417</v>
      </c>
      <c r="E42" s="276" t="n">
        <v>0.02025</v>
      </c>
      <c r="F42" s="276" t="n">
        <v>0.001135407930472569</v>
      </c>
      <c r="G42" s="276" t="n">
        <v>5420753.424657534</v>
      </c>
      <c r="H42" s="276" t="n">
        <v>110133013.6986301</v>
      </c>
      <c r="I42" s="276" t="n">
        <v>12486741.05510725</v>
      </c>
      <c r="J42" s="276" t="n">
        <v>14177.54481972618</v>
      </c>
      <c r="K42" s="276" t="inlineStr">
        <is>
          <t>No</t>
        </is>
      </c>
      <c r="L42" s="276" t="n"/>
      <c r="M42" s="276" t="n"/>
      <c r="N42" s="276" t="n"/>
      <c r="O42" s="276" t="n"/>
      <c r="P42" s="277" t="n"/>
    </row>
    <row r="43">
      <c r="A43" s="275" t="inlineStr">
        <is>
          <t>Cybercriminal</t>
        </is>
      </c>
      <c r="B43" s="276" t="inlineStr">
        <is>
          <t>Critical business-service disruption</t>
        </is>
      </c>
      <c r="C43" s="276" t="inlineStr">
        <is>
          <t>Third-party or software supply chain</t>
        </is>
      </c>
      <c r="D43" s="276" t="n">
        <v>0.01662140141227594</v>
      </c>
      <c r="E43" s="276" t="n">
        <v>0.196625</v>
      </c>
      <c r="F43" s="276" t="n">
        <v>0.003268183052688757</v>
      </c>
      <c r="G43" s="276" t="n">
        <v>5420753.424657534</v>
      </c>
      <c r="H43" s="276" t="n">
        <v>110133013.6986301</v>
      </c>
      <c r="I43" s="276" t="n">
        <v>12486741.05510725</v>
      </c>
      <c r="J43" s="276" t="n">
        <v>40808.95549961443</v>
      </c>
      <c r="K43" s="276" t="inlineStr">
        <is>
          <t>No</t>
        </is>
      </c>
      <c r="L43" s="276" t="n"/>
      <c r="M43" s="276" t="n"/>
      <c r="N43" s="276" t="n"/>
      <c r="O43" s="276" t="n"/>
      <c r="P43" s="277" t="n"/>
    </row>
    <row r="44">
      <c r="A44" s="275" t="inlineStr">
        <is>
          <t>Cybercriminal</t>
        </is>
      </c>
      <c r="B44" s="276" t="inlineStr">
        <is>
          <t>Critical business-service disruption</t>
        </is>
      </c>
      <c r="C44" s="276" t="inlineStr">
        <is>
          <t>Direct availability or DDoS</t>
        </is>
      </c>
      <c r="D44" s="276" t="n">
        <v>0.017729494839761</v>
      </c>
      <c r="E44" s="276" t="n">
        <v>0.36</v>
      </c>
      <c r="F44" s="276" t="n">
        <v>0.006382618142313961</v>
      </c>
      <c r="G44" s="276" t="n">
        <v>5420753.424657534</v>
      </c>
      <c r="H44" s="276" t="n">
        <v>110133013.6986301</v>
      </c>
      <c r="I44" s="276" t="n">
        <v>12486741.05510725</v>
      </c>
      <c r="J44" s="276" t="n">
        <v>79698.09999670407</v>
      </c>
      <c r="K44" s="276" t="inlineStr">
        <is>
          <t>No</t>
        </is>
      </c>
      <c r="L44" s="276" t="n"/>
      <c r="M44" s="276" t="n"/>
      <c r="N44" s="276" t="n"/>
      <c r="O44" s="276" t="n"/>
      <c r="P44" s="277" t="n"/>
    </row>
    <row r="45">
      <c r="A45" s="275" t="inlineStr">
        <is>
          <t>Cybercriminal</t>
        </is>
      </c>
      <c r="B45" s="276" t="inlineStr">
        <is>
          <t>Critical business-service disruption</t>
        </is>
      </c>
      <c r="C45" s="276" t="inlineStr">
        <is>
          <t>Insider or trusted access</t>
        </is>
      </c>
      <c r="D45" s="276" t="n">
        <v>0.002770233568712657</v>
      </c>
      <c r="E45" s="276" t="n">
        <v>0.29575</v>
      </c>
      <c r="F45" s="276" t="n">
        <v>0.0008192965779467683</v>
      </c>
      <c r="G45" s="276" t="n">
        <v>5420753.424657534</v>
      </c>
      <c r="H45" s="276" t="n">
        <v>110133013.6986301</v>
      </c>
      <c r="I45" s="276" t="n">
        <v>12486741.05510725</v>
      </c>
      <c r="J45" s="276" t="n">
        <v>10230.34421615679</v>
      </c>
      <c r="K45" s="276" t="inlineStr">
        <is>
          <t>No</t>
        </is>
      </c>
      <c r="L45" s="276" t="n"/>
      <c r="M45" s="276" t="n"/>
      <c r="N45" s="276" t="n"/>
      <c r="O45" s="276" t="n"/>
      <c r="P45" s="277" t="n"/>
    </row>
    <row r="46">
      <c r="A46" s="275" t="inlineStr">
        <is>
          <t>Cybercriminal</t>
        </is>
      </c>
      <c r="B46" s="276" t="inlineStr">
        <is>
          <t>Sensitive-data compromise</t>
        </is>
      </c>
      <c r="C46" s="276" t="inlineStr">
        <is>
          <t>Identity and credential compromise</t>
        </is>
      </c>
      <c r="D46" s="276" t="n">
        <v>0.07063711911357341</v>
      </c>
      <c r="E46" s="276" t="n">
        <v>0.05898750000000001</v>
      </c>
      <c r="F46" s="276" t="n">
        <v>0.004166707063711913</v>
      </c>
      <c r="G46" s="276" t="n">
        <v>5593972.602739726</v>
      </c>
      <c r="H46" s="276" t="n">
        <v>98368904.10958904</v>
      </c>
      <c r="I46" s="276" t="n">
        <v>11938009.00867613</v>
      </c>
      <c r="J46" s="276" t="n">
        <v>49742.18646310728</v>
      </c>
      <c r="K46" s="276" t="inlineStr">
        <is>
          <t>No</t>
        </is>
      </c>
      <c r="L46" s="276" t="n"/>
      <c r="M46" s="276" t="n"/>
      <c r="N46" s="276" t="n"/>
      <c r="O46" s="276" t="n"/>
      <c r="P46" s="277" t="n"/>
    </row>
    <row r="47">
      <c r="A47" s="275" t="inlineStr">
        <is>
          <t>Cybercriminal</t>
        </is>
      </c>
      <c r="B47" s="276" t="inlineStr">
        <is>
          <t>Sensitive-data compromise</t>
        </is>
      </c>
      <c r="C47" s="276" t="inlineStr">
        <is>
          <t>User endpoint and social engineering</t>
        </is>
      </c>
      <c r="D47" s="276" t="n">
        <v>0.04316712834718375</v>
      </c>
      <c r="E47" s="276" t="n">
        <v>0.025515</v>
      </c>
      <c r="F47" s="276" t="n">
        <v>0.001101409279778393</v>
      </c>
      <c r="G47" s="276" t="n">
        <v>5593972.602739726</v>
      </c>
      <c r="H47" s="276" t="n">
        <v>98368904.10958904</v>
      </c>
      <c r="I47" s="276" t="n">
        <v>11938009.00867613</v>
      </c>
      <c r="J47" s="276" t="n">
        <v>13148.63390423395</v>
      </c>
      <c r="K47" s="276" t="inlineStr">
        <is>
          <t>No</t>
        </is>
      </c>
      <c r="L47" s="276" t="n"/>
      <c r="M47" s="276" t="n"/>
      <c r="N47" s="276" t="n"/>
      <c r="O47" s="276" t="n"/>
      <c r="P47" s="277" t="n"/>
    </row>
    <row r="48">
      <c r="A48" s="275" t="inlineStr">
        <is>
          <t>Cybercriminal</t>
        </is>
      </c>
      <c r="B48" s="276" t="inlineStr">
        <is>
          <t>Sensitive-data compromise</t>
        </is>
      </c>
      <c r="C48" s="276" t="inlineStr">
        <is>
          <t>Public-facing application exploitation</t>
        </is>
      </c>
      <c r="D48" s="276" t="n">
        <v>0.03971375807940906</v>
      </c>
      <c r="E48" s="276" t="n">
        <v>0.02025</v>
      </c>
      <c r="F48" s="276" t="n">
        <v>0.0008042036011080334</v>
      </c>
      <c r="G48" s="276" t="n">
        <v>5593972.602739726</v>
      </c>
      <c r="H48" s="276" t="n">
        <v>98368904.10958904</v>
      </c>
      <c r="I48" s="276" t="n">
        <v>11938009.00867613</v>
      </c>
      <c r="J48" s="276" t="n">
        <v>9600.589834837489</v>
      </c>
      <c r="K48" s="276" t="inlineStr">
        <is>
          <t>No</t>
        </is>
      </c>
      <c r="L48" s="276" t="n"/>
      <c r="M48" s="276" t="n"/>
      <c r="N48" s="276" t="n"/>
      <c r="O48" s="276" t="n"/>
      <c r="P48" s="277" t="n"/>
    </row>
    <row r="49">
      <c r="A49" s="275" t="inlineStr">
        <is>
          <t>Cybercriminal</t>
        </is>
      </c>
      <c r="B49" s="276" t="inlineStr">
        <is>
          <t>Sensitive-data compromise</t>
        </is>
      </c>
      <c r="C49" s="276" t="inlineStr">
        <is>
          <t>Third-party or software supply chain</t>
        </is>
      </c>
      <c r="D49" s="276" t="n">
        <v>0.01334256694367498</v>
      </c>
      <c r="E49" s="276" t="n">
        <v>0.196625</v>
      </c>
      <c r="F49" s="276" t="n">
        <v>0.002623482225300094</v>
      </c>
      <c r="G49" s="276" t="n">
        <v>5593972.602739726</v>
      </c>
      <c r="H49" s="276" t="n">
        <v>98368904.10958904</v>
      </c>
      <c r="I49" s="276" t="n">
        <v>11938009.00867613</v>
      </c>
      <c r="J49" s="276" t="n">
        <v>31319.15443973422</v>
      </c>
      <c r="K49" s="276" t="inlineStr">
        <is>
          <t>No</t>
        </is>
      </c>
      <c r="L49" s="276" t="n"/>
      <c r="M49" s="276" t="n"/>
      <c r="N49" s="276" t="n"/>
      <c r="O49" s="276" t="n"/>
      <c r="P49" s="277" t="n"/>
    </row>
    <row r="50">
      <c r="A50" s="275" t="inlineStr">
        <is>
          <t>Cybercriminal</t>
        </is>
      </c>
      <c r="B50" s="276" t="inlineStr">
        <is>
          <t>Sensitive-data compromise</t>
        </is>
      </c>
      <c r="C50" s="276" t="inlineStr">
        <is>
          <t>Direct availability or DDoS</t>
        </is>
      </c>
      <c r="D50" s="276" t="n">
        <v>0</v>
      </c>
      <c r="E50" s="276" t="n">
        <v>0</v>
      </c>
      <c r="F50" s="276" t="n">
        <v>0</v>
      </c>
      <c r="G50" s="276" t="n">
        <v>5593972.602739726</v>
      </c>
      <c r="H50" s="276" t="n">
        <v>98368904.10958904</v>
      </c>
      <c r="I50" s="276" t="n">
        <v>11938009.00867613</v>
      </c>
      <c r="J50" s="276" t="n">
        <v>0</v>
      </c>
      <c r="K50" s="276" t="inlineStr">
        <is>
          <t>No</t>
        </is>
      </c>
      <c r="L50" s="276" t="n"/>
      <c r="M50" s="276" t="n"/>
      <c r="N50" s="276" t="n"/>
      <c r="O50" s="276" t="n"/>
      <c r="P50" s="277" t="n"/>
    </row>
    <row r="51">
      <c r="A51" s="275" t="inlineStr">
        <is>
          <t>Cybercriminal</t>
        </is>
      </c>
      <c r="B51" s="276" t="inlineStr">
        <is>
          <t>Sensitive-data compromise</t>
        </is>
      </c>
      <c r="C51" s="276" t="inlineStr">
        <is>
          <t>Insider or trusted access</t>
        </is>
      </c>
      <c r="D51" s="276" t="n">
        <v>0.003139427516158819</v>
      </c>
      <c r="E51" s="276" t="n">
        <v>0.29575</v>
      </c>
      <c r="F51" s="276" t="n">
        <v>0.0009284856879039705</v>
      </c>
      <c r="G51" s="276" t="n">
        <v>5593972.602739726</v>
      </c>
      <c r="H51" s="276" t="n">
        <v>98368904.10958904</v>
      </c>
      <c r="I51" s="276" t="n">
        <v>11938009.00867613</v>
      </c>
      <c r="J51" s="276" t="n">
        <v>11084.27050662445</v>
      </c>
      <c r="K51" s="276" t="inlineStr">
        <is>
          <t>No</t>
        </is>
      </c>
      <c r="L51" s="276" t="n"/>
      <c r="M51" s="276" t="n"/>
      <c r="N51" s="276" t="n"/>
      <c r="O51" s="276" t="n"/>
      <c r="P51" s="277" t="n"/>
    </row>
    <row r="52">
      <c r="A52" s="275" t="inlineStr">
        <is>
          <t>Cybercriminal</t>
        </is>
      </c>
      <c r="B52" s="276" t="inlineStr">
        <is>
          <t>Data or transaction-integrity compromise</t>
        </is>
      </c>
      <c r="C52" s="276" t="inlineStr">
        <is>
          <t>Identity and credential compromise</t>
        </is>
      </c>
      <c r="D52" s="276" t="n">
        <v>0.02507262569832402</v>
      </c>
      <c r="E52" s="276" t="n">
        <v>0.05898750000000001</v>
      </c>
      <c r="F52" s="276" t="n">
        <v>0.001478971508379889</v>
      </c>
      <c r="G52" s="276" t="n">
        <v>4203287.671232876</v>
      </c>
      <c r="H52" s="276" t="n">
        <v>83060684.93150684</v>
      </c>
      <c r="I52" s="276" t="n">
        <v>9541651.690363882</v>
      </c>
      <c r="J52" s="276" t="n">
        <v>14111.83099293298</v>
      </c>
      <c r="K52" s="276" t="inlineStr">
        <is>
          <t>No</t>
        </is>
      </c>
      <c r="L52" s="276" t="n"/>
      <c r="M52" s="276" t="n"/>
      <c r="N52" s="276" t="n"/>
      <c r="O52" s="276" t="n"/>
      <c r="P52" s="277" t="n"/>
    </row>
    <row r="53">
      <c r="A53" s="275" t="inlineStr">
        <is>
          <t>Cybercriminal</t>
        </is>
      </c>
      <c r="B53" s="276" t="inlineStr">
        <is>
          <t>Data or transaction-integrity compromise</t>
        </is>
      </c>
      <c r="C53" s="276" t="inlineStr">
        <is>
          <t>User endpoint and social engineering</t>
        </is>
      </c>
      <c r="D53" s="276" t="n">
        <v>0.01424581005586592</v>
      </c>
      <c r="E53" s="276" t="n">
        <v>0.025515</v>
      </c>
      <c r="F53" s="276" t="n">
        <v>0.000363481843575419</v>
      </c>
      <c r="G53" s="276" t="n">
        <v>4203287.671232876</v>
      </c>
      <c r="H53" s="276" t="n">
        <v>83060684.93150684</v>
      </c>
      <c r="I53" s="276" t="n">
        <v>9541651.690363882</v>
      </c>
      <c r="J53" s="276" t="n">
        <v>3468.217147167977</v>
      </c>
      <c r="K53" s="276" t="inlineStr">
        <is>
          <t>No</t>
        </is>
      </c>
      <c r="L53" s="276" t="n"/>
      <c r="M53" s="276" t="n"/>
      <c r="N53" s="276" t="n"/>
      <c r="O53" s="276" t="n"/>
      <c r="P53" s="277" t="n"/>
    </row>
    <row r="54">
      <c r="A54" s="275" t="inlineStr">
        <is>
          <t>Cybercriminal</t>
        </is>
      </c>
      <c r="B54" s="276" t="inlineStr">
        <is>
          <t>Data or transaction-integrity compromise</t>
        </is>
      </c>
      <c r="C54" s="276" t="inlineStr">
        <is>
          <t>Public-facing application exploitation</t>
        </is>
      </c>
      <c r="D54" s="276" t="n">
        <v>0.01671508379888268</v>
      </c>
      <c r="E54" s="276" t="n">
        <v>0.02025</v>
      </c>
      <c r="F54" s="276" t="n">
        <v>0.0003384804469273743</v>
      </c>
      <c r="G54" s="276" t="n">
        <v>4203287.671232876</v>
      </c>
      <c r="H54" s="276" t="n">
        <v>83060684.93150684</v>
      </c>
      <c r="I54" s="276" t="n">
        <v>9541651.690363882</v>
      </c>
      <c r="J54" s="276" t="n">
        <v>3229.662528579703</v>
      </c>
      <c r="K54" s="276" t="inlineStr">
        <is>
          <t>No</t>
        </is>
      </c>
      <c r="L54" s="276" t="n"/>
      <c r="M54" s="276" t="n"/>
      <c r="N54" s="276" t="n"/>
      <c r="O54" s="276" t="n"/>
      <c r="P54" s="277" t="n"/>
    </row>
    <row r="55">
      <c r="A55" s="275" t="inlineStr">
        <is>
          <t>Cybercriminal</t>
        </is>
      </c>
      <c r="B55" s="276" t="inlineStr">
        <is>
          <t>Data or transaction-integrity compromise</t>
        </is>
      </c>
      <c r="C55" s="276" t="inlineStr">
        <is>
          <t>Third-party or software supply chain</t>
        </is>
      </c>
      <c r="D55" s="276" t="n">
        <v>0.007597765363128493</v>
      </c>
      <c r="E55" s="276" t="n">
        <v>0.196625</v>
      </c>
      <c r="F55" s="276" t="n">
        <v>0.00149391061452514</v>
      </c>
      <c r="G55" s="276" t="n">
        <v>4203287.671232876</v>
      </c>
      <c r="H55" s="276" t="n">
        <v>83060684.93150684</v>
      </c>
      <c r="I55" s="276" t="n">
        <v>9541651.690363882</v>
      </c>
      <c r="J55" s="276" t="n">
        <v>14254.37474033635</v>
      </c>
      <c r="K55" s="276" t="inlineStr">
        <is>
          <t>No</t>
        </is>
      </c>
      <c r="L55" s="276" t="n"/>
      <c r="M55" s="276" t="n"/>
      <c r="N55" s="276" t="n"/>
      <c r="O55" s="276" t="n"/>
      <c r="P55" s="277" t="n"/>
    </row>
    <row r="56">
      <c r="A56" s="275" t="inlineStr">
        <is>
          <t>Cybercriminal</t>
        </is>
      </c>
      <c r="B56" s="276" t="inlineStr">
        <is>
          <t>Data or transaction-integrity compromise</t>
        </is>
      </c>
      <c r="C56" s="276" t="inlineStr">
        <is>
          <t>Direct availability or DDoS</t>
        </is>
      </c>
      <c r="D56" s="276" t="n">
        <v>0</v>
      </c>
      <c r="E56" s="276" t="n">
        <v>0</v>
      </c>
      <c r="F56" s="276" t="n">
        <v>0</v>
      </c>
      <c r="G56" s="276" t="n">
        <v>4203287.671232876</v>
      </c>
      <c r="H56" s="276" t="n">
        <v>83060684.93150684</v>
      </c>
      <c r="I56" s="276" t="n">
        <v>9541651.690363882</v>
      </c>
      <c r="J56" s="276" t="n">
        <v>0</v>
      </c>
      <c r="K56" s="276" t="inlineStr">
        <is>
          <t>No</t>
        </is>
      </c>
      <c r="L56" s="276" t="n"/>
      <c r="M56" s="276" t="n"/>
      <c r="N56" s="276" t="n"/>
      <c r="O56" s="276" t="n"/>
      <c r="P56" s="277" t="n"/>
    </row>
    <row r="57">
      <c r="A57" s="275" t="inlineStr">
        <is>
          <t>Cybercriminal</t>
        </is>
      </c>
      <c r="B57" s="276" t="inlineStr">
        <is>
          <t>Data or transaction-integrity compromise</t>
        </is>
      </c>
      <c r="C57" s="276" t="inlineStr">
        <is>
          <t>Insider or trusted access</t>
        </is>
      </c>
      <c r="D57" s="276" t="n">
        <v>0.004368715083798883</v>
      </c>
      <c r="E57" s="276" t="n">
        <v>0.29575</v>
      </c>
      <c r="F57" s="276" t="n">
        <v>0.00129204748603352</v>
      </c>
      <c r="G57" s="276" t="n">
        <v>4203287.671232876</v>
      </c>
      <c r="H57" s="276" t="n">
        <v>83060684.93150684</v>
      </c>
      <c r="I57" s="276" t="n">
        <v>9541651.690363882</v>
      </c>
      <c r="J57" s="276" t="n">
        <v>12328.26707914214</v>
      </c>
      <c r="K57" s="276" t="inlineStr">
        <is>
          <t>No</t>
        </is>
      </c>
      <c r="L57" s="276" t="n"/>
      <c r="M57" s="276" t="n"/>
      <c r="N57" s="276" t="n"/>
      <c r="O57" s="276" t="n"/>
      <c r="P57" s="277" t="n"/>
    </row>
    <row r="58">
      <c r="A58" s="275" t="inlineStr">
        <is>
          <t>Cybercriminal</t>
        </is>
      </c>
      <c r="B58" s="276" t="inlineStr">
        <is>
          <t>Cyber-enabled theft or fraud</t>
        </is>
      </c>
      <c r="C58" s="276" t="inlineStr">
        <is>
          <t>Identity and credential compromise</t>
        </is>
      </c>
      <c r="D58" s="276" t="n">
        <v>0.1295489891135303</v>
      </c>
      <c r="E58" s="276" t="n">
        <v>0.10725</v>
      </c>
      <c r="F58" s="276" t="n">
        <v>0.01389412908242613</v>
      </c>
      <c r="G58" s="276" t="n">
        <v>1889794.520547945</v>
      </c>
      <c r="H58" s="276" t="n">
        <v>46268356.16438356</v>
      </c>
      <c r="I58" s="276" t="n">
        <v>4844236.526173487</v>
      </c>
      <c r="J58" s="276" t="n">
        <v>67306.44760045798</v>
      </c>
      <c r="K58" s="276" t="inlineStr">
        <is>
          <t>No</t>
        </is>
      </c>
      <c r="L58" s="276" t="n"/>
      <c r="M58" s="276" t="n"/>
      <c r="N58" s="276" t="n"/>
      <c r="O58" s="276" t="n"/>
      <c r="P58" s="277" t="n"/>
    </row>
    <row r="59">
      <c r="A59" s="275" t="inlineStr">
        <is>
          <t>Cybercriminal</t>
        </is>
      </c>
      <c r="B59" s="276" t="inlineStr">
        <is>
          <t>Cyber-enabled theft or fraud</t>
        </is>
      </c>
      <c r="C59" s="276" t="inlineStr">
        <is>
          <t>User endpoint and social engineering</t>
        </is>
      </c>
      <c r="D59" s="276" t="n">
        <v>0.04626749611197511</v>
      </c>
      <c r="E59" s="276" t="n">
        <v>0.126</v>
      </c>
      <c r="F59" s="276" t="n">
        <v>0.005829704510108865</v>
      </c>
      <c r="G59" s="276" t="n">
        <v>1889794.520547945</v>
      </c>
      <c r="H59" s="276" t="n">
        <v>46268356.16438356</v>
      </c>
      <c r="I59" s="276" t="n">
        <v>4844236.526173487</v>
      </c>
      <c r="J59" s="276" t="n">
        <v>28240.46752466768</v>
      </c>
      <c r="K59" s="276" t="inlineStr">
        <is>
          <t>No</t>
        </is>
      </c>
      <c r="L59" s="276" t="n"/>
      <c r="M59" s="276" t="n"/>
      <c r="N59" s="276" t="n"/>
      <c r="O59" s="276" t="n"/>
      <c r="P59" s="277" t="n"/>
    </row>
    <row r="60">
      <c r="A60" s="275" t="inlineStr">
        <is>
          <t>Cybercriminal</t>
        </is>
      </c>
      <c r="B60" s="276" t="inlineStr">
        <is>
          <t>Cyber-enabled theft or fraud</t>
        </is>
      </c>
      <c r="C60" s="276" t="inlineStr">
        <is>
          <t>Public-facing application exploitation</t>
        </is>
      </c>
      <c r="D60" s="276" t="n">
        <v>0.03257231726283048</v>
      </c>
      <c r="E60" s="276" t="n">
        <v>0.02025</v>
      </c>
      <c r="F60" s="276" t="n">
        <v>0.0006595894245723173</v>
      </c>
      <c r="G60" s="276" t="n">
        <v>1889794.520547945</v>
      </c>
      <c r="H60" s="276" t="n">
        <v>46268356.16438356</v>
      </c>
      <c r="I60" s="276" t="n">
        <v>4844236.526173487</v>
      </c>
      <c r="J60" s="276" t="n">
        <v>3195.207182790972</v>
      </c>
      <c r="K60" s="276" t="inlineStr">
        <is>
          <t>No</t>
        </is>
      </c>
      <c r="L60" s="276" t="n"/>
      <c r="M60" s="276" t="n"/>
      <c r="N60" s="276" t="n"/>
      <c r="O60" s="276" t="n"/>
      <c r="P60" s="277" t="n"/>
    </row>
    <row r="61">
      <c r="A61" s="275" t="inlineStr">
        <is>
          <t>Cybercriminal</t>
        </is>
      </c>
      <c r="B61" s="276" t="inlineStr">
        <is>
          <t>Cyber-enabled theft or fraud</t>
        </is>
      </c>
      <c r="C61" s="276" t="inlineStr">
        <is>
          <t>Third-party or software supply chain</t>
        </is>
      </c>
      <c r="D61" s="276" t="n">
        <v>0.01233799896319337</v>
      </c>
      <c r="E61" s="276" t="n">
        <v>0.196625</v>
      </c>
      <c r="F61" s="276" t="n">
        <v>0.002425959046137897</v>
      </c>
      <c r="G61" s="276" t="n">
        <v>1889794.520547945</v>
      </c>
      <c r="H61" s="276" t="n">
        <v>46268356.16438356</v>
      </c>
      <c r="I61" s="276" t="n">
        <v>4844236.526173487</v>
      </c>
      <c r="J61" s="276" t="n">
        <v>11751.91942230219</v>
      </c>
      <c r="K61" s="276" t="inlineStr">
        <is>
          <t>No</t>
        </is>
      </c>
      <c r="L61" s="276" t="n"/>
      <c r="M61" s="276" t="n"/>
      <c r="N61" s="276" t="n"/>
      <c r="O61" s="276" t="n"/>
      <c r="P61" s="277" t="n"/>
    </row>
    <row r="62">
      <c r="A62" s="275" t="inlineStr">
        <is>
          <t>Cybercriminal</t>
        </is>
      </c>
      <c r="B62" s="276" t="inlineStr">
        <is>
          <t>Cyber-enabled theft or fraud</t>
        </is>
      </c>
      <c r="C62" s="276" t="inlineStr">
        <is>
          <t>Direct availability or DDoS</t>
        </is>
      </c>
      <c r="D62" s="276" t="n">
        <v>0</v>
      </c>
      <c r="E62" s="276" t="n">
        <v>0</v>
      </c>
      <c r="F62" s="276" t="n">
        <v>0</v>
      </c>
      <c r="G62" s="276" t="n">
        <v>1889794.520547945</v>
      </c>
      <c r="H62" s="276" t="n">
        <v>46268356.16438356</v>
      </c>
      <c r="I62" s="276" t="n">
        <v>4844236.526173487</v>
      </c>
      <c r="J62" s="276" t="n">
        <v>0</v>
      </c>
      <c r="K62" s="276" t="inlineStr">
        <is>
          <t>No</t>
        </is>
      </c>
      <c r="L62" s="276" t="n"/>
      <c r="M62" s="276" t="n"/>
      <c r="N62" s="276" t="n"/>
      <c r="O62" s="276" t="n"/>
      <c r="P62" s="277" t="n"/>
    </row>
    <row r="63">
      <c r="A63" s="275" t="inlineStr">
        <is>
          <t>Cybercriminal</t>
        </is>
      </c>
      <c r="B63" s="276" t="inlineStr">
        <is>
          <t>Cyber-enabled theft or fraud</t>
        </is>
      </c>
      <c r="C63" s="276" t="inlineStr">
        <is>
          <t>Insider or trusted access</t>
        </is>
      </c>
      <c r="D63" s="276" t="n">
        <v>0.01727319854847071</v>
      </c>
      <c r="E63" s="276" t="n">
        <v>0.455</v>
      </c>
      <c r="F63" s="276" t="n">
        <v>0.007859305339554173</v>
      </c>
      <c r="G63" s="276" t="n">
        <v>1889794.520547945</v>
      </c>
      <c r="H63" s="276" t="n">
        <v>46268356.16438356</v>
      </c>
      <c r="I63" s="276" t="n">
        <v>4844236.526173487</v>
      </c>
      <c r="J63" s="276" t="n">
        <v>38072.33399621865</v>
      </c>
      <c r="K63" s="276" t="inlineStr">
        <is>
          <t>No</t>
        </is>
      </c>
      <c r="L63" s="276" t="n"/>
      <c r="M63" s="276" t="n"/>
      <c r="N63" s="276" t="n"/>
      <c r="O63" s="276" t="n"/>
      <c r="P63" s="277" t="n"/>
    </row>
    <row r="64">
      <c r="A64" s="275" t="inlineStr">
        <is>
          <t>Malicious insider</t>
        </is>
      </c>
      <c r="B64" s="276" t="inlineStr">
        <is>
          <t>Critical business-service disruption</t>
        </is>
      </c>
      <c r="C64" s="276" t="inlineStr">
        <is>
          <t>Identity and credential compromise</t>
        </is>
      </c>
      <c r="D64" s="276" t="n">
        <v>0.002304147465437788</v>
      </c>
      <c r="E64" s="276" t="n">
        <v>0.05898750000000001</v>
      </c>
      <c r="F64" s="276" t="n">
        <v>0.0001359158986175116</v>
      </c>
      <c r="G64" s="276" t="n">
        <v>4420753.424657534</v>
      </c>
      <c r="H64" s="276" t="n">
        <v>90133013.69863012</v>
      </c>
      <c r="I64" s="276" t="n">
        <v>10186141.8209453</v>
      </c>
      <c r="J64" s="276" t="n">
        <v>1384.458619039196</v>
      </c>
      <c r="K64" s="276" t="inlineStr">
        <is>
          <t>No</t>
        </is>
      </c>
      <c r="L64" s="276" t="n"/>
      <c r="M64" s="276" t="n"/>
      <c r="N64" s="276" t="n"/>
      <c r="O64" s="276" t="n"/>
      <c r="P64" s="277" t="n"/>
    </row>
    <row r="65">
      <c r="A65" s="275" t="inlineStr">
        <is>
          <t>Malicious insider</t>
        </is>
      </c>
      <c r="B65" s="276" t="inlineStr">
        <is>
          <t>Critical business-service disruption</t>
        </is>
      </c>
      <c r="C65" s="276" t="inlineStr">
        <is>
          <t>User endpoint and social engineering</t>
        </is>
      </c>
      <c r="D65" s="276" t="n">
        <v>0.002027649769585254</v>
      </c>
      <c r="E65" s="276" t="n">
        <v>0.025515</v>
      </c>
      <c r="F65" s="276" t="n">
        <v>5.173548387096775e-05</v>
      </c>
      <c r="G65" s="276" t="n">
        <v>4420753.424657534</v>
      </c>
      <c r="H65" s="276" t="n">
        <v>90133013.69863012</v>
      </c>
      <c r="I65" s="276" t="n">
        <v>10186141.8209453</v>
      </c>
      <c r="J65" s="276" t="n">
        <v>526.9849758849056</v>
      </c>
      <c r="K65" s="276" t="inlineStr">
        <is>
          <t>No</t>
        </is>
      </c>
      <c r="L65" s="276" t="n"/>
      <c r="M65" s="276" t="n"/>
      <c r="N65" s="276" t="n"/>
      <c r="O65" s="276" t="n"/>
      <c r="P65" s="277" t="n"/>
    </row>
    <row r="66">
      <c r="A66" s="275" t="inlineStr">
        <is>
          <t>Malicious insider</t>
        </is>
      </c>
      <c r="B66" s="276" t="inlineStr">
        <is>
          <t>Critical business-service disruption</t>
        </is>
      </c>
      <c r="C66" s="276" t="inlineStr">
        <is>
          <t>Public-facing application exploitation</t>
        </is>
      </c>
      <c r="D66" s="276" t="n">
        <v>0</v>
      </c>
      <c r="E66" s="276" t="n">
        <v>0</v>
      </c>
      <c r="F66" s="276" t="n">
        <v>0</v>
      </c>
      <c r="G66" s="276" t="n">
        <v>4420753.424657534</v>
      </c>
      <c r="H66" s="276" t="n">
        <v>90133013.69863012</v>
      </c>
      <c r="I66" s="276" t="n">
        <v>10186141.8209453</v>
      </c>
      <c r="J66" s="276" t="n">
        <v>0</v>
      </c>
      <c r="K66" s="276" t="inlineStr">
        <is>
          <t>No</t>
        </is>
      </c>
      <c r="L66" s="276" t="n"/>
      <c r="M66" s="276" t="n"/>
      <c r="N66" s="276" t="n"/>
      <c r="O66" s="276" t="n"/>
      <c r="P66" s="277" t="n"/>
    </row>
    <row r="67">
      <c r="A67" s="275" t="inlineStr">
        <is>
          <t>Malicious insider</t>
        </is>
      </c>
      <c r="B67" s="276" t="inlineStr">
        <is>
          <t>Critical business-service disruption</t>
        </is>
      </c>
      <c r="C67" s="276" t="inlineStr">
        <is>
          <t>Third-party or software supply chain</t>
        </is>
      </c>
      <c r="D67" s="276" t="n">
        <v>0.002304147465437788</v>
      </c>
      <c r="E67" s="276" t="n">
        <v>0.196625</v>
      </c>
      <c r="F67" s="276" t="n">
        <v>0.0004530529953917052</v>
      </c>
      <c r="G67" s="276" t="n">
        <v>4420753.424657534</v>
      </c>
      <c r="H67" s="276" t="n">
        <v>90133013.69863012</v>
      </c>
      <c r="I67" s="276" t="n">
        <v>10186141.8209453</v>
      </c>
      <c r="J67" s="276" t="n">
        <v>4614.862063463986</v>
      </c>
      <c r="K67" s="276" t="inlineStr">
        <is>
          <t>No</t>
        </is>
      </c>
      <c r="L67" s="276" t="n"/>
      <c r="M67" s="276" t="n"/>
      <c r="N67" s="276" t="n"/>
      <c r="O67" s="276" t="n"/>
      <c r="P67" s="277" t="n"/>
    </row>
    <row r="68">
      <c r="A68" s="275" t="inlineStr">
        <is>
          <t>Malicious insider</t>
        </is>
      </c>
      <c r="B68" s="276" t="inlineStr">
        <is>
          <t>Critical business-service disruption</t>
        </is>
      </c>
      <c r="C68" s="276" t="inlineStr">
        <is>
          <t>Direct availability or DDoS</t>
        </is>
      </c>
      <c r="D68" s="276" t="n">
        <v>0</v>
      </c>
      <c r="E68" s="276" t="n">
        <v>0</v>
      </c>
      <c r="F68" s="276" t="n">
        <v>0</v>
      </c>
      <c r="G68" s="276" t="n">
        <v>4420753.424657534</v>
      </c>
      <c r="H68" s="276" t="n">
        <v>90133013.69863012</v>
      </c>
      <c r="I68" s="276" t="n">
        <v>10186141.8209453</v>
      </c>
      <c r="J68" s="276" t="n">
        <v>0</v>
      </c>
      <c r="K68" s="276" t="inlineStr">
        <is>
          <t>No</t>
        </is>
      </c>
      <c r="L68" s="276" t="n"/>
      <c r="M68" s="276" t="n"/>
      <c r="N68" s="276" t="n"/>
      <c r="O68" s="276" t="n"/>
      <c r="P68" s="277" t="n"/>
    </row>
    <row r="69">
      <c r="A69" s="275" t="inlineStr">
        <is>
          <t>Malicious insider</t>
        </is>
      </c>
      <c r="B69" s="276" t="inlineStr">
        <is>
          <t>Critical business-service disruption</t>
        </is>
      </c>
      <c r="C69" s="276" t="inlineStr">
        <is>
          <t>Insider or trusted access</t>
        </is>
      </c>
      <c r="D69" s="276" t="n">
        <v>0.01336405529953917</v>
      </c>
      <c r="E69" s="276" t="n">
        <v>0.29575</v>
      </c>
      <c r="F69" s="276" t="n">
        <v>0.00395241935483871</v>
      </c>
      <c r="G69" s="276" t="n">
        <v>4420753.424657534</v>
      </c>
      <c r="H69" s="276" t="n">
        <v>90133013.69863012</v>
      </c>
      <c r="I69" s="276" t="n">
        <v>10186141.8209453</v>
      </c>
      <c r="J69" s="276" t="n">
        <v>40259.90408423622</v>
      </c>
      <c r="K69" s="276" t="inlineStr">
        <is>
          <t>No</t>
        </is>
      </c>
      <c r="L69" s="276" t="n"/>
      <c r="M69" s="276" t="n"/>
      <c r="N69" s="276" t="n"/>
      <c r="O69" s="276" t="n"/>
      <c r="P69" s="277" t="n"/>
    </row>
    <row r="70">
      <c r="A70" s="275" t="inlineStr">
        <is>
          <t>Malicious insider</t>
        </is>
      </c>
      <c r="B70" s="276" t="inlineStr">
        <is>
          <t>Sensitive-data compromise</t>
        </is>
      </c>
      <c r="C70" s="276" t="inlineStr">
        <is>
          <t>Identity and credential compromise</t>
        </is>
      </c>
      <c r="D70" s="276" t="n">
        <v>0.004513540621865597</v>
      </c>
      <c r="E70" s="276" t="n">
        <v>0.05898750000000001</v>
      </c>
      <c r="F70" s="276" t="n">
        <v>0.000266242477432297</v>
      </c>
      <c r="G70" s="276" t="n">
        <v>5093972.602739726</v>
      </c>
      <c r="H70" s="276" t="n">
        <v>88368904.10958904</v>
      </c>
      <c r="I70" s="276" t="n">
        <v>10775408.82315819</v>
      </c>
      <c r="J70" s="276" t="n">
        <v>2868.871540423469</v>
      </c>
      <c r="K70" s="276" t="inlineStr">
        <is>
          <t>No</t>
        </is>
      </c>
      <c r="L70" s="276" t="n"/>
      <c r="M70" s="276" t="n"/>
      <c r="N70" s="276" t="n"/>
      <c r="O70" s="276" t="n"/>
      <c r="P70" s="277" t="n"/>
    </row>
    <row r="71">
      <c r="A71" s="275" t="inlineStr">
        <is>
          <t>Malicious insider</t>
        </is>
      </c>
      <c r="B71" s="276" t="inlineStr">
        <is>
          <t>Sensitive-data compromise</t>
        </is>
      </c>
      <c r="C71" s="276" t="inlineStr">
        <is>
          <t>User endpoint and social engineering</t>
        </is>
      </c>
      <c r="D71" s="276" t="n">
        <v>0.001985957873620863</v>
      </c>
      <c r="E71" s="276" t="n">
        <v>0.025515</v>
      </c>
      <c r="F71" s="276" t="n">
        <v>5.067171514543631e-05</v>
      </c>
      <c r="G71" s="276" t="n">
        <v>5093972.602739726</v>
      </c>
      <c r="H71" s="276" t="n">
        <v>88368904.10958904</v>
      </c>
      <c r="I71" s="276" t="n">
        <v>10775408.82315819</v>
      </c>
      <c r="J71" s="276" t="n">
        <v>546.008446462693</v>
      </c>
      <c r="K71" s="276" t="inlineStr">
        <is>
          <t>No</t>
        </is>
      </c>
      <c r="L71" s="276" t="n"/>
      <c r="M71" s="276" t="n"/>
      <c r="N71" s="276" t="n"/>
      <c r="O71" s="276" t="n"/>
      <c r="P71" s="277" t="n"/>
    </row>
    <row r="72">
      <c r="A72" s="275" t="inlineStr">
        <is>
          <t>Malicious insider</t>
        </is>
      </c>
      <c r="B72" s="276" t="inlineStr">
        <is>
          <t>Sensitive-data compromise</t>
        </is>
      </c>
      <c r="C72" s="276" t="inlineStr">
        <is>
          <t>Public-facing application exploitation</t>
        </is>
      </c>
      <c r="D72" s="276" t="n">
        <v>0</v>
      </c>
      <c r="E72" s="276" t="n">
        <v>0</v>
      </c>
      <c r="F72" s="276" t="n">
        <v>0</v>
      </c>
      <c r="G72" s="276" t="n">
        <v>5093972.602739726</v>
      </c>
      <c r="H72" s="276" t="n">
        <v>88368904.10958904</v>
      </c>
      <c r="I72" s="276" t="n">
        <v>10775408.82315819</v>
      </c>
      <c r="J72" s="276" t="n">
        <v>0</v>
      </c>
      <c r="K72" s="276" t="inlineStr">
        <is>
          <t>No</t>
        </is>
      </c>
      <c r="L72" s="276" t="n"/>
      <c r="M72" s="276" t="n"/>
      <c r="N72" s="276" t="n"/>
      <c r="O72" s="276" t="n"/>
      <c r="P72" s="277" t="n"/>
    </row>
    <row r="73">
      <c r="A73" s="275" t="inlineStr">
        <is>
          <t>Malicious insider</t>
        </is>
      </c>
      <c r="B73" s="276" t="inlineStr">
        <is>
          <t>Sensitive-data compromise</t>
        </is>
      </c>
      <c r="C73" s="276" t="inlineStr">
        <is>
          <t>Third-party or software supply chain</t>
        </is>
      </c>
      <c r="D73" s="276" t="n">
        <v>0.002557673019057172</v>
      </c>
      <c r="E73" s="276" t="n">
        <v>0.196625</v>
      </c>
      <c r="F73" s="276" t="n">
        <v>0.0005029024573721166</v>
      </c>
      <c r="G73" s="276" t="n">
        <v>5093972.602739726</v>
      </c>
      <c r="H73" s="276" t="n">
        <v>88368904.10958904</v>
      </c>
      <c r="I73" s="276" t="n">
        <v>10775408.82315819</v>
      </c>
      <c r="J73" s="276" t="n">
        <v>5418.979576355441</v>
      </c>
      <c r="K73" s="276" t="inlineStr">
        <is>
          <t>No</t>
        </is>
      </c>
      <c r="L73" s="276" t="n"/>
      <c r="M73" s="276" t="n"/>
      <c r="N73" s="276" t="n"/>
      <c r="O73" s="276" t="n"/>
      <c r="P73" s="277" t="n"/>
    </row>
    <row r="74">
      <c r="A74" s="275" t="inlineStr">
        <is>
          <t>Malicious insider</t>
        </is>
      </c>
      <c r="B74" s="276" t="inlineStr">
        <is>
          <t>Sensitive-data compromise</t>
        </is>
      </c>
      <c r="C74" s="276" t="inlineStr">
        <is>
          <t>Direct availability or DDoS</t>
        </is>
      </c>
      <c r="D74" s="276" t="n">
        <v>0</v>
      </c>
      <c r="E74" s="276" t="n">
        <v>0</v>
      </c>
      <c r="F74" s="276" t="n">
        <v>0</v>
      </c>
      <c r="G74" s="276" t="n">
        <v>5093972.602739726</v>
      </c>
      <c r="H74" s="276" t="n">
        <v>88368904.10958904</v>
      </c>
      <c r="I74" s="276" t="n">
        <v>10775408.82315819</v>
      </c>
      <c r="J74" s="276" t="n">
        <v>0</v>
      </c>
      <c r="K74" s="276" t="inlineStr">
        <is>
          <t>No</t>
        </is>
      </c>
      <c r="L74" s="276" t="n"/>
      <c r="M74" s="276" t="n"/>
      <c r="N74" s="276" t="n"/>
      <c r="O74" s="276" t="n"/>
      <c r="P74" s="277" t="n"/>
    </row>
    <row r="75">
      <c r="A75" s="275" t="inlineStr">
        <is>
          <t>Malicious insider</t>
        </is>
      </c>
      <c r="B75" s="276" t="inlineStr">
        <is>
          <t>Sensitive-data compromise</t>
        </is>
      </c>
      <c r="C75" s="276" t="inlineStr">
        <is>
          <t>Insider or trusted access</t>
        </is>
      </c>
      <c r="D75" s="276" t="n">
        <v>0.02094282848545637</v>
      </c>
      <c r="E75" s="276" t="n">
        <v>0.29575</v>
      </c>
      <c r="F75" s="276" t="n">
        <v>0.00619384152457372</v>
      </c>
      <c r="G75" s="276" t="n">
        <v>5093972.602739726</v>
      </c>
      <c r="H75" s="276" t="n">
        <v>88368904.10958904</v>
      </c>
      <c r="I75" s="276" t="n">
        <v>10775408.82315819</v>
      </c>
      <c r="J75" s="276" t="n">
        <v>66741.17461313524</v>
      </c>
      <c r="K75" s="276" t="inlineStr">
        <is>
          <t>No</t>
        </is>
      </c>
      <c r="L75" s="276" t="n"/>
      <c r="M75" s="276" t="n"/>
      <c r="N75" s="276" t="n"/>
      <c r="O75" s="276" t="n"/>
      <c r="P75" s="277" t="n"/>
    </row>
    <row r="76">
      <c r="A76" s="275" t="inlineStr">
        <is>
          <t>Malicious insider</t>
        </is>
      </c>
      <c r="B76" s="276" t="inlineStr">
        <is>
          <t>Data or transaction-integrity compromise</t>
        </is>
      </c>
      <c r="C76" s="276" t="inlineStr">
        <is>
          <t>Identity and credential compromise</t>
        </is>
      </c>
      <c r="D76" s="276" t="n">
        <v>0.001218971631205674</v>
      </c>
      <c r="E76" s="276" t="n">
        <v>0.05898750000000001</v>
      </c>
      <c r="F76" s="276" t="n">
        <v>7.190408909574471e-05</v>
      </c>
      <c r="G76" s="276" t="n">
        <v>4203287.671232876</v>
      </c>
      <c r="H76" s="276" t="n">
        <v>83060684.93150684</v>
      </c>
      <c r="I76" s="276" t="n">
        <v>9541651.690363882</v>
      </c>
      <c r="J76" s="276" t="n">
        <v>686.0837732644876</v>
      </c>
      <c r="K76" s="276" t="inlineStr">
        <is>
          <t>No</t>
        </is>
      </c>
      <c r="L76" s="276" t="n"/>
      <c r="M76" s="276" t="n"/>
      <c r="N76" s="276" t="n"/>
      <c r="O76" s="276" t="n"/>
      <c r="P76" s="277" t="n"/>
    </row>
    <row r="77">
      <c r="A77" s="275" t="inlineStr">
        <is>
          <t>Malicious insider</t>
        </is>
      </c>
      <c r="B77" s="276" t="inlineStr">
        <is>
          <t>Data or transaction-integrity compromise</t>
        </is>
      </c>
      <c r="C77" s="276" t="inlineStr">
        <is>
          <t>User endpoint and social engineering</t>
        </is>
      </c>
      <c r="D77" s="276" t="n">
        <v>0.0004986702127659574</v>
      </c>
      <c r="E77" s="276" t="n">
        <v>0.025515</v>
      </c>
      <c r="F77" s="276" t="n">
        <v>1.27235704787234e-05</v>
      </c>
      <c r="G77" s="276" t="n">
        <v>4203287.671232876</v>
      </c>
      <c r="H77" s="276" t="n">
        <v>83060684.93150684</v>
      </c>
      <c r="I77" s="276" t="n">
        <v>9541651.690363882</v>
      </c>
      <c r="J77" s="276" t="n">
        <v>121.4038777657751</v>
      </c>
      <c r="K77" s="276" t="inlineStr">
        <is>
          <t>No</t>
        </is>
      </c>
      <c r="L77" s="276" t="n"/>
      <c r="M77" s="276" t="n"/>
      <c r="N77" s="276" t="n"/>
      <c r="O77" s="276" t="n"/>
      <c r="P77" s="277" t="n"/>
    </row>
    <row r="78">
      <c r="A78" s="275" t="inlineStr">
        <is>
          <t>Malicious insider</t>
        </is>
      </c>
      <c r="B78" s="276" t="inlineStr">
        <is>
          <t>Data or transaction-integrity compromise</t>
        </is>
      </c>
      <c r="C78" s="276" t="inlineStr">
        <is>
          <t>Public-facing application exploitation</t>
        </is>
      </c>
      <c r="D78" s="276" t="n">
        <v>0</v>
      </c>
      <c r="E78" s="276" t="n">
        <v>0</v>
      </c>
      <c r="F78" s="276" t="n">
        <v>0</v>
      </c>
      <c r="G78" s="276" t="n">
        <v>4203287.671232876</v>
      </c>
      <c r="H78" s="276" t="n">
        <v>83060684.93150684</v>
      </c>
      <c r="I78" s="276" t="n">
        <v>9541651.690363882</v>
      </c>
      <c r="J78" s="276" t="n">
        <v>0</v>
      </c>
      <c r="K78" s="276" t="inlineStr">
        <is>
          <t>No</t>
        </is>
      </c>
      <c r="L78" s="276" t="n"/>
      <c r="M78" s="276" t="n"/>
      <c r="N78" s="276" t="n"/>
      <c r="O78" s="276" t="n"/>
      <c r="P78" s="277" t="n"/>
    </row>
    <row r="79">
      <c r="A79" s="275" t="inlineStr">
        <is>
          <t>Malicious insider</t>
        </is>
      </c>
      <c r="B79" s="276" t="inlineStr">
        <is>
          <t>Data or transaction-integrity compromise</t>
        </is>
      </c>
      <c r="C79" s="276" t="inlineStr">
        <is>
          <t>Third-party or software supply chain</t>
        </is>
      </c>
      <c r="D79" s="276" t="n">
        <v>0.001108156028368795</v>
      </c>
      <c r="E79" s="276" t="n">
        <v>0.196625</v>
      </c>
      <c r="F79" s="276" t="n">
        <v>0.0002178911790780143</v>
      </c>
      <c r="G79" s="276" t="n">
        <v>4203287.671232876</v>
      </c>
      <c r="H79" s="276" t="n">
        <v>83060684.93150684</v>
      </c>
      <c r="I79" s="276" t="n">
        <v>9541651.690363882</v>
      </c>
      <c r="J79" s="276" t="n">
        <v>2079.041737165115</v>
      </c>
      <c r="K79" s="276" t="inlineStr">
        <is>
          <t>No</t>
        </is>
      </c>
      <c r="L79" s="276" t="n"/>
      <c r="M79" s="276" t="n"/>
      <c r="N79" s="276" t="n"/>
      <c r="O79" s="276" t="n"/>
      <c r="P79" s="277" t="n"/>
    </row>
    <row r="80">
      <c r="A80" s="275" t="inlineStr">
        <is>
          <t>Malicious insider</t>
        </is>
      </c>
      <c r="B80" s="276" t="inlineStr">
        <is>
          <t>Data or transaction-integrity compromise</t>
        </is>
      </c>
      <c r="C80" s="276" t="inlineStr">
        <is>
          <t>Direct availability or DDoS</t>
        </is>
      </c>
      <c r="D80" s="276" t="n">
        <v>0</v>
      </c>
      <c r="E80" s="276" t="n">
        <v>0</v>
      </c>
      <c r="F80" s="276" t="n">
        <v>0</v>
      </c>
      <c r="G80" s="276" t="n">
        <v>4203287.671232876</v>
      </c>
      <c r="H80" s="276" t="n">
        <v>83060684.93150684</v>
      </c>
      <c r="I80" s="276" t="n">
        <v>9541651.690363882</v>
      </c>
      <c r="J80" s="276" t="n">
        <v>0</v>
      </c>
      <c r="K80" s="276" t="inlineStr">
        <is>
          <t>No</t>
        </is>
      </c>
      <c r="L80" s="276" t="n"/>
      <c r="M80" s="276" t="n"/>
      <c r="N80" s="276" t="n"/>
      <c r="O80" s="276" t="n"/>
      <c r="P80" s="277" t="n"/>
    </row>
    <row r="81">
      <c r="A81" s="275" t="inlineStr">
        <is>
          <t>Malicious insider</t>
        </is>
      </c>
      <c r="B81" s="276" t="inlineStr">
        <is>
          <t>Data or transaction-integrity compromise</t>
        </is>
      </c>
      <c r="C81" s="276" t="inlineStr">
        <is>
          <t>Insider or trusted access</t>
        </is>
      </c>
      <c r="D81" s="276" t="n">
        <v>0.02217420212765958</v>
      </c>
      <c r="E81" s="276" t="n">
        <v>0.29575</v>
      </c>
      <c r="F81" s="276" t="n">
        <v>0.006558020279255319</v>
      </c>
      <c r="G81" s="276" t="n">
        <v>4203287.671232876</v>
      </c>
      <c r="H81" s="276" t="n">
        <v>83060684.93150684</v>
      </c>
      <c r="I81" s="276" t="n">
        <v>9541651.690363882</v>
      </c>
      <c r="J81" s="276" t="n">
        <v>62574.34528299713</v>
      </c>
      <c r="K81" s="276" t="inlineStr">
        <is>
          <t>No</t>
        </is>
      </c>
      <c r="L81" s="276" t="n"/>
      <c r="M81" s="276" t="n"/>
      <c r="N81" s="276" t="n"/>
      <c r="O81" s="276" t="n"/>
      <c r="P81" s="277" t="n"/>
    </row>
    <row r="82">
      <c r="A82" s="275" t="inlineStr">
        <is>
          <t>Malicious insider</t>
        </is>
      </c>
      <c r="B82" s="276" t="inlineStr">
        <is>
          <t>Cyber-enabled theft or fraud</t>
        </is>
      </c>
      <c r="C82" s="276" t="inlineStr">
        <is>
          <t>Identity and credential compromise</t>
        </is>
      </c>
      <c r="D82" s="276" t="n">
        <v>0.001616777531411678</v>
      </c>
      <c r="E82" s="276" t="n">
        <v>0.10725</v>
      </c>
      <c r="F82" s="276" t="n">
        <v>0.0001733993902439025</v>
      </c>
      <c r="G82" s="276" t="n">
        <v>1889794.520547945</v>
      </c>
      <c r="H82" s="276" t="n">
        <v>46268356.16438356</v>
      </c>
      <c r="I82" s="276" t="n">
        <v>4844236.526173487</v>
      </c>
      <c r="J82" s="276" t="n">
        <v>839.987659835723</v>
      </c>
      <c r="K82" s="276" t="inlineStr">
        <is>
          <t>No</t>
        </is>
      </c>
      <c r="L82" s="276" t="n"/>
      <c r="M82" s="276" t="n"/>
      <c r="N82" s="276" t="n"/>
      <c r="O82" s="276" t="n"/>
      <c r="P82" s="277" t="n"/>
    </row>
    <row r="83">
      <c r="A83" s="275" t="inlineStr">
        <is>
          <t>Malicious insider</t>
        </is>
      </c>
      <c r="B83" s="276" t="inlineStr">
        <is>
          <t>Cyber-enabled theft or fraud</t>
        </is>
      </c>
      <c r="C83" s="276" t="inlineStr">
        <is>
          <t>User endpoint and social engineering</t>
        </is>
      </c>
      <c r="D83" s="276" t="n">
        <v>0.0004157427937915743</v>
      </c>
      <c r="E83" s="276" t="n">
        <v>0.126</v>
      </c>
      <c r="F83" s="276" t="n">
        <v>5.238359201773836e-05</v>
      </c>
      <c r="G83" s="276" t="n">
        <v>1889794.520547945</v>
      </c>
      <c r="H83" s="276" t="n">
        <v>46268356.16438356</v>
      </c>
      <c r="I83" s="276" t="n">
        <v>4844236.526173487</v>
      </c>
      <c r="J83" s="276" t="n">
        <v>253.7585098244981</v>
      </c>
      <c r="K83" s="276" t="inlineStr">
        <is>
          <t>No</t>
        </is>
      </c>
      <c r="L83" s="276" t="n"/>
      <c r="M83" s="276" t="n"/>
      <c r="N83" s="276" t="n"/>
      <c r="O83" s="276" t="n"/>
      <c r="P83" s="277" t="n"/>
    </row>
    <row r="84">
      <c r="A84" s="275" t="inlineStr">
        <is>
          <t>Malicious insider</t>
        </is>
      </c>
      <c r="B84" s="276" t="inlineStr">
        <is>
          <t>Cyber-enabled theft or fraud</t>
        </is>
      </c>
      <c r="C84" s="276" t="inlineStr">
        <is>
          <t>Public-facing application exploitation</t>
        </is>
      </c>
      <c r="D84" s="276" t="n">
        <v>0</v>
      </c>
      <c r="E84" s="276" t="n">
        <v>0</v>
      </c>
      <c r="F84" s="276" t="n">
        <v>0</v>
      </c>
      <c r="G84" s="276" t="n">
        <v>1889794.520547945</v>
      </c>
      <c r="H84" s="276" t="n">
        <v>46268356.16438356</v>
      </c>
      <c r="I84" s="276" t="n">
        <v>4844236.526173487</v>
      </c>
      <c r="J84" s="276" t="n">
        <v>0</v>
      </c>
      <c r="K84" s="276" t="inlineStr">
        <is>
          <t>No</t>
        </is>
      </c>
      <c r="L84" s="276" t="n"/>
      <c r="M84" s="276" t="n"/>
      <c r="N84" s="276" t="n"/>
      <c r="O84" s="276" t="n"/>
      <c r="P84" s="277" t="n"/>
    </row>
    <row r="85">
      <c r="A85" s="275" t="inlineStr">
        <is>
          <t>Malicious insider</t>
        </is>
      </c>
      <c r="B85" s="276" t="inlineStr">
        <is>
          <t>Cyber-enabled theft or fraud</t>
        </is>
      </c>
      <c r="C85" s="276" t="inlineStr">
        <is>
          <t>Third-party or software supply chain</t>
        </is>
      </c>
      <c r="D85" s="276" t="n">
        <v>0.0004619364375461938</v>
      </c>
      <c r="E85" s="276" t="n">
        <v>0.196625</v>
      </c>
      <c r="F85" s="276" t="n">
        <v>9.082825203252037e-05</v>
      </c>
      <c r="G85" s="276" t="n">
        <v>1889794.520547945</v>
      </c>
      <c r="H85" s="276" t="n">
        <v>46268356.16438356</v>
      </c>
      <c r="I85" s="276" t="n">
        <v>4844236.526173487</v>
      </c>
      <c r="J85" s="276" t="n">
        <v>439.9935361044265</v>
      </c>
      <c r="K85" s="276" t="inlineStr">
        <is>
          <t>No</t>
        </is>
      </c>
      <c r="L85" s="276" t="n"/>
      <c r="M85" s="276" t="n"/>
      <c r="N85" s="276" t="n"/>
      <c r="O85" s="276" t="n"/>
      <c r="P85" s="277" t="n"/>
    </row>
    <row r="86">
      <c r="A86" s="275" t="inlineStr">
        <is>
          <t>Malicious insider</t>
        </is>
      </c>
      <c r="B86" s="276" t="inlineStr">
        <is>
          <t>Cyber-enabled theft or fraud</t>
        </is>
      </c>
      <c r="C86" s="276" t="inlineStr">
        <is>
          <t>Direct availability or DDoS</t>
        </is>
      </c>
      <c r="D86" s="276" t="n">
        <v>0</v>
      </c>
      <c r="E86" s="276" t="n">
        <v>0</v>
      </c>
      <c r="F86" s="276" t="n">
        <v>0</v>
      </c>
      <c r="G86" s="276" t="n">
        <v>1889794.520547945</v>
      </c>
      <c r="H86" s="276" t="n">
        <v>46268356.16438356</v>
      </c>
      <c r="I86" s="276" t="n">
        <v>4844236.526173487</v>
      </c>
      <c r="J86" s="276" t="n">
        <v>0</v>
      </c>
      <c r="K86" s="276" t="inlineStr">
        <is>
          <t>No</t>
        </is>
      </c>
      <c r="L86" s="276" t="n"/>
      <c r="M86" s="276" t="n"/>
      <c r="N86" s="276" t="n"/>
      <c r="O86" s="276" t="n"/>
      <c r="P86" s="277" t="n"/>
    </row>
    <row r="87">
      <c r="A87" s="275" t="inlineStr">
        <is>
          <t>Malicious insider</t>
        </is>
      </c>
      <c r="B87" s="276" t="inlineStr">
        <is>
          <t>Cyber-enabled theft or fraud</t>
        </is>
      </c>
      <c r="C87" s="276" t="inlineStr">
        <is>
          <t>Insider or trusted access</t>
        </is>
      </c>
      <c r="D87" s="276" t="n">
        <v>0.02250554323725056</v>
      </c>
      <c r="E87" s="276" t="n">
        <v>0.455</v>
      </c>
      <c r="F87" s="276" t="n">
        <v>0.010240022172949</v>
      </c>
      <c r="G87" s="276" t="n">
        <v>1889794.520547945</v>
      </c>
      <c r="H87" s="276" t="n">
        <v>46268356.16438356</v>
      </c>
      <c r="I87" s="276" t="n">
        <v>4844236.526173487</v>
      </c>
      <c r="J87" s="276" t="n">
        <v>49605.08943902596</v>
      </c>
      <c r="K87" s="276" t="inlineStr">
        <is>
          <t>No</t>
        </is>
      </c>
      <c r="L87" s="276" t="n"/>
      <c r="M87" s="276" t="n"/>
      <c r="N87" s="276" t="n"/>
      <c r="O87" s="276" t="n"/>
      <c r="P87" s="277" t="n"/>
    </row>
    <row r="88">
      <c r="A88" s="275" t="inlineStr">
        <is>
          <t>Hacktivist</t>
        </is>
      </c>
      <c r="B88" s="276" t="inlineStr">
        <is>
          <t>Critical business-service disruption</t>
        </is>
      </c>
      <c r="C88" s="276" t="inlineStr">
        <is>
          <t>Identity and credential compromise</t>
        </is>
      </c>
      <c r="D88" s="276" t="n">
        <v>0.005751533742331289</v>
      </c>
      <c r="E88" s="276" t="n">
        <v>0.05898750000000001</v>
      </c>
      <c r="F88" s="276" t="n">
        <v>0.000339268596625767</v>
      </c>
      <c r="G88" s="276" t="n">
        <v>4420753.424657534</v>
      </c>
      <c r="H88" s="276" t="n">
        <v>90133013.69863012</v>
      </c>
      <c r="I88" s="276" t="n">
        <v>10186141.8209453</v>
      </c>
      <c r="J88" s="276" t="n">
        <v>3455.838040623146</v>
      </c>
      <c r="K88" s="276" t="inlineStr">
        <is>
          <t>No</t>
        </is>
      </c>
      <c r="L88" s="276" t="n"/>
      <c r="M88" s="276" t="n"/>
      <c r="N88" s="276" t="n"/>
      <c r="O88" s="276" t="n"/>
      <c r="P88" s="277" t="n"/>
    </row>
    <row r="89">
      <c r="A89" s="275" t="inlineStr">
        <is>
          <t>Hacktivist</t>
        </is>
      </c>
      <c r="B89" s="276" t="inlineStr">
        <is>
          <t>Critical business-service disruption</t>
        </is>
      </c>
      <c r="C89" s="276" t="inlineStr">
        <is>
          <t>User endpoint and social engineering</t>
        </is>
      </c>
      <c r="D89" s="276" t="n">
        <v>0.006748466257668713</v>
      </c>
      <c r="E89" s="276" t="n">
        <v>0.025515</v>
      </c>
      <c r="F89" s="276" t="n">
        <v>0.0001721871165644172</v>
      </c>
      <c r="G89" s="276" t="n">
        <v>4420753.424657534</v>
      </c>
      <c r="H89" s="276" t="n">
        <v>90133013.69863012</v>
      </c>
      <c r="I89" s="276" t="n">
        <v>10186141.8209453</v>
      </c>
      <c r="J89" s="276" t="n">
        <v>1753.922389064793</v>
      </c>
      <c r="K89" s="276" t="inlineStr">
        <is>
          <t>No</t>
        </is>
      </c>
      <c r="L89" s="276" t="n"/>
      <c r="M89" s="276" t="n"/>
      <c r="N89" s="276" t="n"/>
      <c r="O89" s="276" t="n"/>
      <c r="P89" s="277" t="n"/>
    </row>
    <row r="90">
      <c r="A90" s="275" t="inlineStr">
        <is>
          <t>Hacktivist</t>
        </is>
      </c>
      <c r="B90" s="276" t="inlineStr">
        <is>
          <t>Critical business-service disruption</t>
        </is>
      </c>
      <c r="C90" s="276" t="inlineStr">
        <is>
          <t>Public-facing application exploitation</t>
        </is>
      </c>
      <c r="D90" s="276" t="n">
        <v>0.01322852760736197</v>
      </c>
      <c r="E90" s="276" t="n">
        <v>0.02025</v>
      </c>
      <c r="F90" s="276" t="n">
        <v>0.0002678776840490798</v>
      </c>
      <c r="G90" s="276" t="n">
        <v>4420753.424657534</v>
      </c>
      <c r="H90" s="276" t="n">
        <v>90133013.69863012</v>
      </c>
      <c r="I90" s="276" t="n">
        <v>10186141.8209453</v>
      </c>
      <c r="J90" s="276" t="n">
        <v>2728.640080390303</v>
      </c>
      <c r="K90" s="276" t="inlineStr">
        <is>
          <t>No</t>
        </is>
      </c>
      <c r="L90" s="276" t="n"/>
      <c r="M90" s="276" t="n"/>
      <c r="N90" s="276" t="n"/>
      <c r="O90" s="276" t="n"/>
      <c r="P90" s="277" t="n"/>
    </row>
    <row r="91">
      <c r="A91" s="275" t="inlineStr">
        <is>
          <t>Hacktivist</t>
        </is>
      </c>
      <c r="B91" s="276" t="inlineStr">
        <is>
          <t>Critical business-service disruption</t>
        </is>
      </c>
      <c r="C91" s="276" t="inlineStr">
        <is>
          <t>Third-party or software supply chain</t>
        </is>
      </c>
      <c r="D91" s="276" t="n">
        <v>0.002875766871165644</v>
      </c>
      <c r="E91" s="276" t="n">
        <v>0.196625</v>
      </c>
      <c r="F91" s="276" t="n">
        <v>0.0005654476610429449</v>
      </c>
      <c r="G91" s="276" t="n">
        <v>4420753.424657534</v>
      </c>
      <c r="H91" s="276" t="n">
        <v>90133013.69863012</v>
      </c>
      <c r="I91" s="276" t="n">
        <v>10186141.8209453</v>
      </c>
      <c r="J91" s="276" t="n">
        <v>5759.730067705243</v>
      </c>
      <c r="K91" s="276" t="inlineStr">
        <is>
          <t>No</t>
        </is>
      </c>
      <c r="L91" s="276" t="n"/>
      <c r="M91" s="276" t="n"/>
      <c r="N91" s="276" t="n"/>
      <c r="O91" s="276" t="n"/>
      <c r="P91" s="277" t="n"/>
    </row>
    <row r="92">
      <c r="A92" s="275" t="inlineStr">
        <is>
          <t>Hacktivist</t>
        </is>
      </c>
      <c r="B92" s="276" t="inlineStr">
        <is>
          <t>Critical business-service disruption</t>
        </is>
      </c>
      <c r="C92" s="276" t="inlineStr">
        <is>
          <t>Direct availability or DDoS</t>
        </is>
      </c>
      <c r="D92" s="276" t="n">
        <v>0.04601226993865031</v>
      </c>
      <c r="E92" s="276" t="n">
        <v>0.36</v>
      </c>
      <c r="F92" s="276" t="n">
        <v>0.01656441717791411</v>
      </c>
      <c r="G92" s="276" t="n">
        <v>4420753.424657534</v>
      </c>
      <c r="H92" s="276" t="n">
        <v>90133013.69863012</v>
      </c>
      <c r="I92" s="276" t="n">
        <v>10186141.8209453</v>
      </c>
      <c r="J92" s="276" t="n">
        <v>168727.5025555356</v>
      </c>
      <c r="K92" s="276" t="inlineStr">
        <is>
          <t>No</t>
        </is>
      </c>
      <c r="L92" s="276" t="n"/>
      <c r="M92" s="276" t="n"/>
      <c r="N92" s="276" t="n"/>
      <c r="O92" s="276" t="n"/>
      <c r="P92" s="277" t="n"/>
    </row>
    <row r="93">
      <c r="A93" s="275" t="inlineStr">
        <is>
          <t>Hacktivist</t>
        </is>
      </c>
      <c r="B93" s="276" t="inlineStr">
        <is>
          <t>Critical business-service disruption</t>
        </is>
      </c>
      <c r="C93" s="276" t="inlineStr">
        <is>
          <t>Insider or trusted access</t>
        </is>
      </c>
      <c r="D93" s="276" t="n">
        <v>0.000383435582822086</v>
      </c>
      <c r="E93" s="276" t="n">
        <v>0.29575</v>
      </c>
      <c r="F93" s="276" t="n">
        <v>0.0001134010736196319</v>
      </c>
      <c r="G93" s="276" t="n">
        <v>4420753.424657534</v>
      </c>
      <c r="H93" s="276" t="n">
        <v>90133013.69863012</v>
      </c>
      <c r="I93" s="276" t="n">
        <v>10186141.8209453</v>
      </c>
      <c r="J93" s="276" t="n">
        <v>1155.119418537029</v>
      </c>
      <c r="K93" s="276" t="inlineStr">
        <is>
          <t>No</t>
        </is>
      </c>
      <c r="L93" s="276" t="n"/>
      <c r="M93" s="276" t="n"/>
      <c r="N93" s="276" t="n"/>
      <c r="O93" s="276" t="n"/>
      <c r="P93" s="277" t="n"/>
    </row>
    <row r="94">
      <c r="A94" s="275" t="inlineStr">
        <is>
          <t>Hacktivist</t>
        </is>
      </c>
      <c r="B94" s="276" t="inlineStr">
        <is>
          <t>Sensitive-data compromise</t>
        </is>
      </c>
      <c r="C94" s="276" t="inlineStr">
        <is>
          <t>Identity and credential compromise</t>
        </is>
      </c>
      <c r="D94" s="276" t="n">
        <v>0.004880694143167028</v>
      </c>
      <c r="E94" s="276" t="n">
        <v>0.05898750000000001</v>
      </c>
      <c r="F94" s="276" t="n">
        <v>0.0002878999457700651</v>
      </c>
      <c r="G94" s="276" t="n">
        <v>4768972.602739726</v>
      </c>
      <c r="H94" s="276" t="n">
        <v>64368904.10958904</v>
      </c>
      <c r="I94" s="276" t="n">
        <v>8891717.158937963</v>
      </c>
      <c r="J94" s="276" t="n">
        <v>2559.924887860997</v>
      </c>
      <c r="K94" s="276" t="inlineStr">
        <is>
          <t>No</t>
        </is>
      </c>
      <c r="L94" s="276" t="n"/>
      <c r="M94" s="276" t="n"/>
      <c r="N94" s="276" t="n"/>
      <c r="O94" s="276" t="n"/>
      <c r="P94" s="277" t="n"/>
    </row>
    <row r="95">
      <c r="A95" s="275" t="inlineStr">
        <is>
          <t>Hacktivist</t>
        </is>
      </c>
      <c r="B95" s="276" t="inlineStr">
        <is>
          <t>Sensitive-data compromise</t>
        </is>
      </c>
      <c r="C95" s="276" t="inlineStr">
        <is>
          <t>User endpoint and social engineering</t>
        </is>
      </c>
      <c r="D95" s="276" t="n">
        <v>0.002863340563991323</v>
      </c>
      <c r="E95" s="276" t="n">
        <v>0.025515</v>
      </c>
      <c r="F95" s="276" t="n">
        <v>7.305813449023861e-05</v>
      </c>
      <c r="G95" s="276" t="n">
        <v>4768972.602739726</v>
      </c>
      <c r="H95" s="276" t="n">
        <v>64368904.10958904</v>
      </c>
      <c r="I95" s="276" t="n">
        <v>8891717.158937963</v>
      </c>
      <c r="J95" s="276" t="n">
        <v>649.612268046852</v>
      </c>
      <c r="K95" s="276" t="inlineStr">
        <is>
          <t>No</t>
        </is>
      </c>
      <c r="L95" s="276" t="n"/>
      <c r="M95" s="276" t="n"/>
      <c r="N95" s="276" t="n"/>
      <c r="O95" s="276" t="n"/>
      <c r="P95" s="277" t="n"/>
    </row>
    <row r="96">
      <c r="A96" s="275" t="inlineStr">
        <is>
          <t>Hacktivist</t>
        </is>
      </c>
      <c r="B96" s="276" t="inlineStr">
        <is>
          <t>Sensitive-data compromise</t>
        </is>
      </c>
      <c r="C96" s="276" t="inlineStr">
        <is>
          <t>Public-facing application exploitation</t>
        </is>
      </c>
      <c r="D96" s="276" t="n">
        <v>0.005612798264642082</v>
      </c>
      <c r="E96" s="276" t="n">
        <v>0.02025</v>
      </c>
      <c r="F96" s="276" t="n">
        <v>0.0001136591648590022</v>
      </c>
      <c r="G96" s="276" t="n">
        <v>4768972.602739726</v>
      </c>
      <c r="H96" s="276" t="n">
        <v>64368904.10958904</v>
      </c>
      <c r="I96" s="276" t="n">
        <v>8891717.158937963</v>
      </c>
      <c r="J96" s="276" t="n">
        <v>1010.625146447348</v>
      </c>
      <c r="K96" s="276" t="inlineStr">
        <is>
          <t>No</t>
        </is>
      </c>
      <c r="L96" s="276" t="n"/>
      <c r="M96" s="276" t="n"/>
      <c r="N96" s="276" t="n"/>
      <c r="O96" s="276" t="n"/>
      <c r="P96" s="277" t="n"/>
    </row>
    <row r="97">
      <c r="A97" s="275" t="inlineStr">
        <is>
          <t>Hacktivist</t>
        </is>
      </c>
      <c r="B97" s="276" t="inlineStr">
        <is>
          <t>Sensitive-data compromise</t>
        </is>
      </c>
      <c r="C97" s="276" t="inlineStr">
        <is>
          <t>Third-party or software supply chain</t>
        </is>
      </c>
      <c r="D97" s="276" t="n">
        <v>0.001382863340563991</v>
      </c>
      <c r="E97" s="276" t="n">
        <v>0.196625</v>
      </c>
      <c r="F97" s="276" t="n">
        <v>0.0002719055043383949</v>
      </c>
      <c r="G97" s="276" t="n">
        <v>4768972.602739726</v>
      </c>
      <c r="H97" s="276" t="n">
        <v>64368904.10958904</v>
      </c>
      <c r="I97" s="276" t="n">
        <v>8891717.158937963</v>
      </c>
      <c r="J97" s="276" t="n">
        <v>2417.706838535386</v>
      </c>
      <c r="K97" s="276" t="inlineStr">
        <is>
          <t>No</t>
        </is>
      </c>
      <c r="L97" s="276" t="n"/>
      <c r="M97" s="276" t="n"/>
      <c r="N97" s="276" t="n"/>
      <c r="O97" s="276" t="n"/>
      <c r="P97" s="277" t="n"/>
    </row>
    <row r="98">
      <c r="A98" s="275" t="inlineStr">
        <is>
          <t>Hacktivist</t>
        </is>
      </c>
      <c r="B98" s="276" t="inlineStr">
        <is>
          <t>Sensitive-data compromise</t>
        </is>
      </c>
      <c r="C98" s="276" t="inlineStr">
        <is>
          <t>Direct availability or DDoS</t>
        </is>
      </c>
      <c r="D98" s="276" t="n">
        <v>0</v>
      </c>
      <c r="E98" s="276" t="n">
        <v>0</v>
      </c>
      <c r="F98" s="276" t="n">
        <v>0</v>
      </c>
      <c r="G98" s="276" t="n">
        <v>4768972.602739726</v>
      </c>
      <c r="H98" s="276" t="n">
        <v>64368904.10958904</v>
      </c>
      <c r="I98" s="276" t="n">
        <v>8891717.158937963</v>
      </c>
      <c r="J98" s="276" t="n">
        <v>0</v>
      </c>
      <c r="K98" s="276" t="inlineStr">
        <is>
          <t>No</t>
        </is>
      </c>
      <c r="L98" s="276" t="n"/>
      <c r="M98" s="276" t="n"/>
      <c r="N98" s="276" t="n"/>
      <c r="O98" s="276" t="n"/>
      <c r="P98" s="277" t="n"/>
    </row>
    <row r="99">
      <c r="A99" s="275" t="inlineStr">
        <is>
          <t>Hacktivist</t>
        </is>
      </c>
      <c r="B99" s="276" t="inlineStr">
        <is>
          <t>Sensitive-data compromise</t>
        </is>
      </c>
      <c r="C99" s="276" t="inlineStr">
        <is>
          <t>Insider or trusted access</t>
        </is>
      </c>
      <c r="D99" s="276" t="n">
        <v>0.0002603036876355748</v>
      </c>
      <c r="E99" s="276" t="n">
        <v>0.29575</v>
      </c>
      <c r="F99" s="276" t="n">
        <v>7.698481561822124e-05</v>
      </c>
      <c r="G99" s="276" t="n">
        <v>4768972.602739726</v>
      </c>
      <c r="H99" s="276" t="n">
        <v>64368904.10958904</v>
      </c>
      <c r="I99" s="276" t="n">
        <v>8891717.158937963</v>
      </c>
      <c r="J99" s="276" t="n">
        <v>684.5272060102131</v>
      </c>
      <c r="K99" s="276" t="inlineStr">
        <is>
          <t>No</t>
        </is>
      </c>
      <c r="L99" s="276" t="n"/>
      <c r="M99" s="276" t="n"/>
      <c r="N99" s="276" t="n"/>
      <c r="O99" s="276" t="n"/>
      <c r="P99" s="277" t="n"/>
    </row>
    <row r="100">
      <c r="A100" s="275" t="inlineStr">
        <is>
          <t>Hacktivist</t>
        </is>
      </c>
      <c r="B100" s="276" t="inlineStr">
        <is>
          <t>Data or transaction-integrity compromise</t>
        </is>
      </c>
      <c r="C100" s="276" t="inlineStr">
        <is>
          <t>Identity and credential compromise</t>
        </is>
      </c>
      <c r="D100" s="276" t="n">
        <v>0.002239185750636133</v>
      </c>
      <c r="E100" s="276" t="n">
        <v>0.05898750000000001</v>
      </c>
      <c r="F100" s="276" t="n">
        <v>0.0001320839694656489</v>
      </c>
      <c r="G100" s="276" t="n">
        <v>4175890.410958904</v>
      </c>
      <c r="H100" s="276" t="n">
        <v>78266164.38356164</v>
      </c>
      <c r="I100" s="276" t="n">
        <v>9183694.454320414</v>
      </c>
      <c r="J100" s="276" t="n">
        <v>1213.018817886307</v>
      </c>
      <c r="K100" s="276" t="inlineStr">
        <is>
          <t>No</t>
        </is>
      </c>
      <c r="L100" s="276" t="n"/>
      <c r="M100" s="276" t="n"/>
      <c r="N100" s="276" t="n"/>
      <c r="O100" s="276" t="n"/>
      <c r="P100" s="277" t="n"/>
    </row>
    <row r="101">
      <c r="A101" s="275" t="inlineStr">
        <is>
          <t>Hacktivist</t>
        </is>
      </c>
      <c r="B101" s="276" t="inlineStr">
        <is>
          <t>Data or transaction-integrity compromise</t>
        </is>
      </c>
      <c r="C101" s="276" t="inlineStr">
        <is>
          <t>User endpoint and social engineering</t>
        </is>
      </c>
      <c r="D101" s="276" t="n">
        <v>0.001221374045801527</v>
      </c>
      <c r="E101" s="276" t="n">
        <v>0.025515</v>
      </c>
      <c r="F101" s="276" t="n">
        <v>3.116335877862596e-05</v>
      </c>
      <c r="G101" s="276" t="n">
        <v>4175890.410958904</v>
      </c>
      <c r="H101" s="276" t="n">
        <v>78266164.38356164</v>
      </c>
      <c r="I101" s="276" t="n">
        <v>9183694.454320414</v>
      </c>
      <c r="J101" s="276" t="n">
        <v>286.1947651932646</v>
      </c>
      <c r="K101" s="276" t="inlineStr">
        <is>
          <t>No</t>
        </is>
      </c>
      <c r="L101" s="276" t="n"/>
      <c r="M101" s="276" t="n"/>
      <c r="N101" s="276" t="n"/>
      <c r="O101" s="276" t="n"/>
      <c r="P101" s="277" t="n"/>
    </row>
    <row r="102">
      <c r="A102" s="275" t="inlineStr">
        <is>
          <t>Hacktivist</t>
        </is>
      </c>
      <c r="B102" s="276" t="inlineStr">
        <is>
          <t>Data or transaction-integrity compromise</t>
        </is>
      </c>
      <c r="C102" s="276" t="inlineStr">
        <is>
          <t>Public-facing application exploitation</t>
        </is>
      </c>
      <c r="D102" s="276" t="n">
        <v>0.003053435114503817</v>
      </c>
      <c r="E102" s="276" t="n">
        <v>0.02025</v>
      </c>
      <c r="F102" s="276" t="n">
        <v>6.183206106870229e-05</v>
      </c>
      <c r="G102" s="276" t="n">
        <v>4175890.410958904</v>
      </c>
      <c r="H102" s="276" t="n">
        <v>78266164.38356164</v>
      </c>
      <c r="I102" s="276" t="n">
        <v>9183694.454320414</v>
      </c>
      <c r="J102" s="276" t="n">
        <v>567.8467563358423</v>
      </c>
      <c r="K102" s="276" t="inlineStr">
        <is>
          <t>No</t>
        </is>
      </c>
      <c r="L102" s="276" t="n"/>
      <c r="M102" s="276" t="n"/>
      <c r="N102" s="276" t="n"/>
      <c r="O102" s="276" t="n"/>
      <c r="P102" s="277" t="n"/>
    </row>
    <row r="103">
      <c r="A103" s="275" t="inlineStr">
        <is>
          <t>Hacktivist</t>
        </is>
      </c>
      <c r="B103" s="276" t="inlineStr">
        <is>
          <t>Data or transaction-integrity compromise</t>
        </is>
      </c>
      <c r="C103" s="276" t="inlineStr">
        <is>
          <t>Third-party or software supply chain</t>
        </is>
      </c>
      <c r="D103" s="276" t="n">
        <v>0.001017811704834606</v>
      </c>
      <c r="E103" s="276" t="n">
        <v>0.196625</v>
      </c>
      <c r="F103" s="276" t="n">
        <v>0.0002001272264631044</v>
      </c>
      <c r="G103" s="276" t="n">
        <v>4175890.410958904</v>
      </c>
      <c r="H103" s="276" t="n">
        <v>78266164.38356164</v>
      </c>
      <c r="I103" s="276" t="n">
        <v>9183694.454320414</v>
      </c>
      <c r="J103" s="276" t="n">
        <v>1837.907299827738</v>
      </c>
      <c r="K103" s="276" t="inlineStr">
        <is>
          <t>No</t>
        </is>
      </c>
      <c r="L103" s="276" t="n"/>
      <c r="M103" s="276" t="n"/>
      <c r="N103" s="276" t="n"/>
      <c r="O103" s="276" t="n"/>
      <c r="P103" s="277" t="n"/>
    </row>
    <row r="104">
      <c r="A104" s="275" t="inlineStr">
        <is>
          <t>Hacktivist</t>
        </is>
      </c>
      <c r="B104" s="276" t="inlineStr">
        <is>
          <t>Data or transaction-integrity compromise</t>
        </is>
      </c>
      <c r="C104" s="276" t="inlineStr">
        <is>
          <t>Direct availability or DDoS</t>
        </is>
      </c>
      <c r="D104" s="276" t="n">
        <v>0</v>
      </c>
      <c r="E104" s="276" t="n">
        <v>0</v>
      </c>
      <c r="F104" s="276" t="n">
        <v>0</v>
      </c>
      <c r="G104" s="276" t="n">
        <v>4175890.410958904</v>
      </c>
      <c r="H104" s="276" t="n">
        <v>78266164.38356164</v>
      </c>
      <c r="I104" s="276" t="n">
        <v>9183694.454320414</v>
      </c>
      <c r="J104" s="276" t="n">
        <v>0</v>
      </c>
      <c r="K104" s="276" t="inlineStr">
        <is>
          <t>No</t>
        </is>
      </c>
      <c r="L104" s="276" t="n"/>
      <c r="M104" s="276" t="n"/>
      <c r="N104" s="276" t="n"/>
      <c r="O104" s="276" t="n"/>
      <c r="P104" s="277" t="n"/>
    </row>
    <row r="105">
      <c r="A105" s="275" t="inlineStr">
        <is>
          <t>Hacktivist</t>
        </is>
      </c>
      <c r="B105" s="276" t="inlineStr">
        <is>
          <t>Data or transaction-integrity compromise</t>
        </is>
      </c>
      <c r="C105" s="276" t="inlineStr">
        <is>
          <t>Insider or trusted access</t>
        </is>
      </c>
      <c r="D105" s="276" t="n">
        <v>0.0004681933842239186</v>
      </c>
      <c r="E105" s="276" t="n">
        <v>0.29575</v>
      </c>
      <c r="F105" s="276" t="n">
        <v>0.0001384681933842239</v>
      </c>
      <c r="G105" s="276" t="n">
        <v>4175890.410958904</v>
      </c>
      <c r="H105" s="276" t="n">
        <v>78266164.38356164</v>
      </c>
      <c r="I105" s="276" t="n">
        <v>9183694.454320414</v>
      </c>
      <c r="J105" s="276" t="n">
        <v>1271.649579682464</v>
      </c>
      <c r="K105" s="276" t="inlineStr">
        <is>
          <t>No</t>
        </is>
      </c>
      <c r="L105" s="276" t="n"/>
      <c r="M105" s="276" t="n"/>
      <c r="N105" s="276" t="n"/>
      <c r="O105" s="276" t="n"/>
      <c r="P105" s="277" t="n"/>
    </row>
    <row r="106">
      <c r="A106" s="275" t="inlineStr">
        <is>
          <t>Hacktivist</t>
        </is>
      </c>
      <c r="B106" s="276" t="inlineStr">
        <is>
          <t>Cyber-enabled theft or fraud</t>
        </is>
      </c>
      <c r="C106" s="276" t="inlineStr">
        <is>
          <t>Identity and credential compromise</t>
        </is>
      </c>
      <c r="D106" s="276" t="n">
        <v>0.0009259259259259259</v>
      </c>
      <c r="E106" s="276" t="n">
        <v>0.10725</v>
      </c>
      <c r="F106" s="276" t="n">
        <v>9.930555555555556e-05</v>
      </c>
      <c r="G106" s="276" t="n">
        <v>1835000</v>
      </c>
      <c r="H106" s="276" t="n">
        <v>29830000</v>
      </c>
      <c r="I106" s="276" t="n">
        <v>3754990.772199141</v>
      </c>
      <c r="J106" s="276" t="n">
        <v>372.8914447392203</v>
      </c>
      <c r="K106" s="276" t="inlineStr">
        <is>
          <t>No</t>
        </is>
      </c>
      <c r="L106" s="276" t="n"/>
      <c r="M106" s="276" t="n"/>
      <c r="N106" s="276" t="n"/>
      <c r="O106" s="276" t="n"/>
      <c r="P106" s="277" t="n"/>
    </row>
    <row r="107">
      <c r="A107" s="275" t="inlineStr">
        <is>
          <t>Hacktivist</t>
        </is>
      </c>
      <c r="B107" s="276" t="inlineStr">
        <is>
          <t>Cyber-enabled theft or fraud</t>
        </is>
      </c>
      <c r="C107" s="276" t="inlineStr">
        <is>
          <t>User endpoint and social engineering</t>
        </is>
      </c>
      <c r="D107" s="276" t="n">
        <v>0.0003174603174603175</v>
      </c>
      <c r="E107" s="276" t="n">
        <v>0.126</v>
      </c>
      <c r="F107" s="276" t="n">
        <v>4e-05</v>
      </c>
      <c r="G107" s="276" t="n">
        <v>1835000</v>
      </c>
      <c r="H107" s="276" t="n">
        <v>29830000</v>
      </c>
      <c r="I107" s="276" t="n">
        <v>3754990.772199141</v>
      </c>
      <c r="J107" s="276" t="n">
        <v>150.1996308879656</v>
      </c>
      <c r="K107" s="276" t="inlineStr">
        <is>
          <t>No</t>
        </is>
      </c>
      <c r="L107" s="276" t="n"/>
      <c r="M107" s="276" t="n"/>
      <c r="N107" s="276" t="n"/>
      <c r="O107" s="276" t="n"/>
      <c r="P107" s="277" t="n"/>
    </row>
    <row r="108">
      <c r="A108" s="275" t="inlineStr">
        <is>
          <t>Hacktivist</t>
        </is>
      </c>
      <c r="B108" s="276" t="inlineStr">
        <is>
          <t>Cyber-enabled theft or fraud</t>
        </is>
      </c>
      <c r="C108" s="276" t="inlineStr">
        <is>
          <t>Public-facing application exploitation</t>
        </is>
      </c>
      <c r="D108" s="276" t="n">
        <v>0.0004761904761904762</v>
      </c>
      <c r="E108" s="276" t="n">
        <v>0.02025</v>
      </c>
      <c r="F108" s="276" t="n">
        <v>9.642857142857142e-06</v>
      </c>
      <c r="G108" s="276" t="n">
        <v>1835000</v>
      </c>
      <c r="H108" s="276" t="n">
        <v>29830000</v>
      </c>
      <c r="I108" s="276" t="n">
        <v>3754990.772199141</v>
      </c>
      <c r="J108" s="276" t="n">
        <v>36.20883958906315</v>
      </c>
      <c r="K108" s="276" t="inlineStr">
        <is>
          <t>No</t>
        </is>
      </c>
      <c r="L108" s="276" t="n"/>
      <c r="M108" s="276" t="n"/>
      <c r="N108" s="276" t="n"/>
      <c r="O108" s="276" t="n"/>
      <c r="P108" s="277" t="n"/>
    </row>
    <row r="109">
      <c r="A109" s="275" t="inlineStr">
        <is>
          <t>Hacktivist</t>
        </is>
      </c>
      <c r="B109" s="276" t="inlineStr">
        <is>
          <t>Cyber-enabled theft or fraud</t>
        </is>
      </c>
      <c r="C109" s="276" t="inlineStr">
        <is>
          <t>Third-party or software supply chain</t>
        </is>
      </c>
      <c r="D109" s="276" t="n">
        <v>0.0001322751322751323</v>
      </c>
      <c r="E109" s="276" t="n">
        <v>0.196625</v>
      </c>
      <c r="F109" s="276" t="n">
        <v>2.60085978835979e-05</v>
      </c>
      <c r="G109" s="276" t="n">
        <v>1835000</v>
      </c>
      <c r="H109" s="276" t="n">
        <v>29830000</v>
      </c>
      <c r="I109" s="276" t="n">
        <v>3754990.772199141</v>
      </c>
      <c r="J109" s="276" t="n">
        <v>97.66204505074822</v>
      </c>
      <c r="K109" s="276" t="inlineStr">
        <is>
          <t>No</t>
        </is>
      </c>
      <c r="L109" s="276" t="n"/>
      <c r="M109" s="276" t="n"/>
      <c r="N109" s="276" t="n"/>
      <c r="O109" s="276" t="n"/>
      <c r="P109" s="277" t="n"/>
    </row>
    <row r="110">
      <c r="A110" s="275" t="inlineStr">
        <is>
          <t>Hacktivist</t>
        </is>
      </c>
      <c r="B110" s="276" t="inlineStr">
        <is>
          <t>Cyber-enabled theft or fraud</t>
        </is>
      </c>
      <c r="C110" s="276" t="inlineStr">
        <is>
          <t>Direct availability or DDoS</t>
        </is>
      </c>
      <c r="D110" s="276" t="n">
        <v>0</v>
      </c>
      <c r="E110" s="276" t="n">
        <v>0</v>
      </c>
      <c r="F110" s="276" t="n">
        <v>0</v>
      </c>
      <c r="G110" s="276" t="n">
        <v>1835000</v>
      </c>
      <c r="H110" s="276" t="n">
        <v>29830000</v>
      </c>
      <c r="I110" s="276" t="n">
        <v>3754990.772199141</v>
      </c>
      <c r="J110" s="276" t="n">
        <v>0</v>
      </c>
      <c r="K110" s="276" t="inlineStr">
        <is>
          <t>No</t>
        </is>
      </c>
      <c r="L110" s="276" t="n"/>
      <c r="M110" s="276" t="n"/>
      <c r="N110" s="276" t="n"/>
      <c r="O110" s="276" t="n"/>
      <c r="P110" s="277" t="n"/>
    </row>
    <row r="111">
      <c r="A111" s="275" t="inlineStr">
        <is>
          <t>Hacktivist</t>
        </is>
      </c>
      <c r="B111" s="276" t="inlineStr">
        <is>
          <t>Cyber-enabled theft or fraud</t>
        </is>
      </c>
      <c r="C111" s="276" t="inlineStr">
        <is>
          <t>Insider or trusted access</t>
        </is>
      </c>
      <c r="D111" s="276" t="n">
        <v>0.0001481481481481482</v>
      </c>
      <c r="E111" s="276" t="n">
        <v>0.455</v>
      </c>
      <c r="F111" s="276" t="n">
        <v>6.740740740740741e-05</v>
      </c>
      <c r="G111" s="276" t="n">
        <v>1835000</v>
      </c>
      <c r="H111" s="276" t="n">
        <v>29830000</v>
      </c>
      <c r="I111" s="276" t="n">
        <v>3754990.772199141</v>
      </c>
      <c r="J111" s="276" t="n">
        <v>253.1141927926828</v>
      </c>
      <c r="K111" s="276" t="inlineStr">
        <is>
          <t>No</t>
        </is>
      </c>
      <c r="L111" s="276" t="n"/>
      <c r="M111" s="276" t="n"/>
      <c r="N111" s="276" t="n"/>
      <c r="O111" s="276" t="n"/>
      <c r="P111" s="277" t="n"/>
    </row>
    <row r="112">
      <c r="A112" s="275" t="n"/>
      <c r="B112" s="276" t="n"/>
      <c r="C112" s="276" t="n"/>
      <c r="D112" s="276" t="n"/>
      <c r="E112" s="276" t="n"/>
      <c r="F112" s="276" t="n"/>
      <c r="G112" s="276" t="n"/>
      <c r="H112" s="276" t="n"/>
      <c r="I112" s="276" t="n"/>
      <c r="J112" s="276" t="n"/>
      <c r="K112" s="276" t="n"/>
      <c r="L112" s="276" t="n"/>
      <c r="M112" s="276" t="n"/>
      <c r="N112" s="276" t="n"/>
      <c r="O112" s="276" t="n"/>
      <c r="P112" s="277" t="n"/>
    </row>
    <row r="113">
      <c r="A113" s="275" t="n"/>
      <c r="B113" s="276" t="n"/>
      <c r="C113" s="276" t="n"/>
      <c r="D113" s="276" t="n"/>
      <c r="E113" s="276" t="n"/>
      <c r="F113" s="276" t="n"/>
      <c r="G113" s="276" t="n"/>
      <c r="H113" s="276" t="n"/>
      <c r="I113" s="276" t="n"/>
      <c r="J113" s="276" t="n"/>
      <c r="K113" s="276" t="n"/>
      <c r="L113" s="276" t="n"/>
      <c r="M113" s="276" t="n"/>
      <c r="N113" s="276" t="n"/>
      <c r="O113" s="276" t="n"/>
      <c r="P113" s="277" t="n"/>
    </row>
    <row r="114">
      <c r="A114" s="275" t="n"/>
      <c r="B114" s="276" t="n"/>
      <c r="C114" s="276" t="n"/>
      <c r="D114" s="276" t="n"/>
      <c r="E114" s="276" t="n"/>
      <c r="F114" s="276" t="n"/>
      <c r="G114" s="276" t="n"/>
      <c r="H114" s="276" t="n"/>
      <c r="I114" s="276" t="n"/>
      <c r="J114" s="276" t="n"/>
      <c r="K114" s="276" t="n"/>
      <c r="L114" s="276" t="n"/>
      <c r="M114" s="276" t="n"/>
      <c r="N114" s="276" t="n"/>
      <c r="O114" s="276" t="n"/>
      <c r="P114" s="277" t="n"/>
    </row>
    <row r="115">
      <c r="A115" s="275" t="n"/>
      <c r="B115" s="276" t="n"/>
      <c r="C115" s="276" t="n"/>
      <c r="D115" s="276" t="n"/>
      <c r="E115" s="276" t="n"/>
      <c r="F115" s="276" t="n"/>
      <c r="G115" s="276" t="n"/>
      <c r="H115" s="276" t="n"/>
      <c r="I115" s="276" t="n"/>
      <c r="J115" s="276" t="n"/>
      <c r="K115" s="276" t="n"/>
      <c r="L115" s="276" t="n"/>
      <c r="M115" s="276" t="n"/>
      <c r="N115" s="276" t="n"/>
      <c r="O115" s="276" t="n"/>
      <c r="P115" s="277" t="n"/>
    </row>
    <row r="116">
      <c r="A116" s="275" t="n"/>
      <c r="B116" s="276" t="n"/>
      <c r="C116" s="276" t="n"/>
      <c r="D116" s="276" t="n"/>
      <c r="E116" s="276" t="n"/>
      <c r="F116" s="276" t="n"/>
      <c r="G116" s="276" t="n"/>
      <c r="H116" s="276" t="n"/>
      <c r="I116" s="276" t="n"/>
      <c r="J116" s="276" t="n"/>
      <c r="K116" s="276" t="n"/>
      <c r="L116" s="276" t="n"/>
      <c r="M116" s="276" t="n"/>
      <c r="N116" s="276" t="n"/>
      <c r="O116" s="276" t="n"/>
      <c r="P116" s="277" t="n"/>
    </row>
    <row r="117">
      <c r="A117" s="275" t="n"/>
      <c r="B117" s="276" t="n"/>
      <c r="C117" s="276" t="n"/>
      <c r="D117" s="276" t="n"/>
      <c r="E117" s="276" t="n"/>
      <c r="F117" s="276" t="n"/>
      <c r="G117" s="276" t="n"/>
      <c r="H117" s="276" t="n"/>
      <c r="I117" s="276" t="n"/>
      <c r="J117" s="276" t="n"/>
      <c r="K117" s="276" t="n"/>
      <c r="L117" s="276" t="n"/>
      <c r="M117" s="276" t="n"/>
      <c r="N117" s="276" t="n"/>
      <c r="O117" s="276" t="n"/>
      <c r="P117" s="277" t="n"/>
    </row>
    <row r="118">
      <c r="A118" s="275" t="n"/>
      <c r="B118" s="276" t="n"/>
      <c r="C118" s="276" t="n"/>
      <c r="D118" s="276" t="n"/>
      <c r="E118" s="276" t="n"/>
      <c r="F118" s="276" t="n"/>
      <c r="G118" s="276" t="n"/>
      <c r="H118" s="276" t="n"/>
      <c r="I118" s="276" t="n"/>
      <c r="J118" s="276" t="n"/>
      <c r="K118" s="276" t="n"/>
      <c r="L118" s="276" t="n"/>
      <c r="M118" s="276" t="n"/>
      <c r="N118" s="276" t="n"/>
      <c r="O118" s="276" t="n"/>
      <c r="P118" s="277" t="n"/>
    </row>
    <row r="119">
      <c r="A119" s="275" t="n"/>
      <c r="B119" s="276" t="n"/>
      <c r="C119" s="276" t="n"/>
      <c r="D119" s="276" t="n"/>
      <c r="E119" s="276" t="n"/>
      <c r="F119" s="276" t="n"/>
      <c r="G119" s="276" t="n"/>
      <c r="H119" s="276" t="n"/>
      <c r="I119" s="276" t="n"/>
      <c r="J119" s="276" t="n"/>
      <c r="K119" s="276" t="n"/>
      <c r="L119" s="276" t="n"/>
      <c r="M119" s="276" t="n"/>
      <c r="N119" s="276" t="n"/>
      <c r="O119" s="276" t="n"/>
      <c r="P119" s="277" t="n"/>
    </row>
    <row r="120">
      <c r="A120" s="275" t="n"/>
      <c r="B120" s="276" t="n"/>
      <c r="C120" s="276" t="n"/>
      <c r="D120" s="276" t="n"/>
      <c r="E120" s="276" t="n"/>
      <c r="F120" s="276" t="n"/>
      <c r="G120" s="276" t="n"/>
      <c r="H120" s="276" t="n"/>
      <c r="I120" s="276" t="n"/>
      <c r="J120" s="276" t="n"/>
      <c r="K120" s="276" t="n"/>
      <c r="L120" s="276" t="n"/>
      <c r="M120" s="276" t="n"/>
      <c r="N120" s="276" t="n"/>
      <c r="O120" s="276" t="n"/>
      <c r="P120" s="277" t="n"/>
    </row>
    <row r="121">
      <c r="A121" s="275" t="n"/>
      <c r="B121" s="276" t="n"/>
      <c r="C121" s="276" t="n"/>
      <c r="D121" s="276" t="n"/>
      <c r="E121" s="276" t="n"/>
      <c r="F121" s="276" t="n"/>
      <c r="G121" s="276" t="n"/>
      <c r="H121" s="276" t="n"/>
      <c r="I121" s="276" t="n"/>
      <c r="J121" s="276" t="n"/>
      <c r="K121" s="276" t="n"/>
      <c r="L121" s="276" t="n"/>
      <c r="M121" s="276" t="n"/>
      <c r="N121" s="276" t="n"/>
      <c r="O121" s="276" t="n"/>
      <c r="P121" s="277" t="n"/>
    </row>
    <row r="122">
      <c r="A122" s="275" t="n"/>
      <c r="B122" s="276" t="n"/>
      <c r="C122" s="276" t="n"/>
      <c r="D122" s="276" t="n"/>
      <c r="E122" s="276" t="n"/>
      <c r="F122" s="276" t="n"/>
      <c r="G122" s="276" t="n"/>
      <c r="H122" s="276" t="n"/>
      <c r="I122" s="276" t="n"/>
      <c r="J122" s="276" t="n"/>
      <c r="K122" s="276" t="n"/>
      <c r="L122" s="276" t="n"/>
      <c r="M122" s="276" t="n"/>
      <c r="N122" s="276" t="n"/>
      <c r="O122" s="276" t="n"/>
      <c r="P122" s="277" t="n"/>
    </row>
    <row r="123">
      <c r="A123" s="275" t="n"/>
      <c r="B123" s="276" t="n"/>
      <c r="C123" s="276" t="n"/>
      <c r="D123" s="276" t="n"/>
      <c r="E123" s="276" t="n"/>
      <c r="F123" s="276" t="n"/>
      <c r="G123" s="276" t="n"/>
      <c r="H123" s="276" t="n"/>
      <c r="I123" s="276" t="n"/>
      <c r="J123" s="276" t="n"/>
      <c r="K123" s="276" t="n"/>
      <c r="L123" s="276" t="n"/>
      <c r="M123" s="276" t="n"/>
      <c r="N123" s="276" t="n"/>
      <c r="O123" s="276" t="n"/>
      <c r="P123" s="277" t="n"/>
    </row>
    <row r="124">
      <c r="A124" s="275" t="n"/>
      <c r="B124" s="276" t="n"/>
      <c r="C124" s="276" t="n"/>
      <c r="D124" s="276" t="n"/>
      <c r="E124" s="276" t="n"/>
      <c r="F124" s="276" t="n"/>
      <c r="G124" s="276" t="n"/>
      <c r="H124" s="276" t="n"/>
      <c r="I124" s="276" t="n"/>
      <c r="J124" s="276" t="n"/>
      <c r="K124" s="276" t="n"/>
      <c r="L124" s="276" t="n"/>
      <c r="M124" s="276" t="n"/>
      <c r="N124" s="276" t="n"/>
      <c r="O124" s="276" t="n"/>
      <c r="P124" s="277" t="n"/>
    </row>
    <row r="125">
      <c r="A125" s="275" t="n"/>
      <c r="B125" s="276" t="n"/>
      <c r="C125" s="276" t="n"/>
      <c r="D125" s="276" t="n"/>
      <c r="E125" s="276" t="n"/>
      <c r="F125" s="276" t="n"/>
      <c r="G125" s="276" t="n"/>
      <c r="H125" s="276" t="n"/>
      <c r="I125" s="276" t="n"/>
      <c r="J125" s="276" t="n"/>
      <c r="K125" s="276" t="n"/>
      <c r="L125" s="276" t="n"/>
      <c r="M125" s="276" t="n"/>
      <c r="N125" s="276" t="n"/>
      <c r="O125" s="276" t="n"/>
      <c r="P125" s="277" t="n"/>
    </row>
    <row r="126">
      <c r="A126" s="275" t="n"/>
      <c r="B126" s="276" t="n"/>
      <c r="C126" s="276" t="n"/>
      <c r="D126" s="276" t="n"/>
      <c r="E126" s="276" t="n"/>
      <c r="F126" s="276" t="n"/>
      <c r="G126" s="276" t="n"/>
      <c r="H126" s="276" t="n"/>
      <c r="I126" s="276" t="n"/>
      <c r="J126" s="276" t="n"/>
      <c r="K126" s="276" t="n"/>
      <c r="L126" s="276" t="n"/>
      <c r="M126" s="276" t="n"/>
      <c r="N126" s="276" t="n"/>
      <c r="O126" s="276" t="n"/>
      <c r="P126" s="277" t="n"/>
    </row>
    <row r="127">
      <c r="A127" s="275" t="n"/>
      <c r="B127" s="276" t="n"/>
      <c r="C127" s="276" t="n"/>
      <c r="D127" s="276" t="n"/>
      <c r="E127" s="276" t="n"/>
      <c r="F127" s="276" t="n"/>
      <c r="G127" s="276" t="n"/>
      <c r="H127" s="276" t="n"/>
      <c r="I127" s="276" t="n"/>
      <c r="J127" s="276" t="n"/>
      <c r="K127" s="276" t="n"/>
      <c r="L127" s="276" t="n"/>
      <c r="M127" s="276" t="n"/>
      <c r="N127" s="276" t="n"/>
      <c r="O127" s="276" t="n"/>
      <c r="P127" s="277" t="n"/>
    </row>
    <row r="128">
      <c r="A128" s="275" t="n"/>
      <c r="B128" s="276" t="n"/>
      <c r="C128" s="276" t="n"/>
      <c r="D128" s="276" t="n"/>
      <c r="E128" s="276" t="n"/>
      <c r="F128" s="276" t="n"/>
      <c r="G128" s="276" t="n"/>
      <c r="H128" s="276" t="n"/>
      <c r="I128" s="276" t="n"/>
      <c r="J128" s="276" t="n"/>
      <c r="K128" s="276" t="n"/>
      <c r="L128" s="276" t="n"/>
      <c r="M128" s="276" t="n"/>
      <c r="N128" s="276" t="n"/>
      <c r="O128" s="276" t="n"/>
      <c r="P128" s="277" t="n"/>
    </row>
    <row r="129">
      <c r="A129" s="275" t="n"/>
      <c r="B129" s="276" t="n"/>
      <c r="C129" s="276" t="n"/>
      <c r="D129" s="276" t="n"/>
      <c r="E129" s="276" t="n"/>
      <c r="F129" s="276" t="n"/>
      <c r="G129" s="276" t="n"/>
      <c r="H129" s="276" t="n"/>
      <c r="I129" s="276" t="n"/>
      <c r="J129" s="276" t="n"/>
      <c r="K129" s="276" t="n"/>
      <c r="L129" s="276" t="n"/>
      <c r="M129" s="276" t="n"/>
      <c r="N129" s="276" t="n"/>
      <c r="O129" s="276" t="n"/>
      <c r="P129" s="277" t="n"/>
    </row>
    <row r="130">
      <c r="A130" s="275" t="n"/>
      <c r="B130" s="276" t="n"/>
      <c r="C130" s="276" t="n"/>
      <c r="D130" s="276" t="n"/>
      <c r="E130" s="276" t="n"/>
      <c r="F130" s="276" t="n"/>
      <c r="G130" s="276" t="n"/>
      <c r="H130" s="276" t="n"/>
      <c r="I130" s="276" t="n"/>
      <c r="J130" s="276" t="n"/>
      <c r="K130" s="276" t="n"/>
      <c r="L130" s="276" t="n"/>
      <c r="M130" s="276" t="n"/>
      <c r="N130" s="276" t="n"/>
      <c r="O130" s="276" t="n"/>
      <c r="P130" s="277" t="n"/>
    </row>
    <row r="131">
      <c r="A131" s="275" t="n"/>
      <c r="B131" s="276" t="n"/>
      <c r="C131" s="276" t="n"/>
      <c r="D131" s="276" t="n"/>
      <c r="E131" s="276" t="n"/>
      <c r="F131" s="276" t="n"/>
      <c r="G131" s="276" t="n"/>
      <c r="H131" s="276" t="n"/>
      <c r="I131" s="276" t="n"/>
      <c r="J131" s="276" t="n"/>
      <c r="K131" s="276" t="n"/>
      <c r="L131" s="276" t="n"/>
      <c r="M131" s="276" t="n"/>
      <c r="N131" s="276" t="n"/>
      <c r="O131" s="276" t="n"/>
      <c r="P131" s="277" t="n"/>
    </row>
    <row r="132">
      <c r="A132" s="275" t="n"/>
      <c r="B132" s="276" t="n"/>
      <c r="C132" s="276" t="n"/>
      <c r="D132" s="276" t="n"/>
      <c r="E132" s="276" t="n"/>
      <c r="F132" s="276" t="n"/>
      <c r="G132" s="276" t="n"/>
      <c r="H132" s="276" t="n"/>
      <c r="I132" s="276" t="n"/>
      <c r="J132" s="276" t="n"/>
      <c r="K132" s="276" t="n"/>
      <c r="L132" s="276" t="n"/>
      <c r="M132" s="276" t="n"/>
      <c r="N132" s="276" t="n"/>
      <c r="O132" s="276" t="n"/>
      <c r="P132" s="277" t="n"/>
    </row>
    <row r="133">
      <c r="A133" s="275" t="n"/>
      <c r="B133" s="276" t="n"/>
      <c r="C133" s="276" t="n"/>
      <c r="D133" s="276" t="n"/>
      <c r="E133" s="276" t="n"/>
      <c r="F133" s="276" t="n"/>
      <c r="G133" s="276" t="n"/>
      <c r="H133" s="276" t="n"/>
      <c r="I133" s="276" t="n"/>
      <c r="J133" s="276" t="n"/>
      <c r="K133" s="276" t="n"/>
      <c r="L133" s="276" t="n"/>
      <c r="M133" s="276" t="n"/>
      <c r="N133" s="276" t="n"/>
      <c r="O133" s="276" t="n"/>
      <c r="P133" s="277" t="n"/>
    </row>
    <row r="134">
      <c r="A134" s="275" t="n"/>
      <c r="B134" s="276" t="n"/>
      <c r="C134" s="276" t="n"/>
      <c r="D134" s="276" t="n"/>
      <c r="E134" s="276" t="n"/>
      <c r="F134" s="276" t="n"/>
      <c r="G134" s="276" t="n"/>
      <c r="H134" s="276" t="n"/>
      <c r="I134" s="276" t="n"/>
      <c r="J134" s="276" t="n"/>
      <c r="K134" s="276" t="n"/>
      <c r="L134" s="276" t="n"/>
      <c r="M134" s="276" t="n"/>
      <c r="N134" s="276" t="n"/>
      <c r="O134" s="276" t="n"/>
      <c r="P134" s="277" t="n"/>
    </row>
    <row r="135">
      <c r="A135" s="275" t="n"/>
      <c r="B135" s="276" t="n"/>
      <c r="C135" s="276" t="n"/>
      <c r="D135" s="276" t="n"/>
      <c r="E135" s="276" t="n"/>
      <c r="F135" s="276" t="n"/>
      <c r="G135" s="276" t="n"/>
      <c r="H135" s="276" t="n"/>
      <c r="I135" s="276" t="n"/>
      <c r="J135" s="276" t="n"/>
      <c r="K135" s="276" t="n"/>
      <c r="L135" s="276" t="n"/>
      <c r="M135" s="276" t="n"/>
      <c r="N135" s="276" t="n"/>
      <c r="O135" s="276" t="n"/>
      <c r="P135" s="277" t="n"/>
    </row>
    <row r="136">
      <c r="A136" s="275" t="n"/>
      <c r="B136" s="276" t="n"/>
      <c r="C136" s="276" t="n"/>
      <c r="D136" s="276" t="n"/>
      <c r="E136" s="276" t="n"/>
      <c r="F136" s="276" t="n"/>
      <c r="G136" s="276" t="n"/>
      <c r="H136" s="276" t="n"/>
      <c r="I136" s="276" t="n"/>
      <c r="J136" s="276" t="n"/>
      <c r="K136" s="276" t="n"/>
      <c r="L136" s="276" t="n"/>
      <c r="M136" s="276" t="n"/>
      <c r="N136" s="276" t="n"/>
      <c r="O136" s="276" t="n"/>
      <c r="P136" s="277" t="n"/>
    </row>
    <row r="137">
      <c r="A137" s="275" t="n"/>
      <c r="B137" s="276" t="n"/>
      <c r="C137" s="276" t="n"/>
      <c r="D137" s="276" t="n"/>
      <c r="E137" s="276" t="n"/>
      <c r="F137" s="276" t="n"/>
      <c r="G137" s="276" t="n"/>
      <c r="H137" s="276" t="n"/>
      <c r="I137" s="276" t="n"/>
      <c r="J137" s="276" t="n"/>
      <c r="K137" s="276" t="n"/>
      <c r="L137" s="276" t="n"/>
      <c r="M137" s="276" t="n"/>
      <c r="N137" s="276" t="n"/>
      <c r="O137" s="276" t="n"/>
      <c r="P137" s="277" t="n"/>
    </row>
    <row r="138">
      <c r="A138" s="275" t="n"/>
      <c r="B138" s="276" t="n"/>
      <c r="C138" s="276" t="n"/>
      <c r="D138" s="276" t="n"/>
      <c r="E138" s="276" t="n"/>
      <c r="F138" s="276" t="n"/>
      <c r="G138" s="276" t="n"/>
      <c r="H138" s="276" t="n"/>
      <c r="I138" s="276" t="n"/>
      <c r="J138" s="276" t="n"/>
      <c r="K138" s="276" t="n"/>
      <c r="L138" s="276" t="n"/>
      <c r="M138" s="276" t="n"/>
      <c r="N138" s="276" t="n"/>
      <c r="O138" s="276" t="n"/>
      <c r="P138" s="277" t="n"/>
    </row>
    <row r="139">
      <c r="A139" s="275" t="n"/>
      <c r="B139" s="276" t="n"/>
      <c r="C139" s="276" t="n"/>
      <c r="D139" s="276" t="n"/>
      <c r="E139" s="276" t="n"/>
      <c r="F139" s="276" t="n"/>
      <c r="G139" s="276" t="n"/>
      <c r="H139" s="276" t="n"/>
      <c r="I139" s="276" t="n"/>
      <c r="J139" s="276" t="n"/>
      <c r="K139" s="276" t="n"/>
      <c r="L139" s="276" t="n"/>
      <c r="M139" s="276" t="n"/>
      <c r="N139" s="276" t="n"/>
      <c r="O139" s="276" t="n"/>
      <c r="P139" s="277" t="n"/>
    </row>
    <row r="140">
      <c r="A140" s="275" t="n"/>
      <c r="B140" s="276" t="n"/>
      <c r="C140" s="276" t="n"/>
      <c r="D140" s="276" t="n"/>
      <c r="E140" s="276" t="n"/>
      <c r="F140" s="276" t="n"/>
      <c r="G140" s="276" t="n"/>
      <c r="H140" s="276" t="n"/>
      <c r="I140" s="276" t="n"/>
      <c r="J140" s="276" t="n"/>
      <c r="K140" s="276" t="n"/>
      <c r="L140" s="276" t="n"/>
      <c r="M140" s="276" t="n"/>
      <c r="N140" s="276" t="n"/>
      <c r="O140" s="276" t="n"/>
      <c r="P140" s="277" t="n"/>
    </row>
    <row r="141">
      <c r="A141" s="275" t="n"/>
      <c r="B141" s="276" t="n"/>
      <c r="C141" s="276" t="n"/>
      <c r="D141" s="276" t="n"/>
      <c r="E141" s="276" t="n"/>
      <c r="F141" s="276" t="n"/>
      <c r="G141" s="276" t="n"/>
      <c r="H141" s="276" t="n"/>
      <c r="I141" s="276" t="n"/>
      <c r="J141" s="276" t="n"/>
      <c r="K141" s="276" t="n"/>
      <c r="L141" s="276" t="n"/>
      <c r="M141" s="276" t="n"/>
      <c r="N141" s="276" t="n"/>
      <c r="O141" s="276" t="n"/>
      <c r="P141" s="277" t="n"/>
    </row>
    <row r="142">
      <c r="A142" s="275" t="n"/>
      <c r="B142" s="276" t="n"/>
      <c r="C142" s="276" t="n"/>
      <c r="D142" s="276" t="n"/>
      <c r="E142" s="276" t="n"/>
      <c r="F142" s="276" t="n"/>
      <c r="G142" s="276" t="n"/>
      <c r="H142" s="276" t="n"/>
      <c r="I142" s="276" t="n"/>
      <c r="J142" s="276" t="n"/>
      <c r="K142" s="276" t="n"/>
      <c r="L142" s="276" t="n"/>
      <c r="M142" s="276" t="n"/>
      <c r="N142" s="276" t="n"/>
      <c r="O142" s="276" t="n"/>
      <c r="P142" s="277" t="n"/>
    </row>
    <row r="143">
      <c r="A143" s="275" t="n"/>
      <c r="B143" s="276" t="n"/>
      <c r="C143" s="276" t="n"/>
      <c r="D143" s="276" t="n"/>
      <c r="E143" s="276" t="n"/>
      <c r="F143" s="276" t="n"/>
      <c r="G143" s="276" t="n"/>
      <c r="H143" s="276" t="n"/>
      <c r="I143" s="276" t="n"/>
      <c r="J143" s="276" t="n"/>
      <c r="K143" s="276" t="n"/>
      <c r="L143" s="276" t="n"/>
      <c r="M143" s="276" t="n"/>
      <c r="N143" s="276" t="n"/>
      <c r="O143" s="276" t="n"/>
      <c r="P143" s="277" t="n"/>
    </row>
    <row r="144">
      <c r="A144" s="275" t="n"/>
      <c r="B144" s="276" t="n"/>
      <c r="C144" s="276" t="n"/>
      <c r="D144" s="276" t="n"/>
      <c r="E144" s="276" t="n"/>
      <c r="F144" s="276" t="n"/>
      <c r="G144" s="276" t="n"/>
      <c r="H144" s="276" t="n"/>
      <c r="I144" s="276" t="n"/>
      <c r="J144" s="276" t="n"/>
      <c r="K144" s="276" t="n"/>
      <c r="L144" s="276" t="n"/>
      <c r="M144" s="276" t="n"/>
      <c r="N144" s="276" t="n"/>
      <c r="O144" s="276" t="n"/>
      <c r="P144" s="277" t="n"/>
    </row>
    <row r="145">
      <c r="A145" s="275" t="n"/>
      <c r="B145" s="276" t="n"/>
      <c r="C145" s="276" t="n"/>
      <c r="D145" s="276" t="n"/>
      <c r="E145" s="276" t="n"/>
      <c r="F145" s="276" t="n"/>
      <c r="G145" s="276" t="n"/>
      <c r="H145" s="276" t="n"/>
      <c r="I145" s="276" t="n"/>
      <c r="J145" s="276" t="n"/>
      <c r="K145" s="276" t="n"/>
      <c r="L145" s="276" t="n"/>
      <c r="M145" s="276" t="n"/>
      <c r="N145" s="276" t="n"/>
      <c r="O145" s="276" t="n"/>
      <c r="P145" s="277" t="n"/>
    </row>
    <row r="146">
      <c r="A146" s="275" t="n"/>
      <c r="B146" s="276" t="n"/>
      <c r="C146" s="276" t="n"/>
      <c r="D146" s="276" t="n"/>
      <c r="E146" s="276" t="n"/>
      <c r="F146" s="276" t="n"/>
      <c r="G146" s="276" t="n"/>
      <c r="H146" s="276" t="n"/>
      <c r="I146" s="276" t="n"/>
      <c r="J146" s="276" t="n"/>
      <c r="K146" s="276" t="n"/>
      <c r="L146" s="276" t="n"/>
      <c r="M146" s="276" t="n"/>
      <c r="N146" s="276" t="n"/>
      <c r="O146" s="276" t="n"/>
      <c r="P146" s="277" t="n"/>
    </row>
    <row r="147">
      <c r="A147" s="275" t="n"/>
      <c r="B147" s="276" t="n"/>
      <c r="C147" s="276" t="n"/>
      <c r="D147" s="276" t="n"/>
      <c r="E147" s="276" t="n"/>
      <c r="F147" s="276" t="n"/>
      <c r="G147" s="276" t="n"/>
      <c r="H147" s="276" t="n"/>
      <c r="I147" s="276" t="n"/>
      <c r="J147" s="276" t="n"/>
      <c r="K147" s="276" t="n"/>
      <c r="L147" s="276" t="n"/>
      <c r="M147" s="276" t="n"/>
      <c r="N147" s="276" t="n"/>
      <c r="O147" s="276" t="n"/>
      <c r="P147" s="277" t="n"/>
    </row>
    <row r="148">
      <c r="A148" s="275" t="n"/>
      <c r="B148" s="276" t="n"/>
      <c r="C148" s="276" t="n"/>
      <c r="D148" s="276" t="n"/>
      <c r="E148" s="276" t="n"/>
      <c r="F148" s="276" t="n"/>
      <c r="G148" s="276" t="n"/>
      <c r="H148" s="276" t="n"/>
      <c r="I148" s="276" t="n"/>
      <c r="J148" s="276" t="n"/>
      <c r="K148" s="276" t="n"/>
      <c r="L148" s="276" t="n"/>
      <c r="M148" s="276" t="n"/>
      <c r="N148" s="276" t="n"/>
      <c r="O148" s="276" t="n"/>
      <c r="P148" s="277" t="n"/>
    </row>
    <row r="149">
      <c r="A149" s="275" t="n"/>
      <c r="B149" s="276" t="n"/>
      <c r="C149" s="276" t="n"/>
      <c r="D149" s="276" t="n"/>
      <c r="E149" s="276" t="n"/>
      <c r="F149" s="276" t="n"/>
      <c r="G149" s="276" t="n"/>
      <c r="H149" s="276" t="n"/>
      <c r="I149" s="276" t="n"/>
      <c r="J149" s="276" t="n"/>
      <c r="K149" s="276" t="n"/>
      <c r="L149" s="276" t="n"/>
      <c r="M149" s="276" t="n"/>
      <c r="N149" s="276" t="n"/>
      <c r="O149" s="276" t="n"/>
      <c r="P149" s="277" t="n"/>
    </row>
    <row r="150">
      <c r="A150" s="275" t="n"/>
      <c r="B150" s="276" t="n"/>
      <c r="C150" s="276" t="n"/>
      <c r="D150" s="276" t="n"/>
      <c r="E150" s="276" t="n"/>
      <c r="F150" s="276" t="n"/>
      <c r="G150" s="276" t="n"/>
      <c r="H150" s="276" t="n"/>
      <c r="I150" s="276" t="n"/>
      <c r="J150" s="276" t="n"/>
      <c r="K150" s="276" t="n"/>
      <c r="L150" s="276" t="n"/>
      <c r="M150" s="276" t="n"/>
      <c r="N150" s="276" t="n"/>
      <c r="O150" s="276" t="n"/>
      <c r="P150" s="277" t="n"/>
    </row>
    <row r="151">
      <c r="A151" s="275" t="n"/>
      <c r="B151" s="276" t="n"/>
      <c r="C151" s="276" t="n"/>
      <c r="D151" s="276" t="n"/>
      <c r="E151" s="276" t="n"/>
      <c r="F151" s="276" t="n"/>
      <c r="G151" s="276" t="n"/>
      <c r="H151" s="276" t="n"/>
      <c r="I151" s="276" t="n"/>
      <c r="J151" s="276" t="n"/>
      <c r="K151" s="276" t="n"/>
      <c r="L151" s="276" t="n"/>
      <c r="M151" s="276" t="n"/>
      <c r="N151" s="276" t="n"/>
      <c r="O151" s="276" t="n"/>
      <c r="P151" s="277" t="n"/>
    </row>
    <row r="152">
      <c r="A152" s="275" t="n"/>
      <c r="B152" s="276" t="n"/>
      <c r="C152" s="276" t="n"/>
      <c r="D152" s="276" t="n"/>
      <c r="E152" s="276" t="n"/>
      <c r="F152" s="276" t="n"/>
      <c r="G152" s="276" t="n"/>
      <c r="H152" s="276" t="n"/>
      <c r="I152" s="276" t="n"/>
      <c r="J152" s="276" t="n"/>
      <c r="K152" s="276" t="n"/>
      <c r="L152" s="276" t="n"/>
      <c r="M152" s="276" t="n"/>
      <c r="N152" s="276" t="n"/>
      <c r="O152" s="276" t="n"/>
      <c r="P152" s="277" t="n"/>
    </row>
    <row r="153">
      <c r="A153" s="275" t="n"/>
      <c r="B153" s="276" t="n"/>
      <c r="C153" s="276" t="n"/>
      <c r="D153" s="276" t="n"/>
      <c r="E153" s="276" t="n"/>
      <c r="F153" s="276" t="n"/>
      <c r="G153" s="276" t="n"/>
      <c r="H153" s="276" t="n"/>
      <c r="I153" s="276" t="n"/>
      <c r="J153" s="276" t="n"/>
      <c r="K153" s="276" t="n"/>
      <c r="L153" s="276" t="n"/>
      <c r="M153" s="276" t="n"/>
      <c r="N153" s="276" t="n"/>
      <c r="O153" s="276" t="n"/>
      <c r="P153" s="277" t="n"/>
    </row>
    <row r="154">
      <c r="A154" s="275" t="n"/>
      <c r="B154" s="276" t="n"/>
      <c r="C154" s="276" t="n"/>
      <c r="D154" s="276" t="n"/>
      <c r="E154" s="276" t="n"/>
      <c r="F154" s="276" t="n"/>
      <c r="G154" s="276" t="n"/>
      <c r="H154" s="276" t="n"/>
      <c r="I154" s="276" t="n"/>
      <c r="J154" s="276" t="n"/>
      <c r="K154" s="276" t="n"/>
      <c r="L154" s="276" t="n"/>
      <c r="M154" s="276" t="n"/>
      <c r="N154" s="276" t="n"/>
      <c r="O154" s="276" t="n"/>
      <c r="P154" s="277" t="n"/>
    </row>
    <row r="155">
      <c r="A155" s="275" t="n"/>
      <c r="B155" s="276" t="n"/>
      <c r="C155" s="276" t="n"/>
      <c r="D155" s="276" t="n"/>
      <c r="E155" s="276" t="n"/>
      <c r="F155" s="276" t="n"/>
      <c r="G155" s="276" t="n"/>
      <c r="H155" s="276" t="n"/>
      <c r="I155" s="276" t="n"/>
      <c r="J155" s="276" t="n"/>
      <c r="K155" s="276" t="n"/>
      <c r="L155" s="276" t="n"/>
      <c r="M155" s="276" t="n"/>
      <c r="N155" s="276" t="n"/>
      <c r="O155" s="276" t="n"/>
      <c r="P155" s="277" t="n"/>
    </row>
    <row r="156">
      <c r="A156" s="275" t="n"/>
      <c r="B156" s="276" t="n"/>
      <c r="C156" s="276" t="n"/>
      <c r="D156" s="276" t="n"/>
      <c r="E156" s="276" t="n"/>
      <c r="F156" s="276" t="n"/>
      <c r="G156" s="276" t="n"/>
      <c r="H156" s="276" t="n"/>
      <c r="I156" s="276" t="n"/>
      <c r="J156" s="276" t="n"/>
      <c r="K156" s="276" t="n"/>
      <c r="L156" s="276" t="n"/>
      <c r="M156" s="276" t="n"/>
      <c r="N156" s="276" t="n"/>
      <c r="O156" s="276" t="n"/>
      <c r="P156" s="277" t="n"/>
    </row>
    <row r="157">
      <c r="A157" s="275" t="n"/>
      <c r="B157" s="276" t="n"/>
      <c r="C157" s="276" t="n"/>
      <c r="D157" s="276" t="n"/>
      <c r="E157" s="276" t="n"/>
      <c r="F157" s="276" t="n"/>
      <c r="G157" s="276" t="n"/>
      <c r="H157" s="276" t="n"/>
      <c r="I157" s="276" t="n"/>
      <c r="J157" s="276" t="n"/>
      <c r="K157" s="276" t="n"/>
      <c r="L157" s="276" t="n"/>
      <c r="M157" s="276" t="n"/>
      <c r="N157" s="276" t="n"/>
      <c r="O157" s="276" t="n"/>
      <c r="P157" s="277" t="n"/>
    </row>
    <row r="158">
      <c r="A158" s="275" t="n"/>
      <c r="B158" s="276" t="n"/>
      <c r="C158" s="276" t="n"/>
      <c r="D158" s="276" t="n"/>
      <c r="E158" s="276" t="n"/>
      <c r="F158" s="276" t="n"/>
      <c r="G158" s="276" t="n"/>
      <c r="H158" s="276" t="n"/>
      <c r="I158" s="276" t="n"/>
      <c r="J158" s="276" t="n"/>
      <c r="K158" s="276" t="n"/>
      <c r="L158" s="276" t="n"/>
      <c r="M158" s="276" t="n"/>
      <c r="N158" s="276" t="n"/>
      <c r="O158" s="276" t="n"/>
      <c r="P158" s="277" t="n"/>
    </row>
    <row r="159">
      <c r="A159" s="275" t="n"/>
      <c r="B159" s="276" t="n"/>
      <c r="C159" s="276" t="n"/>
      <c r="D159" s="276" t="n"/>
      <c r="E159" s="276" t="n"/>
      <c r="F159" s="276" t="n"/>
      <c r="G159" s="276" t="n"/>
      <c r="H159" s="276" t="n"/>
      <c r="I159" s="276" t="n"/>
      <c r="J159" s="276" t="n"/>
      <c r="K159" s="276" t="n"/>
      <c r="L159" s="276" t="n"/>
      <c r="M159" s="276" t="n"/>
      <c r="N159" s="276" t="n"/>
      <c r="O159" s="276" t="n"/>
      <c r="P159" s="277" t="n"/>
    </row>
    <row r="160">
      <c r="A160" s="275" t="n"/>
      <c r="B160" s="276" t="n"/>
      <c r="C160" s="276" t="n"/>
      <c r="D160" s="276" t="n"/>
      <c r="E160" s="276" t="n"/>
      <c r="F160" s="276" t="n"/>
      <c r="G160" s="276" t="n"/>
      <c r="H160" s="276" t="n"/>
      <c r="I160" s="276" t="n"/>
      <c r="J160" s="276" t="n"/>
      <c r="K160" s="276" t="n"/>
      <c r="L160" s="276" t="n"/>
      <c r="M160" s="276" t="n"/>
      <c r="N160" s="276" t="n"/>
      <c r="O160" s="276" t="n"/>
      <c r="P160" s="277" t="n"/>
    </row>
    <row r="161">
      <c r="A161" s="275" t="n"/>
      <c r="B161" s="276" t="n"/>
      <c r="C161" s="276" t="n"/>
      <c r="D161" s="276" t="n"/>
      <c r="E161" s="276" t="n"/>
      <c r="F161" s="276" t="n"/>
      <c r="G161" s="276" t="n"/>
      <c r="H161" s="276" t="n"/>
      <c r="I161" s="276" t="n"/>
      <c r="J161" s="276" t="n"/>
      <c r="K161" s="276" t="n"/>
      <c r="L161" s="276" t="n"/>
      <c r="M161" s="276" t="n"/>
      <c r="N161" s="276" t="n"/>
      <c r="O161" s="276" t="n"/>
      <c r="P161" s="277" t="n"/>
    </row>
    <row r="162">
      <c r="A162" s="275" t="n"/>
      <c r="B162" s="276" t="n"/>
      <c r="C162" s="276" t="n"/>
      <c r="D162" s="276" t="n"/>
      <c r="E162" s="276" t="n"/>
      <c r="F162" s="276" t="n"/>
      <c r="G162" s="276" t="n"/>
      <c r="H162" s="276" t="n"/>
      <c r="I162" s="276" t="n"/>
      <c r="J162" s="276" t="n"/>
      <c r="K162" s="276" t="n"/>
      <c r="L162" s="276" t="n"/>
      <c r="M162" s="276" t="n"/>
      <c r="N162" s="276" t="n"/>
      <c r="O162" s="276" t="n"/>
      <c r="P162" s="277" t="n"/>
    </row>
    <row r="163">
      <c r="A163" s="275" t="n"/>
      <c r="B163" s="276" t="n"/>
      <c r="C163" s="276" t="n"/>
      <c r="D163" s="276" t="n"/>
      <c r="E163" s="276" t="n"/>
      <c r="F163" s="276" t="n"/>
      <c r="G163" s="276" t="n"/>
      <c r="H163" s="276" t="n"/>
      <c r="I163" s="276" t="n"/>
      <c r="J163" s="276" t="n"/>
      <c r="K163" s="276" t="n"/>
      <c r="L163" s="276" t="n"/>
      <c r="M163" s="276" t="n"/>
      <c r="N163" s="276" t="n"/>
      <c r="O163" s="276" t="n"/>
      <c r="P163" s="277" t="n"/>
    </row>
    <row r="164">
      <c r="A164" s="275" t="n"/>
      <c r="B164" s="276" t="n"/>
      <c r="C164" s="276" t="n"/>
      <c r="D164" s="276" t="n"/>
      <c r="E164" s="276" t="n"/>
      <c r="F164" s="276" t="n"/>
      <c r="G164" s="276" t="n"/>
      <c r="H164" s="276" t="n"/>
      <c r="I164" s="276" t="n"/>
      <c r="J164" s="276" t="n"/>
      <c r="K164" s="276" t="n"/>
      <c r="L164" s="276" t="n"/>
      <c r="M164" s="276" t="n"/>
      <c r="N164" s="276" t="n"/>
      <c r="O164" s="276" t="n"/>
      <c r="P164" s="277" t="n"/>
    </row>
    <row r="165">
      <c r="A165" s="275" t="n"/>
      <c r="B165" s="276" t="n"/>
      <c r="C165" s="276" t="n"/>
      <c r="D165" s="276" t="n"/>
      <c r="E165" s="276" t="n"/>
      <c r="F165" s="276" t="n"/>
      <c r="G165" s="276" t="n"/>
      <c r="H165" s="276" t="n"/>
      <c r="I165" s="276" t="n"/>
      <c r="J165" s="276" t="n"/>
      <c r="K165" s="276" t="n"/>
      <c r="L165" s="276" t="n"/>
      <c r="M165" s="276" t="n"/>
      <c r="N165" s="276" t="n"/>
      <c r="O165" s="276" t="n"/>
      <c r="P165" s="277" t="n"/>
    </row>
    <row r="166">
      <c r="A166" s="275" t="n"/>
      <c r="B166" s="276" t="n"/>
      <c r="C166" s="276" t="n"/>
      <c r="D166" s="276" t="n"/>
      <c r="E166" s="276" t="n"/>
      <c r="F166" s="276" t="n"/>
      <c r="G166" s="276" t="n"/>
      <c r="H166" s="276" t="n"/>
      <c r="I166" s="276" t="n"/>
      <c r="J166" s="276" t="n"/>
      <c r="K166" s="276" t="n"/>
      <c r="L166" s="276" t="n"/>
      <c r="M166" s="276" t="n"/>
      <c r="N166" s="276" t="n"/>
      <c r="O166" s="276" t="n"/>
      <c r="P166" s="277" t="n"/>
    </row>
    <row r="167">
      <c r="A167" s="275" t="n"/>
      <c r="B167" s="276" t="n"/>
      <c r="C167" s="276" t="n"/>
      <c r="D167" s="276" t="n"/>
      <c r="E167" s="276" t="n"/>
      <c r="F167" s="276" t="n"/>
      <c r="G167" s="276" t="n"/>
      <c r="H167" s="276" t="n"/>
      <c r="I167" s="276" t="n"/>
      <c r="J167" s="276" t="n"/>
      <c r="K167" s="276" t="n"/>
      <c r="L167" s="276" t="n"/>
      <c r="M167" s="276" t="n"/>
      <c r="N167" s="276" t="n"/>
      <c r="O167" s="276" t="n"/>
      <c r="P167" s="277" t="n"/>
    </row>
    <row r="168">
      <c r="A168" s="275" t="n"/>
      <c r="B168" s="276" t="n"/>
      <c r="C168" s="276" t="n"/>
      <c r="D168" s="276" t="n"/>
      <c r="E168" s="276" t="n"/>
      <c r="F168" s="276" t="n"/>
      <c r="G168" s="276" t="n"/>
      <c r="H168" s="276" t="n"/>
      <c r="I168" s="276" t="n"/>
      <c r="J168" s="276" t="n"/>
      <c r="K168" s="276" t="n"/>
      <c r="L168" s="276" t="n"/>
      <c r="M168" s="276" t="n"/>
      <c r="N168" s="276" t="n"/>
      <c r="O168" s="276" t="n"/>
      <c r="P168" s="277" t="n"/>
    </row>
    <row r="169">
      <c r="A169" s="275" t="n"/>
      <c r="B169" s="276" t="n"/>
      <c r="C169" s="276" t="n"/>
      <c r="D169" s="276" t="n"/>
      <c r="E169" s="276" t="n"/>
      <c r="F169" s="276" t="n"/>
      <c r="G169" s="276" t="n"/>
      <c r="H169" s="276" t="n"/>
      <c r="I169" s="276" t="n"/>
      <c r="J169" s="276" t="n"/>
      <c r="K169" s="276" t="n"/>
      <c r="L169" s="276" t="n"/>
      <c r="M169" s="276" t="n"/>
      <c r="N169" s="276" t="n"/>
      <c r="O169" s="276" t="n"/>
      <c r="P169" s="277" t="n"/>
    </row>
    <row r="170">
      <c r="A170" s="275" t="n"/>
      <c r="B170" s="276" t="n"/>
      <c r="C170" s="276" t="n"/>
      <c r="D170" s="276" t="n"/>
      <c r="E170" s="276" t="n"/>
      <c r="F170" s="276" t="n"/>
      <c r="G170" s="276" t="n"/>
      <c r="H170" s="276" t="n"/>
      <c r="I170" s="276" t="n"/>
      <c r="J170" s="276" t="n"/>
      <c r="K170" s="276" t="n"/>
      <c r="L170" s="276" t="n"/>
      <c r="M170" s="276" t="n"/>
      <c r="N170" s="276" t="n"/>
      <c r="O170" s="276" t="n"/>
      <c r="P170" s="277" t="n"/>
    </row>
    <row r="171">
      <c r="A171" s="275" t="n"/>
      <c r="B171" s="276" t="n"/>
      <c r="C171" s="276" t="n"/>
      <c r="D171" s="276" t="n"/>
      <c r="E171" s="276" t="n"/>
      <c r="F171" s="276" t="n"/>
      <c r="G171" s="276" t="n"/>
      <c r="H171" s="276" t="n"/>
      <c r="I171" s="276" t="n"/>
      <c r="J171" s="276" t="n"/>
      <c r="K171" s="276" t="n"/>
      <c r="L171" s="276" t="n"/>
      <c r="M171" s="276" t="n"/>
      <c r="N171" s="276" t="n"/>
      <c r="O171" s="276" t="n"/>
      <c r="P171" s="277" t="n"/>
    </row>
    <row r="172">
      <c r="A172" s="275" t="n"/>
      <c r="B172" s="276" t="n"/>
      <c r="C172" s="276" t="n"/>
      <c r="D172" s="276" t="n"/>
      <c r="E172" s="276" t="n"/>
      <c r="F172" s="276" t="n"/>
      <c r="G172" s="276" t="n"/>
      <c r="H172" s="276" t="n"/>
      <c r="I172" s="276" t="n"/>
      <c r="J172" s="276" t="n"/>
      <c r="K172" s="276" t="n"/>
      <c r="L172" s="276" t="n"/>
      <c r="M172" s="276" t="n"/>
      <c r="N172" s="276" t="n"/>
      <c r="O172" s="276" t="n"/>
      <c r="P172" s="277" t="n"/>
    </row>
    <row r="173">
      <c r="A173" s="275" t="n"/>
      <c r="B173" s="276" t="n"/>
      <c r="C173" s="276" t="n"/>
      <c r="D173" s="276" t="n"/>
      <c r="E173" s="276" t="n"/>
      <c r="F173" s="276" t="n"/>
      <c r="G173" s="276" t="n"/>
      <c r="H173" s="276" t="n"/>
      <c r="I173" s="276" t="n"/>
      <c r="J173" s="276" t="n"/>
      <c r="K173" s="276" t="n"/>
      <c r="L173" s="276" t="n"/>
      <c r="M173" s="276" t="n"/>
      <c r="N173" s="276" t="n"/>
      <c r="O173" s="276" t="n"/>
      <c r="P173" s="277" t="n"/>
    </row>
    <row r="174">
      <c r="A174" s="275" t="n"/>
      <c r="B174" s="276" t="n"/>
      <c r="C174" s="276" t="n"/>
      <c r="D174" s="276" t="n"/>
      <c r="E174" s="276" t="n"/>
      <c r="F174" s="276" t="n"/>
      <c r="G174" s="276" t="n"/>
      <c r="H174" s="276" t="n"/>
      <c r="I174" s="276" t="n"/>
      <c r="J174" s="276" t="n"/>
      <c r="K174" s="276" t="n"/>
      <c r="L174" s="276" t="n"/>
      <c r="M174" s="276" t="n"/>
      <c r="N174" s="276" t="n"/>
      <c r="O174" s="276" t="n"/>
      <c r="P174" s="277" t="n"/>
    </row>
    <row r="175">
      <c r="A175" s="275" t="n"/>
      <c r="B175" s="276" t="n"/>
      <c r="C175" s="276" t="n"/>
      <c r="D175" s="276" t="n"/>
      <c r="E175" s="276" t="n"/>
      <c r="F175" s="276" t="n"/>
      <c r="G175" s="276" t="n"/>
      <c r="H175" s="276" t="n"/>
      <c r="I175" s="276" t="n"/>
      <c r="J175" s="276" t="n"/>
      <c r="K175" s="276" t="n"/>
      <c r="L175" s="276" t="n"/>
      <c r="M175" s="276" t="n"/>
      <c r="N175" s="276" t="n"/>
      <c r="O175" s="276" t="n"/>
      <c r="P175" s="277" t="n"/>
    </row>
    <row r="176">
      <c r="A176" s="275" t="n"/>
      <c r="B176" s="276" t="n"/>
      <c r="C176" s="276" t="n"/>
      <c r="D176" s="276" t="n"/>
      <c r="E176" s="276" t="n"/>
      <c r="F176" s="276" t="n"/>
      <c r="G176" s="276" t="n"/>
      <c r="H176" s="276" t="n"/>
      <c r="I176" s="276" t="n"/>
      <c r="J176" s="276" t="n"/>
      <c r="K176" s="276" t="n"/>
      <c r="L176" s="276" t="n"/>
      <c r="M176" s="276" t="n"/>
      <c r="N176" s="276" t="n"/>
      <c r="O176" s="276" t="n"/>
      <c r="P176" s="277" t="n"/>
    </row>
    <row r="177">
      <c r="A177" s="275" t="n"/>
      <c r="B177" s="276" t="n"/>
      <c r="C177" s="276" t="n"/>
      <c r="D177" s="276" t="n"/>
      <c r="E177" s="276" t="n"/>
      <c r="F177" s="276" t="n"/>
      <c r="G177" s="276" t="n"/>
      <c r="H177" s="276" t="n"/>
      <c r="I177" s="276" t="n"/>
      <c r="J177" s="276" t="n"/>
      <c r="K177" s="276" t="n"/>
      <c r="L177" s="276" t="n"/>
      <c r="M177" s="276" t="n"/>
      <c r="N177" s="276" t="n"/>
      <c r="O177" s="276" t="n"/>
      <c r="P177" s="277" t="n"/>
    </row>
    <row r="178">
      <c r="A178" s="275" t="n"/>
      <c r="B178" s="276" t="n"/>
      <c r="C178" s="276" t="n"/>
      <c r="D178" s="276" t="n"/>
      <c r="E178" s="276" t="n"/>
      <c r="F178" s="276" t="n"/>
      <c r="G178" s="276" t="n"/>
      <c r="H178" s="276" t="n"/>
      <c r="I178" s="276" t="n"/>
      <c r="J178" s="276" t="n"/>
      <c r="K178" s="276" t="n"/>
      <c r="L178" s="276" t="n"/>
      <c r="M178" s="276" t="n"/>
      <c r="N178" s="276" t="n"/>
      <c r="O178" s="276" t="n"/>
      <c r="P178" s="277" t="n"/>
    </row>
    <row r="179">
      <c r="A179" s="275" t="n"/>
      <c r="B179" s="276" t="n"/>
      <c r="C179" s="276" t="n"/>
      <c r="D179" s="276" t="n"/>
      <c r="E179" s="276" t="n"/>
      <c r="F179" s="276" t="n"/>
      <c r="G179" s="276" t="n"/>
      <c r="H179" s="276" t="n"/>
      <c r="I179" s="276" t="n"/>
      <c r="J179" s="276" t="n"/>
      <c r="K179" s="276" t="n"/>
      <c r="L179" s="276" t="n"/>
      <c r="M179" s="276" t="n"/>
      <c r="N179" s="276" t="n"/>
      <c r="O179" s="276" t="n"/>
      <c r="P179" s="277" t="n"/>
    </row>
    <row r="180">
      <c r="A180" s="275" t="n"/>
      <c r="B180" s="276" t="n"/>
      <c r="C180" s="276" t="n"/>
      <c r="D180" s="276" t="n"/>
      <c r="E180" s="276" t="n"/>
      <c r="F180" s="276" t="n"/>
      <c r="G180" s="276" t="n"/>
      <c r="H180" s="276" t="n"/>
      <c r="I180" s="276" t="n"/>
      <c r="J180" s="276" t="n"/>
      <c r="K180" s="276" t="n"/>
      <c r="L180" s="276" t="n"/>
      <c r="M180" s="276" t="n"/>
      <c r="N180" s="276" t="n"/>
      <c r="O180" s="276" t="n"/>
      <c r="P180" s="277" t="n"/>
    </row>
    <row r="181">
      <c r="A181" s="275" t="n"/>
      <c r="B181" s="276" t="n"/>
      <c r="C181" s="276" t="n"/>
      <c r="D181" s="276" t="n"/>
      <c r="E181" s="276" t="n"/>
      <c r="F181" s="276" t="n"/>
      <c r="G181" s="276" t="n"/>
      <c r="H181" s="276" t="n"/>
      <c r="I181" s="276" t="n"/>
      <c r="J181" s="276" t="n"/>
      <c r="K181" s="276" t="n"/>
      <c r="L181" s="276" t="n"/>
      <c r="M181" s="276" t="n"/>
      <c r="N181" s="276" t="n"/>
      <c r="O181" s="276" t="n"/>
      <c r="P181" s="277" t="n"/>
    </row>
    <row r="182">
      <c r="A182" s="275" t="n"/>
      <c r="B182" s="276" t="n"/>
      <c r="C182" s="276" t="n"/>
      <c r="D182" s="276" t="n"/>
      <c r="E182" s="276" t="n"/>
      <c r="F182" s="276" t="n"/>
      <c r="G182" s="276" t="n"/>
      <c r="H182" s="276" t="n"/>
      <c r="I182" s="276" t="n"/>
      <c r="J182" s="276" t="n"/>
      <c r="K182" s="276" t="n"/>
      <c r="L182" s="276" t="n"/>
      <c r="M182" s="276" t="n"/>
      <c r="N182" s="276" t="n"/>
      <c r="O182" s="276" t="n"/>
      <c r="P182" s="277" t="n"/>
    </row>
    <row r="183">
      <c r="A183" s="275" t="n"/>
      <c r="B183" s="276" t="n"/>
      <c r="C183" s="276" t="n"/>
      <c r="D183" s="276" t="n"/>
      <c r="E183" s="276" t="n"/>
      <c r="F183" s="276" t="n"/>
      <c r="G183" s="276" t="n"/>
      <c r="H183" s="276" t="n"/>
      <c r="I183" s="276" t="n"/>
      <c r="J183" s="276" t="n"/>
      <c r="K183" s="276" t="n"/>
      <c r="L183" s="276" t="n"/>
      <c r="M183" s="276" t="n"/>
      <c r="N183" s="276" t="n"/>
      <c r="O183" s="276" t="n"/>
      <c r="P183" s="277" t="n"/>
    </row>
    <row r="184">
      <c r="A184" s="275" t="n"/>
      <c r="B184" s="276" t="n"/>
      <c r="C184" s="276" t="n"/>
      <c r="D184" s="276" t="n"/>
      <c r="E184" s="276" t="n"/>
      <c r="F184" s="276" t="n"/>
      <c r="G184" s="276" t="n"/>
      <c r="H184" s="276" t="n"/>
      <c r="I184" s="276" t="n"/>
      <c r="J184" s="276" t="n"/>
      <c r="K184" s="276" t="n"/>
      <c r="L184" s="276" t="n"/>
      <c r="M184" s="276" t="n"/>
      <c r="N184" s="276" t="n"/>
      <c r="O184" s="276" t="n"/>
      <c r="P184" s="277" t="n"/>
    </row>
    <row r="185">
      <c r="A185" s="275" t="n"/>
      <c r="B185" s="276" t="n"/>
      <c r="C185" s="276" t="n"/>
      <c r="D185" s="276" t="n"/>
      <c r="E185" s="276" t="n"/>
      <c r="F185" s="276" t="n"/>
      <c r="G185" s="276" t="n"/>
      <c r="H185" s="276" t="n"/>
      <c r="I185" s="276" t="n"/>
      <c r="J185" s="276" t="n"/>
      <c r="K185" s="276" t="n"/>
      <c r="L185" s="276" t="n"/>
      <c r="M185" s="276" t="n"/>
      <c r="N185" s="276" t="n"/>
      <c r="O185" s="276" t="n"/>
      <c r="P185" s="277" t="n"/>
    </row>
    <row r="186">
      <c r="A186" s="275" t="n"/>
      <c r="B186" s="276" t="n"/>
      <c r="C186" s="276" t="n"/>
      <c r="D186" s="276" t="n"/>
      <c r="E186" s="276" t="n"/>
      <c r="F186" s="276" t="n"/>
      <c r="G186" s="276" t="n"/>
      <c r="H186" s="276" t="n"/>
      <c r="I186" s="276" t="n"/>
      <c r="J186" s="276" t="n"/>
      <c r="K186" s="276" t="n"/>
      <c r="L186" s="276" t="n"/>
      <c r="M186" s="276" t="n"/>
      <c r="N186" s="276" t="n"/>
      <c r="O186" s="276" t="n"/>
      <c r="P186" s="277" t="n"/>
    </row>
    <row r="187">
      <c r="A187" s="275" t="n"/>
      <c r="B187" s="276" t="n"/>
      <c r="C187" s="276" t="n"/>
      <c r="D187" s="276" t="n"/>
      <c r="E187" s="276" t="n"/>
      <c r="F187" s="276" t="n"/>
      <c r="G187" s="276" t="n"/>
      <c r="H187" s="276" t="n"/>
      <c r="I187" s="276" t="n"/>
      <c r="J187" s="276" t="n"/>
      <c r="K187" s="276" t="n"/>
      <c r="L187" s="276" t="n"/>
      <c r="M187" s="276" t="n"/>
      <c r="N187" s="276" t="n"/>
      <c r="O187" s="276" t="n"/>
      <c r="P187" s="277" t="n"/>
    </row>
    <row r="188">
      <c r="A188" s="275" t="n"/>
      <c r="B188" s="276" t="n"/>
      <c r="C188" s="276" t="n"/>
      <c r="D188" s="276" t="n"/>
      <c r="E188" s="276" t="n"/>
      <c r="F188" s="276" t="n"/>
      <c r="G188" s="276" t="n"/>
      <c r="H188" s="276" t="n"/>
      <c r="I188" s="276" t="n"/>
      <c r="J188" s="276" t="n"/>
      <c r="K188" s="276" t="n"/>
      <c r="L188" s="276" t="n"/>
      <c r="M188" s="276" t="n"/>
      <c r="N188" s="276" t="n"/>
      <c r="O188" s="276" t="n"/>
      <c r="P188" s="277" t="n"/>
    </row>
    <row r="189">
      <c r="A189" s="275" t="n"/>
      <c r="B189" s="276" t="n"/>
      <c r="C189" s="276" t="n"/>
      <c r="D189" s="276" t="n"/>
      <c r="E189" s="276" t="n"/>
      <c r="F189" s="276" t="n"/>
      <c r="G189" s="276" t="n"/>
      <c r="H189" s="276" t="n"/>
      <c r="I189" s="276" t="n"/>
      <c r="J189" s="276" t="n"/>
      <c r="K189" s="276" t="n"/>
      <c r="L189" s="276" t="n"/>
      <c r="M189" s="276" t="n"/>
      <c r="N189" s="276" t="n"/>
      <c r="O189" s="276" t="n"/>
      <c r="P189" s="277" t="n"/>
    </row>
    <row r="190">
      <c r="A190" s="275" t="n"/>
      <c r="B190" s="276" t="n"/>
      <c r="C190" s="276" t="n"/>
      <c r="D190" s="276" t="n"/>
      <c r="E190" s="276" t="n"/>
      <c r="F190" s="276" t="n"/>
      <c r="G190" s="276" t="n"/>
      <c r="H190" s="276" t="n"/>
      <c r="I190" s="276" t="n"/>
      <c r="J190" s="276" t="n"/>
      <c r="K190" s="276" t="n"/>
      <c r="L190" s="276" t="n"/>
      <c r="M190" s="276" t="n"/>
      <c r="N190" s="276" t="n"/>
      <c r="O190" s="276" t="n"/>
      <c r="P190" s="277" t="n"/>
    </row>
    <row r="191">
      <c r="A191" s="275" t="n"/>
      <c r="B191" s="276" t="n"/>
      <c r="C191" s="276" t="n"/>
      <c r="D191" s="276" t="n"/>
      <c r="E191" s="276" t="n"/>
      <c r="F191" s="276" t="n"/>
      <c r="G191" s="276" t="n"/>
      <c r="H191" s="276" t="n"/>
      <c r="I191" s="276" t="n"/>
      <c r="J191" s="276" t="n"/>
      <c r="K191" s="276" t="n"/>
      <c r="L191" s="276" t="n"/>
      <c r="M191" s="276" t="n"/>
      <c r="N191" s="276" t="n"/>
      <c r="O191" s="276" t="n"/>
      <c r="P191" s="277" t="n"/>
    </row>
    <row r="192">
      <c r="A192" s="275" t="n"/>
      <c r="B192" s="276" t="n"/>
      <c r="C192" s="276" t="n"/>
      <c r="D192" s="276" t="n"/>
      <c r="E192" s="276" t="n"/>
      <c r="F192" s="276" t="n"/>
      <c r="G192" s="276" t="n"/>
      <c r="H192" s="276" t="n"/>
      <c r="I192" s="276" t="n"/>
      <c r="J192" s="276" t="n"/>
      <c r="K192" s="276" t="n"/>
      <c r="L192" s="276" t="n"/>
      <c r="M192" s="276" t="n"/>
      <c r="N192" s="276" t="n"/>
      <c r="O192" s="276" t="n"/>
      <c r="P192" s="277" t="n"/>
    </row>
    <row r="193">
      <c r="A193" s="275" t="n"/>
      <c r="B193" s="276" t="n"/>
      <c r="C193" s="276" t="n"/>
      <c r="D193" s="276" t="n"/>
      <c r="E193" s="276" t="n"/>
      <c r="F193" s="276" t="n"/>
      <c r="G193" s="276" t="n"/>
      <c r="H193" s="276" t="n"/>
      <c r="I193" s="276" t="n"/>
      <c r="J193" s="276" t="n"/>
      <c r="K193" s="276" t="n"/>
      <c r="L193" s="276" t="n"/>
      <c r="M193" s="276" t="n"/>
      <c r="N193" s="276" t="n"/>
      <c r="O193" s="276" t="n"/>
      <c r="P193" s="277" t="n"/>
    </row>
    <row r="194">
      <c r="A194" s="275" t="n"/>
      <c r="B194" s="276" t="n"/>
      <c r="C194" s="276" t="n"/>
      <c r="D194" s="276" t="n"/>
      <c r="E194" s="276" t="n"/>
      <c r="F194" s="276" t="n"/>
      <c r="G194" s="276" t="n"/>
      <c r="H194" s="276" t="n"/>
      <c r="I194" s="276" t="n"/>
      <c r="J194" s="276" t="n"/>
      <c r="K194" s="276" t="n"/>
      <c r="L194" s="276" t="n"/>
      <c r="M194" s="276" t="n"/>
      <c r="N194" s="276" t="n"/>
      <c r="O194" s="276" t="n"/>
      <c r="P194" s="277" t="n"/>
    </row>
    <row r="195">
      <c r="A195" s="275" t="n"/>
      <c r="B195" s="276" t="n"/>
      <c r="C195" s="276" t="n"/>
      <c r="D195" s="276" t="n"/>
      <c r="E195" s="276" t="n"/>
      <c r="F195" s="276" t="n"/>
      <c r="G195" s="276" t="n"/>
      <c r="H195" s="276" t="n"/>
      <c r="I195" s="276" t="n"/>
      <c r="J195" s="276" t="n"/>
      <c r="K195" s="276" t="n"/>
      <c r="L195" s="276" t="n"/>
      <c r="M195" s="276" t="n"/>
      <c r="N195" s="276" t="n"/>
      <c r="O195" s="276" t="n"/>
      <c r="P195" s="277" t="n"/>
    </row>
    <row r="196">
      <c r="A196" s="275" t="n"/>
      <c r="B196" s="276" t="n"/>
      <c r="C196" s="276" t="n"/>
      <c r="D196" s="276" t="n"/>
      <c r="E196" s="276" t="n"/>
      <c r="F196" s="276" t="n"/>
      <c r="G196" s="276" t="n"/>
      <c r="H196" s="276" t="n"/>
      <c r="I196" s="276" t="n"/>
      <c r="J196" s="276" t="n"/>
      <c r="K196" s="276" t="n"/>
      <c r="L196" s="276" t="n"/>
      <c r="M196" s="276" t="n"/>
      <c r="N196" s="276" t="n"/>
      <c r="O196" s="276" t="n"/>
      <c r="P196" s="277" t="n"/>
    </row>
    <row r="197">
      <c r="A197" s="275" t="n"/>
      <c r="B197" s="276" t="n"/>
      <c r="C197" s="276" t="n"/>
      <c r="D197" s="276" t="n"/>
      <c r="E197" s="276" t="n"/>
      <c r="F197" s="276" t="n"/>
      <c r="G197" s="276" t="n"/>
      <c r="H197" s="276" t="n"/>
      <c r="I197" s="276" t="n"/>
      <c r="J197" s="276" t="n"/>
      <c r="K197" s="276" t="n"/>
      <c r="L197" s="276" t="n"/>
      <c r="M197" s="276" t="n"/>
      <c r="N197" s="276" t="n"/>
      <c r="O197" s="276" t="n"/>
      <c r="P197" s="277" t="n"/>
    </row>
    <row r="198">
      <c r="A198" s="275" t="n"/>
      <c r="B198" s="276" t="n"/>
      <c r="C198" s="276" t="n"/>
      <c r="D198" s="276" t="n"/>
      <c r="E198" s="276" t="n"/>
      <c r="F198" s="276" t="n"/>
      <c r="G198" s="276" t="n"/>
      <c r="H198" s="276" t="n"/>
      <c r="I198" s="276" t="n"/>
      <c r="J198" s="276" t="n"/>
      <c r="K198" s="276" t="n"/>
      <c r="L198" s="276" t="n"/>
      <c r="M198" s="276" t="n"/>
      <c r="N198" s="276" t="n"/>
      <c r="O198" s="276" t="n"/>
      <c r="P198" s="277" t="n"/>
    </row>
    <row r="199">
      <c r="A199" s="275" t="n"/>
      <c r="B199" s="276" t="n"/>
      <c r="C199" s="276" t="n"/>
      <c r="D199" s="276" t="n"/>
      <c r="E199" s="276" t="n"/>
      <c r="F199" s="276" t="n"/>
      <c r="G199" s="276" t="n"/>
      <c r="H199" s="276" t="n"/>
      <c r="I199" s="276" t="n"/>
      <c r="J199" s="276" t="n"/>
      <c r="K199" s="276" t="n"/>
      <c r="L199" s="276" t="n"/>
      <c r="M199" s="276" t="n"/>
      <c r="N199" s="276" t="n"/>
      <c r="O199" s="276" t="n"/>
      <c r="P199" s="277" t="n"/>
    </row>
    <row r="200">
      <c r="A200" s="275" t="n"/>
      <c r="B200" s="276" t="n"/>
      <c r="C200" s="276" t="n"/>
      <c r="D200" s="276" t="n"/>
      <c r="E200" s="276" t="n"/>
      <c r="F200" s="276" t="n"/>
      <c r="G200" s="276" t="n"/>
      <c r="H200" s="276" t="n"/>
      <c r="I200" s="276" t="n"/>
      <c r="J200" s="276" t="n"/>
      <c r="K200" s="276" t="n"/>
      <c r="L200" s="276" t="n"/>
      <c r="M200" s="276" t="n"/>
      <c r="N200" s="276" t="n"/>
      <c r="O200" s="276" t="n"/>
      <c r="P200" s="277" t="n"/>
    </row>
    <row r="201">
      <c r="A201" s="275" t="n"/>
      <c r="B201" s="276" t="n"/>
      <c r="C201" s="276" t="n"/>
      <c r="D201" s="276" t="n"/>
      <c r="E201" s="276" t="n"/>
      <c r="F201" s="276" t="n"/>
      <c r="G201" s="276" t="n"/>
      <c r="H201" s="276" t="n"/>
      <c r="I201" s="276" t="n"/>
      <c r="J201" s="276" t="n"/>
      <c r="K201" s="276" t="n"/>
      <c r="L201" s="276" t="n"/>
      <c r="M201" s="276" t="n"/>
      <c r="N201" s="276" t="n"/>
      <c r="O201" s="276" t="n"/>
      <c r="P201" s="277" t="n"/>
    </row>
    <row r="202">
      <c r="A202" s="275" t="n"/>
      <c r="B202" s="276" t="n"/>
      <c r="C202" s="276" t="n"/>
      <c r="D202" s="276" t="n"/>
      <c r="E202" s="276" t="n"/>
      <c r="F202" s="276" t="n"/>
      <c r="G202" s="276" t="n"/>
      <c r="H202" s="276" t="n"/>
      <c r="I202" s="276" t="n"/>
      <c r="J202" s="276" t="n"/>
      <c r="K202" s="276" t="n"/>
      <c r="L202" s="276" t="n"/>
      <c r="M202" s="276" t="n"/>
      <c r="N202" s="276" t="n"/>
      <c r="O202" s="276" t="n"/>
      <c r="P202" s="277" t="n"/>
    </row>
    <row r="203">
      <c r="A203" s="275" t="n"/>
      <c r="B203" s="276" t="n"/>
      <c r="C203" s="276" t="n"/>
      <c r="D203" s="276" t="n"/>
      <c r="E203" s="276" t="n"/>
      <c r="F203" s="276" t="n"/>
      <c r="G203" s="276" t="n"/>
      <c r="H203" s="276" t="n"/>
      <c r="I203" s="276" t="n"/>
      <c r="J203" s="276" t="n"/>
      <c r="K203" s="276" t="n"/>
      <c r="L203" s="276" t="n"/>
      <c r="M203" s="276" t="n"/>
      <c r="N203" s="276" t="n"/>
      <c r="O203" s="276" t="n"/>
      <c r="P203" s="277" t="n"/>
    </row>
    <row r="204">
      <c r="A204" s="275" t="n"/>
      <c r="B204" s="276" t="n"/>
      <c r="C204" s="276" t="n"/>
      <c r="D204" s="276" t="n"/>
      <c r="E204" s="276" t="n"/>
      <c r="F204" s="276" t="n"/>
      <c r="G204" s="276" t="n"/>
      <c r="H204" s="276" t="n"/>
      <c r="I204" s="276" t="n"/>
      <c r="J204" s="276" t="n"/>
      <c r="K204" s="276" t="n"/>
      <c r="L204" s="276" t="n"/>
      <c r="M204" s="276" t="n"/>
      <c r="N204" s="276" t="n"/>
      <c r="O204" s="276" t="n"/>
      <c r="P204" s="277" t="n"/>
    </row>
    <row r="205">
      <c r="A205" s="275" t="n"/>
      <c r="B205" s="276" t="n"/>
      <c r="C205" s="276" t="n"/>
      <c r="D205" s="276" t="n"/>
      <c r="E205" s="276" t="n"/>
      <c r="F205" s="276" t="n"/>
      <c r="G205" s="276" t="n"/>
      <c r="H205" s="276" t="n"/>
      <c r="I205" s="276" t="n"/>
      <c r="J205" s="276" t="n"/>
      <c r="K205" s="276" t="n"/>
      <c r="L205" s="276" t="n"/>
      <c r="M205" s="276" t="n"/>
      <c r="N205" s="276" t="n"/>
      <c r="O205" s="276" t="n"/>
      <c r="P205" s="277" t="n"/>
    </row>
    <row r="206">
      <c r="A206" s="275" t="n"/>
      <c r="B206" s="276" t="n"/>
      <c r="C206" s="276" t="n"/>
      <c r="D206" s="276" t="n"/>
      <c r="E206" s="276" t="n"/>
      <c r="F206" s="276" t="n"/>
      <c r="G206" s="276" t="n"/>
      <c r="H206" s="276" t="n"/>
      <c r="I206" s="276" t="n"/>
      <c r="J206" s="276" t="n"/>
      <c r="K206" s="276" t="n"/>
      <c r="L206" s="276" t="n"/>
      <c r="M206" s="276" t="n"/>
      <c r="N206" s="276" t="n"/>
      <c r="O206" s="276" t="n"/>
      <c r="P206" s="277" t="n"/>
    </row>
    <row r="207">
      <c r="A207" s="275" t="n"/>
      <c r="B207" s="276" t="n"/>
      <c r="C207" s="276" t="n"/>
      <c r="D207" s="276" t="n"/>
      <c r="E207" s="276" t="n"/>
      <c r="F207" s="276" t="n"/>
      <c r="G207" s="276" t="n"/>
      <c r="H207" s="276" t="n"/>
      <c r="I207" s="276" t="n"/>
      <c r="J207" s="276" t="n"/>
      <c r="K207" s="276" t="n"/>
      <c r="L207" s="276" t="n"/>
      <c r="M207" s="276" t="n"/>
      <c r="N207" s="276" t="n"/>
      <c r="O207" s="276" t="n"/>
      <c r="P207" s="277" t="n"/>
    </row>
    <row r="208">
      <c r="A208" s="275" t="n"/>
      <c r="B208" s="276" t="n"/>
      <c r="C208" s="276" t="n"/>
      <c r="D208" s="276" t="n"/>
      <c r="E208" s="276" t="n"/>
      <c r="F208" s="276" t="n"/>
      <c r="G208" s="276" t="n"/>
      <c r="H208" s="276" t="n"/>
      <c r="I208" s="276" t="n"/>
      <c r="J208" s="276" t="n"/>
      <c r="K208" s="276" t="n"/>
      <c r="L208" s="276" t="n"/>
      <c r="M208" s="276" t="n"/>
      <c r="N208" s="276" t="n"/>
      <c r="O208" s="276" t="n"/>
      <c r="P208" s="277" t="n"/>
    </row>
    <row r="209">
      <c r="A209" s="275" t="n"/>
      <c r="B209" s="276" t="n"/>
      <c r="C209" s="276" t="n"/>
      <c r="D209" s="276" t="n"/>
      <c r="E209" s="276" t="n"/>
      <c r="F209" s="276" t="n"/>
      <c r="G209" s="276" t="n"/>
      <c r="H209" s="276" t="n"/>
      <c r="I209" s="276" t="n"/>
      <c r="J209" s="276" t="n"/>
      <c r="K209" s="276" t="n"/>
      <c r="L209" s="276" t="n"/>
      <c r="M209" s="276" t="n"/>
      <c r="N209" s="276" t="n"/>
      <c r="O209" s="276" t="n"/>
      <c r="P209" s="277" t="n"/>
    </row>
    <row r="210">
      <c r="A210" s="275" t="n"/>
      <c r="B210" s="276" t="n"/>
      <c r="C210" s="276" t="n"/>
      <c r="D210" s="276" t="n"/>
      <c r="E210" s="276" t="n"/>
      <c r="F210" s="276" t="n"/>
      <c r="G210" s="276" t="n"/>
      <c r="H210" s="276" t="n"/>
      <c r="I210" s="276" t="n"/>
      <c r="J210" s="276" t="n"/>
      <c r="K210" s="276" t="n"/>
      <c r="L210" s="276" t="n"/>
      <c r="M210" s="276" t="n"/>
      <c r="N210" s="276" t="n"/>
      <c r="O210" s="276" t="n"/>
      <c r="P210" s="277" t="n"/>
    </row>
    <row r="211">
      <c r="A211" s="275" t="n"/>
      <c r="B211" s="276" t="n"/>
      <c r="C211" s="276" t="n"/>
      <c r="D211" s="276" t="n"/>
      <c r="E211" s="276" t="n"/>
      <c r="F211" s="276" t="n"/>
      <c r="G211" s="276" t="n"/>
      <c r="H211" s="276" t="n"/>
      <c r="I211" s="276" t="n"/>
      <c r="J211" s="276" t="n"/>
      <c r="K211" s="276" t="n"/>
      <c r="L211" s="276" t="n"/>
      <c r="M211" s="276" t="n"/>
      <c r="N211" s="276" t="n"/>
      <c r="O211" s="276" t="n"/>
      <c r="P211" s="277" t="n"/>
    </row>
    <row r="212">
      <c r="A212" s="275" t="n"/>
      <c r="B212" s="276" t="n"/>
      <c r="C212" s="276" t="n"/>
      <c r="D212" s="276" t="n"/>
      <c r="E212" s="276" t="n"/>
      <c r="F212" s="276" t="n"/>
      <c r="G212" s="276" t="n"/>
      <c r="H212" s="276" t="n"/>
      <c r="I212" s="276" t="n"/>
      <c r="J212" s="276" t="n"/>
      <c r="K212" s="276" t="n"/>
      <c r="L212" s="276" t="n"/>
      <c r="M212" s="276" t="n"/>
      <c r="N212" s="276" t="n"/>
      <c r="O212" s="276" t="n"/>
      <c r="P212" s="277" t="n"/>
    </row>
    <row r="213">
      <c r="A213" s="275" t="n"/>
      <c r="B213" s="276" t="n"/>
      <c r="C213" s="276" t="n"/>
      <c r="D213" s="276" t="n"/>
      <c r="E213" s="276" t="n"/>
      <c r="F213" s="276" t="n"/>
      <c r="G213" s="276" t="n"/>
      <c r="H213" s="276" t="n"/>
      <c r="I213" s="276" t="n"/>
      <c r="J213" s="276" t="n"/>
      <c r="K213" s="276" t="n"/>
      <c r="L213" s="276" t="n"/>
      <c r="M213" s="276" t="n"/>
      <c r="N213" s="276" t="n"/>
      <c r="O213" s="276" t="n"/>
      <c r="P213" s="277" t="n"/>
    </row>
    <row r="214">
      <c r="A214" s="275" t="n"/>
      <c r="B214" s="276" t="n"/>
      <c r="C214" s="276" t="n"/>
      <c r="D214" s="276" t="n"/>
      <c r="E214" s="276" t="n"/>
      <c r="F214" s="276" t="n"/>
      <c r="G214" s="276" t="n"/>
      <c r="H214" s="276" t="n"/>
      <c r="I214" s="276" t="n"/>
      <c r="J214" s="276" t="n"/>
      <c r="K214" s="276" t="n"/>
      <c r="L214" s="276" t="n"/>
      <c r="M214" s="276" t="n"/>
      <c r="N214" s="276" t="n"/>
      <c r="O214" s="276" t="n"/>
      <c r="P214" s="277" t="n"/>
    </row>
    <row r="215">
      <c r="A215" s="275" t="n"/>
      <c r="B215" s="276" t="n"/>
      <c r="C215" s="276" t="n"/>
      <c r="D215" s="276" t="n"/>
      <c r="E215" s="276" t="n"/>
      <c r="F215" s="276" t="n"/>
      <c r="G215" s="276" t="n"/>
      <c r="H215" s="276" t="n"/>
      <c r="I215" s="276" t="n"/>
      <c r="J215" s="276" t="n"/>
      <c r="K215" s="276" t="n"/>
      <c r="L215" s="276" t="n"/>
      <c r="M215" s="276" t="n"/>
      <c r="N215" s="276" t="n"/>
      <c r="O215" s="276" t="n"/>
      <c r="P215" s="277" t="n"/>
    </row>
    <row r="216">
      <c r="A216" s="275" t="n"/>
      <c r="B216" s="276" t="n"/>
      <c r="C216" s="276" t="n"/>
      <c r="D216" s="276" t="n"/>
      <c r="E216" s="276" t="n"/>
      <c r="F216" s="276" t="n"/>
      <c r="G216" s="276" t="n"/>
      <c r="H216" s="276" t="n"/>
      <c r="I216" s="276" t="n"/>
      <c r="J216" s="276" t="n"/>
      <c r="K216" s="276" t="n"/>
      <c r="L216" s="276" t="n"/>
      <c r="M216" s="276" t="n"/>
      <c r="N216" s="276" t="n"/>
      <c r="O216" s="276" t="n"/>
      <c r="P216" s="277" t="n"/>
    </row>
    <row r="217">
      <c r="A217" s="275" t="n"/>
      <c r="B217" s="276" t="n"/>
      <c r="C217" s="276" t="n"/>
      <c r="D217" s="276" t="n"/>
      <c r="E217" s="276" t="n"/>
      <c r="F217" s="276" t="n"/>
      <c r="G217" s="276" t="n"/>
      <c r="H217" s="276" t="n"/>
      <c r="I217" s="276" t="n"/>
      <c r="J217" s="276" t="n"/>
      <c r="K217" s="276" t="n"/>
      <c r="L217" s="276" t="n"/>
      <c r="M217" s="276" t="n"/>
      <c r="N217" s="276" t="n"/>
      <c r="O217" s="276" t="n"/>
      <c r="P217" s="277" t="n"/>
    </row>
    <row r="218">
      <c r="A218" s="275" t="n"/>
      <c r="B218" s="276" t="n"/>
      <c r="C218" s="276" t="n"/>
      <c r="D218" s="276" t="n"/>
      <c r="E218" s="276" t="n"/>
      <c r="F218" s="276" t="n"/>
      <c r="G218" s="276" t="n"/>
      <c r="H218" s="276" t="n"/>
      <c r="I218" s="276" t="n"/>
      <c r="J218" s="276" t="n"/>
      <c r="K218" s="276" t="n"/>
      <c r="L218" s="276" t="n"/>
      <c r="M218" s="276" t="n"/>
      <c r="N218" s="276" t="n"/>
      <c r="O218" s="276" t="n"/>
      <c r="P218" s="277" t="n"/>
    </row>
    <row r="219">
      <c r="A219" s="275" t="n"/>
      <c r="B219" s="276" t="n"/>
      <c r="C219" s="276" t="n"/>
      <c r="D219" s="276" t="n"/>
      <c r="E219" s="276" t="n"/>
      <c r="F219" s="276" t="n"/>
      <c r="G219" s="276" t="n"/>
      <c r="H219" s="276" t="n"/>
      <c r="I219" s="276" t="n"/>
      <c r="J219" s="276" t="n"/>
      <c r="K219" s="276" t="n"/>
      <c r="L219" s="276" t="n"/>
      <c r="M219" s="276" t="n"/>
      <c r="N219" s="276" t="n"/>
      <c r="O219" s="276" t="n"/>
      <c r="P219" s="277" t="n"/>
    </row>
    <row r="220">
      <c r="A220" s="275" t="n"/>
      <c r="B220" s="276" t="n"/>
      <c r="C220" s="276" t="n"/>
      <c r="D220" s="276" t="n"/>
      <c r="E220" s="276" t="n"/>
      <c r="F220" s="276" t="n"/>
      <c r="G220" s="276" t="n"/>
      <c r="H220" s="276" t="n"/>
      <c r="I220" s="276" t="n"/>
      <c r="J220" s="276" t="n"/>
      <c r="K220" s="276" t="n"/>
      <c r="L220" s="276" t="n"/>
      <c r="M220" s="276" t="n"/>
      <c r="N220" s="276" t="n"/>
      <c r="O220" s="276" t="n"/>
      <c r="P220" s="277" t="n"/>
    </row>
    <row r="221">
      <c r="A221" s="275" t="n"/>
      <c r="B221" s="276" t="n"/>
      <c r="C221" s="276" t="n"/>
      <c r="D221" s="276" t="n"/>
      <c r="E221" s="276" t="n"/>
      <c r="F221" s="276" t="n"/>
      <c r="G221" s="276" t="n"/>
      <c r="H221" s="276" t="n"/>
      <c r="I221" s="276" t="n"/>
      <c r="J221" s="276" t="n"/>
      <c r="K221" s="276" t="n"/>
      <c r="L221" s="276" t="n"/>
      <c r="M221" s="276" t="n"/>
      <c r="N221" s="276" t="n"/>
      <c r="O221" s="276" t="n"/>
      <c r="P221" s="277" t="n"/>
    </row>
    <row r="222">
      <c r="A222" s="275" t="n"/>
      <c r="B222" s="276" t="n"/>
      <c r="C222" s="276" t="n"/>
      <c r="D222" s="276" t="n"/>
      <c r="E222" s="276" t="n"/>
      <c r="F222" s="276" t="n"/>
      <c r="G222" s="276" t="n"/>
      <c r="H222" s="276" t="n"/>
      <c r="I222" s="276" t="n"/>
      <c r="J222" s="276" t="n"/>
      <c r="K222" s="276" t="n"/>
      <c r="L222" s="276" t="n"/>
      <c r="M222" s="276" t="n"/>
      <c r="N222" s="276" t="n"/>
      <c r="O222" s="276" t="n"/>
      <c r="P222" s="277" t="n"/>
    </row>
    <row r="223">
      <c r="A223" s="275" t="n"/>
      <c r="B223" s="276" t="n"/>
      <c r="C223" s="276" t="n"/>
      <c r="D223" s="276" t="n"/>
      <c r="E223" s="276" t="n"/>
      <c r="F223" s="276" t="n"/>
      <c r="G223" s="276" t="n"/>
      <c r="H223" s="276" t="n"/>
      <c r="I223" s="276" t="n"/>
      <c r="J223" s="276" t="n"/>
      <c r="K223" s="276" t="n"/>
      <c r="L223" s="276" t="n"/>
      <c r="M223" s="276" t="n"/>
      <c r="N223" s="276" t="n"/>
      <c r="O223" s="276" t="n"/>
      <c r="P223" s="277" t="n"/>
    </row>
    <row r="224">
      <c r="A224" s="275" t="n"/>
      <c r="B224" s="276" t="n"/>
      <c r="C224" s="276" t="n"/>
      <c r="D224" s="276" t="n"/>
      <c r="E224" s="276" t="n"/>
      <c r="F224" s="276" t="n"/>
      <c r="G224" s="276" t="n"/>
      <c r="H224" s="276" t="n"/>
      <c r="I224" s="276" t="n"/>
      <c r="J224" s="276" t="n"/>
      <c r="K224" s="276" t="n"/>
      <c r="L224" s="276" t="n"/>
      <c r="M224" s="276" t="n"/>
      <c r="N224" s="276" t="n"/>
      <c r="O224" s="276" t="n"/>
      <c r="P224" s="277" t="n"/>
    </row>
    <row r="225">
      <c r="A225" s="275" t="n"/>
      <c r="B225" s="276" t="n"/>
      <c r="C225" s="276" t="n"/>
      <c r="D225" s="276" t="n"/>
      <c r="E225" s="276" t="n"/>
      <c r="F225" s="276" t="n"/>
      <c r="G225" s="276" t="n"/>
      <c r="H225" s="276" t="n"/>
      <c r="I225" s="276" t="n"/>
      <c r="J225" s="276" t="n"/>
      <c r="K225" s="276" t="n"/>
      <c r="L225" s="276" t="n"/>
      <c r="M225" s="276" t="n"/>
      <c r="N225" s="276" t="n"/>
      <c r="O225" s="276" t="n"/>
      <c r="P225" s="277" t="n"/>
    </row>
    <row r="226">
      <c r="A226" s="275" t="n"/>
      <c r="B226" s="276" t="n"/>
      <c r="C226" s="276" t="n"/>
      <c r="D226" s="276" t="n"/>
      <c r="E226" s="276" t="n"/>
      <c r="F226" s="276" t="n"/>
      <c r="G226" s="276" t="n"/>
      <c r="H226" s="276" t="n"/>
      <c r="I226" s="276" t="n"/>
      <c r="J226" s="276" t="n"/>
      <c r="K226" s="276" t="n"/>
      <c r="L226" s="276" t="n"/>
      <c r="M226" s="276" t="n"/>
      <c r="N226" s="276" t="n"/>
      <c r="O226" s="276" t="n"/>
      <c r="P226" s="277" t="n"/>
    </row>
    <row r="227">
      <c r="A227" s="275" t="n"/>
      <c r="B227" s="276" t="n"/>
      <c r="C227" s="276" t="n"/>
      <c r="D227" s="276" t="n"/>
      <c r="E227" s="276" t="n"/>
      <c r="F227" s="276" t="n"/>
      <c r="G227" s="276" t="n"/>
      <c r="H227" s="276" t="n"/>
      <c r="I227" s="276" t="n"/>
      <c r="J227" s="276" t="n"/>
      <c r="K227" s="276" t="n"/>
      <c r="L227" s="276" t="n"/>
      <c r="M227" s="276" t="n"/>
      <c r="N227" s="276" t="n"/>
      <c r="O227" s="276" t="n"/>
      <c r="P227" s="277" t="n"/>
    </row>
    <row r="228">
      <c r="A228" s="275" t="n"/>
      <c r="B228" s="276" t="n"/>
      <c r="C228" s="276" t="n"/>
      <c r="D228" s="276" t="n"/>
      <c r="E228" s="276" t="n"/>
      <c r="F228" s="276" t="n"/>
      <c r="G228" s="276" t="n"/>
      <c r="H228" s="276" t="n"/>
      <c r="I228" s="276" t="n"/>
      <c r="J228" s="276" t="n"/>
      <c r="K228" s="276" t="n"/>
      <c r="L228" s="276" t="n"/>
      <c r="M228" s="276" t="n"/>
      <c r="N228" s="276" t="n"/>
      <c r="O228" s="276" t="n"/>
      <c r="P228" s="277" t="n"/>
    </row>
    <row r="229">
      <c r="A229" s="275" t="n"/>
      <c r="B229" s="276" t="n"/>
      <c r="C229" s="276" t="n"/>
      <c r="D229" s="276" t="n"/>
      <c r="E229" s="276" t="n"/>
      <c r="F229" s="276" t="n"/>
      <c r="G229" s="276" t="n"/>
      <c r="H229" s="276" t="n"/>
      <c r="I229" s="276" t="n"/>
      <c r="J229" s="276" t="n"/>
      <c r="K229" s="276" t="n"/>
      <c r="L229" s="276" t="n"/>
      <c r="M229" s="276" t="n"/>
      <c r="N229" s="276" t="n"/>
      <c r="O229" s="276" t="n"/>
      <c r="P229" s="277" t="n"/>
    </row>
    <row r="230">
      <c r="A230" s="275" t="n"/>
      <c r="B230" s="276" t="n"/>
      <c r="C230" s="276" t="n"/>
      <c r="D230" s="276" t="n"/>
      <c r="E230" s="276" t="n"/>
      <c r="F230" s="276" t="n"/>
      <c r="G230" s="276" t="n"/>
      <c r="H230" s="276" t="n"/>
      <c r="I230" s="276" t="n"/>
      <c r="J230" s="276" t="n"/>
      <c r="K230" s="276" t="n"/>
      <c r="L230" s="276" t="n"/>
      <c r="M230" s="276" t="n"/>
      <c r="N230" s="276" t="n"/>
      <c r="O230" s="276" t="n"/>
      <c r="P230" s="277" t="n"/>
    </row>
    <row r="231">
      <c r="A231" s="275" t="n"/>
      <c r="B231" s="276" t="n"/>
      <c r="C231" s="276" t="n"/>
      <c r="D231" s="276" t="n"/>
      <c r="E231" s="276" t="n"/>
      <c r="F231" s="276" t="n"/>
      <c r="G231" s="276" t="n"/>
      <c r="H231" s="276" t="n"/>
      <c r="I231" s="276" t="n"/>
      <c r="J231" s="276" t="n"/>
      <c r="K231" s="276" t="n"/>
      <c r="L231" s="276" t="n"/>
      <c r="M231" s="276" t="n"/>
      <c r="N231" s="276" t="n"/>
      <c r="O231" s="276" t="n"/>
      <c r="P231" s="277" t="n"/>
    </row>
    <row r="232">
      <c r="A232" s="275" t="n"/>
      <c r="B232" s="276" t="n"/>
      <c r="C232" s="276" t="n"/>
      <c r="D232" s="276" t="n"/>
      <c r="E232" s="276" t="n"/>
      <c r="F232" s="276" t="n"/>
      <c r="G232" s="276" t="n"/>
      <c r="H232" s="276" t="n"/>
      <c r="I232" s="276" t="n"/>
      <c r="J232" s="276" t="n"/>
      <c r="K232" s="276" t="n"/>
      <c r="L232" s="276" t="n"/>
      <c r="M232" s="276" t="n"/>
      <c r="N232" s="276" t="n"/>
      <c r="O232" s="276" t="n"/>
      <c r="P232" s="277" t="n"/>
    </row>
    <row r="233">
      <c r="A233" s="275" t="n"/>
      <c r="B233" s="276" t="n"/>
      <c r="C233" s="276" t="n"/>
      <c r="D233" s="276" t="n"/>
      <c r="E233" s="276" t="n"/>
      <c r="F233" s="276" t="n"/>
      <c r="G233" s="276" t="n"/>
      <c r="H233" s="276" t="n"/>
      <c r="I233" s="276" t="n"/>
      <c r="J233" s="276" t="n"/>
      <c r="K233" s="276" t="n"/>
      <c r="L233" s="276" t="n"/>
      <c r="M233" s="276" t="n"/>
      <c r="N233" s="276" t="n"/>
      <c r="O233" s="276" t="n"/>
      <c r="P233" s="277" t="n"/>
    </row>
    <row r="234">
      <c r="A234" s="275" t="n"/>
      <c r="B234" s="276" t="n"/>
      <c r="C234" s="276" t="n"/>
      <c r="D234" s="276" t="n"/>
      <c r="E234" s="276" t="n"/>
      <c r="F234" s="276" t="n"/>
      <c r="G234" s="276" t="n"/>
      <c r="H234" s="276" t="n"/>
      <c r="I234" s="276" t="n"/>
      <c r="J234" s="276" t="n"/>
      <c r="K234" s="276" t="n"/>
      <c r="L234" s="276" t="n"/>
      <c r="M234" s="276" t="n"/>
      <c r="N234" s="276" t="n"/>
      <c r="O234" s="276" t="n"/>
      <c r="P234" s="277" t="n"/>
    </row>
    <row r="235">
      <c r="A235" s="275" t="n"/>
      <c r="B235" s="276" t="n"/>
      <c r="C235" s="276" t="n"/>
      <c r="D235" s="276" t="n"/>
      <c r="E235" s="276" t="n"/>
      <c r="F235" s="276" t="n"/>
      <c r="G235" s="276" t="n"/>
      <c r="H235" s="276" t="n"/>
      <c r="I235" s="276" t="n"/>
      <c r="J235" s="276" t="n"/>
      <c r="K235" s="276" t="n"/>
      <c r="L235" s="276" t="n"/>
      <c r="M235" s="276" t="n"/>
      <c r="N235" s="276" t="n"/>
      <c r="O235" s="276" t="n"/>
      <c r="P235" s="277" t="n"/>
    </row>
    <row r="236">
      <c r="A236" s="275" t="n"/>
      <c r="B236" s="276" t="n"/>
      <c r="C236" s="276" t="n"/>
      <c r="D236" s="276" t="n"/>
      <c r="E236" s="276" t="n"/>
      <c r="F236" s="276" t="n"/>
      <c r="G236" s="276" t="n"/>
      <c r="H236" s="276" t="n"/>
      <c r="I236" s="276" t="n"/>
      <c r="J236" s="276" t="n"/>
      <c r="K236" s="276" t="n"/>
      <c r="L236" s="276" t="n"/>
      <c r="M236" s="276" t="n"/>
      <c r="N236" s="276" t="n"/>
      <c r="O236" s="276" t="n"/>
      <c r="P236" s="277" t="n"/>
    </row>
    <row r="237">
      <c r="A237" s="275" t="n"/>
      <c r="B237" s="276" t="n"/>
      <c r="C237" s="276" t="n"/>
      <c r="D237" s="276" t="n"/>
      <c r="E237" s="276" t="n"/>
      <c r="F237" s="276" t="n"/>
      <c r="G237" s="276" t="n"/>
      <c r="H237" s="276" t="n"/>
      <c r="I237" s="276" t="n"/>
      <c r="J237" s="276" t="n"/>
      <c r="K237" s="276" t="n"/>
      <c r="L237" s="276" t="n"/>
      <c r="M237" s="276" t="n"/>
      <c r="N237" s="276" t="n"/>
      <c r="O237" s="276" t="n"/>
      <c r="P237" s="277" t="n"/>
    </row>
    <row r="238">
      <c r="A238" s="275" t="n"/>
      <c r="B238" s="276" t="n"/>
      <c r="C238" s="276" t="n"/>
      <c r="D238" s="276" t="n"/>
      <c r="E238" s="276" t="n"/>
      <c r="F238" s="276" t="n"/>
      <c r="G238" s="276" t="n"/>
      <c r="H238" s="276" t="n"/>
      <c r="I238" s="276" t="n"/>
      <c r="J238" s="276" t="n"/>
      <c r="K238" s="276" t="n"/>
      <c r="L238" s="276" t="n"/>
      <c r="M238" s="276" t="n"/>
      <c r="N238" s="276" t="n"/>
      <c r="O238" s="276" t="n"/>
      <c r="P238" s="277" t="n"/>
    </row>
    <row r="239">
      <c r="A239" s="275" t="n"/>
      <c r="B239" s="276" t="n"/>
      <c r="C239" s="276" t="n"/>
      <c r="D239" s="276" t="n"/>
      <c r="E239" s="276" t="n"/>
      <c r="F239" s="276" t="n"/>
      <c r="G239" s="276" t="n"/>
      <c r="H239" s="276" t="n"/>
      <c r="I239" s="276" t="n"/>
      <c r="J239" s="276" t="n"/>
      <c r="K239" s="276" t="n"/>
      <c r="L239" s="276" t="n"/>
      <c r="M239" s="276" t="n"/>
      <c r="N239" s="276" t="n"/>
      <c r="O239" s="276" t="n"/>
      <c r="P239" s="277" t="n"/>
    </row>
    <row r="240">
      <c r="A240" s="275" t="n"/>
      <c r="B240" s="276" t="n"/>
      <c r="C240" s="276" t="n"/>
      <c r="D240" s="276" t="n"/>
      <c r="E240" s="276" t="n"/>
      <c r="F240" s="276" t="n"/>
      <c r="G240" s="276" t="n"/>
      <c r="H240" s="276" t="n"/>
      <c r="I240" s="276" t="n"/>
      <c r="J240" s="276" t="n"/>
      <c r="K240" s="276" t="n"/>
      <c r="L240" s="276" t="n"/>
      <c r="M240" s="276" t="n"/>
      <c r="N240" s="276" t="n"/>
      <c r="O240" s="276" t="n"/>
      <c r="P240" s="277" t="n"/>
    </row>
    <row r="241">
      <c r="A241" s="275" t="n"/>
      <c r="B241" s="276" t="n"/>
      <c r="C241" s="276" t="n"/>
      <c r="D241" s="276" t="n"/>
      <c r="E241" s="276" t="n"/>
      <c r="F241" s="276" t="n"/>
      <c r="G241" s="276" t="n"/>
      <c r="H241" s="276" t="n"/>
      <c r="I241" s="276" t="n"/>
      <c r="J241" s="276" t="n"/>
      <c r="K241" s="276" t="n"/>
      <c r="L241" s="276" t="n"/>
      <c r="M241" s="276" t="n"/>
      <c r="N241" s="276" t="n"/>
      <c r="O241" s="276" t="n"/>
      <c r="P241" s="277" t="n"/>
    </row>
    <row r="242">
      <c r="A242" s="275" t="n"/>
      <c r="B242" s="276" t="n"/>
      <c r="C242" s="276" t="n"/>
      <c r="D242" s="276" t="n"/>
      <c r="E242" s="276" t="n"/>
      <c r="F242" s="276" t="n"/>
      <c r="G242" s="276" t="n"/>
      <c r="H242" s="276" t="n"/>
      <c r="I242" s="276" t="n"/>
      <c r="J242" s="276" t="n"/>
      <c r="K242" s="276" t="n"/>
      <c r="L242" s="276" t="n"/>
      <c r="M242" s="276" t="n"/>
      <c r="N242" s="276" t="n"/>
      <c r="O242" s="276" t="n"/>
      <c r="P242" s="277" t="n"/>
    </row>
    <row r="243">
      <c r="A243" s="275" t="n"/>
      <c r="B243" s="276" t="n"/>
      <c r="C243" s="276" t="n"/>
      <c r="D243" s="276" t="n"/>
      <c r="E243" s="276" t="n"/>
      <c r="F243" s="276" t="n"/>
      <c r="G243" s="276" t="n"/>
      <c r="H243" s="276" t="n"/>
      <c r="I243" s="276" t="n"/>
      <c r="J243" s="276" t="n"/>
      <c r="K243" s="276" t="n"/>
      <c r="L243" s="276" t="n"/>
      <c r="M243" s="276" t="n"/>
      <c r="N243" s="276" t="n"/>
      <c r="O243" s="276" t="n"/>
      <c r="P243" s="277" t="n"/>
    </row>
    <row r="244">
      <c r="A244" s="275" t="n"/>
      <c r="B244" s="276" t="n"/>
      <c r="C244" s="276" t="n"/>
      <c r="D244" s="276" t="n"/>
      <c r="E244" s="276" t="n"/>
      <c r="F244" s="276" t="n"/>
      <c r="G244" s="276" t="n"/>
      <c r="H244" s="276" t="n"/>
      <c r="I244" s="276" t="n"/>
      <c r="J244" s="276" t="n"/>
      <c r="K244" s="276" t="n"/>
      <c r="L244" s="276" t="n"/>
      <c r="M244" s="276" t="n"/>
      <c r="N244" s="276" t="n"/>
      <c r="O244" s="276" t="n"/>
      <c r="P244" s="277" t="n"/>
    </row>
    <row r="245">
      <c r="A245" s="275" t="n"/>
      <c r="B245" s="276" t="n"/>
      <c r="C245" s="276" t="n"/>
      <c r="D245" s="276" t="n"/>
      <c r="E245" s="276" t="n"/>
      <c r="F245" s="276" t="n"/>
      <c r="G245" s="276" t="n"/>
      <c r="H245" s="276" t="n"/>
      <c r="I245" s="276" t="n"/>
      <c r="J245" s="276" t="n"/>
      <c r="K245" s="276" t="n"/>
      <c r="L245" s="276" t="n"/>
      <c r="M245" s="276" t="n"/>
      <c r="N245" s="276" t="n"/>
      <c r="O245" s="276" t="n"/>
      <c r="P245" s="277" t="n"/>
    </row>
    <row r="246">
      <c r="A246" s="275" t="n"/>
      <c r="B246" s="276" t="n"/>
      <c r="C246" s="276" t="n"/>
      <c r="D246" s="276" t="n"/>
      <c r="E246" s="276" t="n"/>
      <c r="F246" s="276" t="n"/>
      <c r="G246" s="276" t="n"/>
      <c r="H246" s="276" t="n"/>
      <c r="I246" s="276" t="n"/>
      <c r="J246" s="276" t="n"/>
      <c r="K246" s="276" t="n"/>
      <c r="L246" s="276" t="n"/>
      <c r="M246" s="276" t="n"/>
      <c r="N246" s="276" t="n"/>
      <c r="O246" s="276" t="n"/>
      <c r="P246" s="277" t="n"/>
    </row>
    <row r="247">
      <c r="A247" s="275" t="n"/>
      <c r="B247" s="276" t="n"/>
      <c r="C247" s="276" t="n"/>
      <c r="D247" s="276" t="n"/>
      <c r="E247" s="276" t="n"/>
      <c r="F247" s="276" t="n"/>
      <c r="G247" s="276" t="n"/>
      <c r="H247" s="276" t="n"/>
      <c r="I247" s="276" t="n"/>
      <c r="J247" s="276" t="n"/>
      <c r="K247" s="276" t="n"/>
      <c r="L247" s="276" t="n"/>
      <c r="M247" s="276" t="n"/>
      <c r="N247" s="276" t="n"/>
      <c r="O247" s="276" t="n"/>
      <c r="P247" s="277" t="n"/>
    </row>
    <row r="248">
      <c r="A248" s="275" t="n"/>
      <c r="B248" s="276" t="n"/>
      <c r="C248" s="276" t="n"/>
      <c r="D248" s="276" t="n"/>
      <c r="E248" s="276" t="n"/>
      <c r="F248" s="276" t="n"/>
      <c r="G248" s="276" t="n"/>
      <c r="H248" s="276" t="n"/>
      <c r="I248" s="276" t="n"/>
      <c r="J248" s="276" t="n"/>
      <c r="K248" s="276" t="n"/>
      <c r="L248" s="276" t="n"/>
      <c r="M248" s="276" t="n"/>
      <c r="N248" s="276" t="n"/>
      <c r="O248" s="276" t="n"/>
      <c r="P248" s="277" t="n"/>
    </row>
    <row r="249">
      <c r="A249" s="275" t="n"/>
      <c r="B249" s="276" t="n"/>
      <c r="C249" s="276" t="n"/>
      <c r="D249" s="276" t="n"/>
      <c r="E249" s="276" t="n"/>
      <c r="F249" s="276" t="n"/>
      <c r="G249" s="276" t="n"/>
      <c r="H249" s="276" t="n"/>
      <c r="I249" s="276" t="n"/>
      <c r="J249" s="276" t="n"/>
      <c r="K249" s="276" t="n"/>
      <c r="L249" s="276" t="n"/>
      <c r="M249" s="276" t="n"/>
      <c r="N249" s="276" t="n"/>
      <c r="O249" s="276" t="n"/>
      <c r="P249" s="277" t="n"/>
    </row>
    <row r="250">
      <c r="A250" s="278" t="n"/>
      <c r="B250" s="279" t="n"/>
      <c r="C250" s="279" t="n"/>
      <c r="D250" s="279" t="n"/>
      <c r="E250" s="279" t="n"/>
      <c r="F250" s="279" t="n"/>
      <c r="G250" s="279" t="n"/>
      <c r="H250" s="279" t="n"/>
      <c r="I250" s="279" t="n"/>
      <c r="J250" s="279" t="n"/>
      <c r="K250" s="279" t="n"/>
      <c r="L250" s="279" t="n"/>
      <c r="M250" s="279" t="n"/>
      <c r="N250" s="279" t="n"/>
      <c r="O250" s="279" t="n"/>
      <c r="P250" s="280" t="n"/>
    </row>
  </sheetData>
  <mergeCells count="3">
    <mergeCell ref="A2:L2"/>
    <mergeCell ref="A1:L1"/>
    <mergeCell ref="A5:L5"/>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P463"/>
  <sheetViews>
    <sheetView showGridLines="0" workbookViewId="0">
      <selection activeCell="A1" sqref="A1"/>
    </sheetView>
  </sheetViews>
  <sheetFormatPr baseColWidth="8" defaultRowHeight="15"/>
  <sheetData>
    <row r="1" ht="27" customHeight="1" s="242">
      <c r="A1" s="390" t="inlineStr">
        <is>
          <t>13 — Consequence Calculation</t>
        </is>
      </c>
    </row>
    <row r="2" ht="34" customHeight="1" s="242">
      <c r="A2" s="247" t="inlineStr">
        <is>
          <t>Bottom-up P50/P99 driver calculation and fitted loss distributions.</t>
        </is>
      </c>
    </row>
    <row r="5">
      <c r="A5" s="333" t="inlineStr">
        <is>
          <t>ENGINE OUTPUT — do not edit. Run the Python engine after changing inputs or sector packs.</t>
        </is>
      </c>
    </row>
    <row r="15">
      <c r="A15" s="235" t="inlineStr">
        <is>
          <t>Threat actor</t>
        </is>
      </c>
      <c r="B15" s="236" t="inlineStr">
        <is>
          <t>Scenario ID</t>
        </is>
      </c>
      <c r="C15" s="236" t="inlineStr">
        <is>
          <t>Scenario</t>
        </is>
      </c>
      <c r="D15" s="236" t="inlineStr">
        <is>
          <t>Loss block</t>
        </is>
      </c>
      <c r="E15" s="236" t="inlineStr">
        <is>
          <t>Driver</t>
        </is>
      </c>
      <c r="F15" s="236" t="inlineStr">
        <is>
          <t>Quantile</t>
        </is>
      </c>
      <c r="G15" s="236" t="inlineStr">
        <is>
          <t>Amount</t>
        </is>
      </c>
      <c r="H15" s="236" t="inlineStr">
        <is>
          <t>Applicable</t>
        </is>
      </c>
      <c r="I15" s="236" t="inlineStr">
        <is>
          <t>Evidence grade</t>
        </is>
      </c>
      <c r="J15" s="236" t="inlineStr">
        <is>
          <t>Source ID</t>
        </is>
      </c>
      <c r="K15" s="273" t="n"/>
      <c r="L15" s="273" t="n"/>
      <c r="M15" s="273" t="n"/>
      <c r="N15" s="273" t="n"/>
      <c r="O15" s="273" t="n"/>
      <c r="P15" s="274" t="n"/>
    </row>
    <row r="16">
      <c r="A16" s="275" t="inlineStr">
        <is>
          <t>Nation-state</t>
        </is>
      </c>
      <c r="B16" s="276" t="inlineStr">
        <is>
          <t>SC_DISR</t>
        </is>
      </c>
      <c r="C16" s="276" t="inlineStr">
        <is>
          <t>Critical business-service disruption</t>
        </is>
      </c>
      <c r="D16" s="276" t="inlineStr">
        <is>
          <t>Duration</t>
        </is>
      </c>
      <c r="E16" s="276" t="inlineStr">
        <is>
          <t>IR_FORENSICS</t>
        </is>
      </c>
      <c r="F16" s="276" t="inlineStr">
        <is>
          <t>P50</t>
        </is>
      </c>
      <c r="G16" s="276" t="n">
        <v>20000</v>
      </c>
      <c r="H16" s="276" t="b">
        <v>1</v>
      </c>
      <c r="I16" s="276" t="inlineStr">
        <is>
          <t>D</t>
        </is>
      </c>
      <c r="J16" s="276" t="inlineStr">
        <is>
          <t>SRC-10</t>
        </is>
      </c>
      <c r="K16" s="276" t="n"/>
      <c r="L16" s="276" t="n"/>
      <c r="M16" s="276" t="n"/>
      <c r="N16" s="276" t="n"/>
      <c r="O16" s="276" t="n"/>
      <c r="P16" s="277" t="n"/>
    </row>
    <row r="17">
      <c r="A17" s="275" t="inlineStr">
        <is>
          <t>Nation-state</t>
        </is>
      </c>
      <c r="B17" s="276" t="inlineStr">
        <is>
          <t>SC_DISR</t>
        </is>
      </c>
      <c r="C17" s="276" t="inlineStr">
        <is>
          <t>Critical business-service disruption</t>
        </is>
      </c>
      <c r="D17" s="276" t="inlineStr">
        <is>
          <t>Duration</t>
        </is>
      </c>
      <c r="E17" s="276" t="inlineStr">
        <is>
          <t>EXTERNAL_RESPONSE</t>
        </is>
      </c>
      <c r="F17" s="276" t="inlineStr">
        <is>
          <t>P50</t>
        </is>
      </c>
      <c r="G17" s="276" t="n">
        <v>30000</v>
      </c>
      <c r="H17" s="276" t="b">
        <v>1</v>
      </c>
      <c r="I17" s="276" t="inlineStr">
        <is>
          <t>D</t>
        </is>
      </c>
      <c r="J17" s="276" t="inlineStr">
        <is>
          <t>SRC-10</t>
        </is>
      </c>
      <c r="K17" s="276" t="n"/>
      <c r="L17" s="276" t="n"/>
      <c r="M17" s="276" t="n"/>
      <c r="N17" s="276" t="n"/>
      <c r="O17" s="276" t="n"/>
      <c r="P17" s="277" t="n"/>
    </row>
    <row r="18">
      <c r="A18" s="275" t="inlineStr">
        <is>
          <t>Nation-state</t>
        </is>
      </c>
      <c r="B18" s="276" t="inlineStr">
        <is>
          <t>SC_DISR</t>
        </is>
      </c>
      <c r="C18" s="276" t="inlineStr">
        <is>
          <t>Critical business-service disruption</t>
        </is>
      </c>
      <c r="D18" s="276" t="inlineStr">
        <is>
          <t>Duration</t>
        </is>
      </c>
      <c r="E18" s="276" t="inlineStr">
        <is>
          <t>LEGAL_RESPONSE</t>
        </is>
      </c>
      <c r="F18" s="276" t="inlineStr">
        <is>
          <t>P50</t>
        </is>
      </c>
      <c r="G18" s="276" t="n">
        <v>25000</v>
      </c>
      <c r="H18" s="276" t="b">
        <v>1</v>
      </c>
      <c r="I18" s="276" t="inlineStr">
        <is>
          <t>D</t>
        </is>
      </c>
      <c r="J18" s="276" t="inlineStr">
        <is>
          <t>SRC-10</t>
        </is>
      </c>
      <c r="K18" s="276" t="n"/>
      <c r="L18" s="276" t="n"/>
      <c r="M18" s="276" t="n"/>
      <c r="N18" s="276" t="n"/>
      <c r="O18" s="276" t="n"/>
      <c r="P18" s="277" t="n"/>
    </row>
    <row r="19">
      <c r="A19" s="275" t="inlineStr">
        <is>
          <t>Nation-state</t>
        </is>
      </c>
      <c r="B19" s="276" t="inlineStr">
        <is>
          <t>SC_DISR</t>
        </is>
      </c>
      <c r="C19" s="276" t="inlineStr">
        <is>
          <t>Critical business-service disruption</t>
        </is>
      </c>
      <c r="D19" s="276" t="inlineStr">
        <is>
          <t>Duration</t>
        </is>
      </c>
      <c r="E19" s="276" t="inlineStr">
        <is>
          <t>RESTORATION</t>
        </is>
      </c>
      <c r="F19" s="276" t="inlineStr">
        <is>
          <t>P50</t>
        </is>
      </c>
      <c r="G19" s="276" t="n">
        <v>30000</v>
      </c>
      <c r="H19" s="276" t="b">
        <v>1</v>
      </c>
      <c r="I19" s="276" t="inlineStr">
        <is>
          <t>D</t>
        </is>
      </c>
      <c r="J19" s="276" t="inlineStr">
        <is>
          <t>SRC-10</t>
        </is>
      </c>
      <c r="K19" s="276" t="n"/>
      <c r="L19" s="276" t="n"/>
      <c r="M19" s="276" t="n"/>
      <c r="N19" s="276" t="n"/>
      <c r="O19" s="276" t="n"/>
      <c r="P19" s="277" t="n"/>
    </row>
    <row r="20">
      <c r="A20" s="275" t="inlineStr">
        <is>
          <t>Nation-state</t>
        </is>
      </c>
      <c r="B20" s="276" t="inlineStr">
        <is>
          <t>SC_DISR</t>
        </is>
      </c>
      <c r="C20" s="276" t="inlineStr">
        <is>
          <t>Critical business-service disruption</t>
        </is>
      </c>
      <c r="D20" s="276" t="inlineStr">
        <is>
          <t>Duration</t>
        </is>
      </c>
      <c r="E20" s="276" t="inlineStr">
        <is>
          <t>BUSINESS_INTERRUPTION</t>
        </is>
      </c>
      <c r="F20" s="276" t="inlineStr">
        <is>
          <t>P50</t>
        </is>
      </c>
      <c r="G20" s="276" t="n">
        <v>2465753.424657534</v>
      </c>
      <c r="H20" s="276" t="b">
        <v>1</v>
      </c>
      <c r="I20" s="276" t="inlineStr">
        <is>
          <t>D</t>
        </is>
      </c>
      <c r="J20" s="276" t="inlineStr">
        <is>
          <t>SRC-10</t>
        </is>
      </c>
      <c r="K20" s="276" t="n"/>
      <c r="L20" s="276" t="n"/>
      <c r="M20" s="276" t="n"/>
      <c r="N20" s="276" t="n"/>
      <c r="O20" s="276" t="n"/>
      <c r="P20" s="277" t="n"/>
    </row>
    <row r="21">
      <c r="A21" s="275" t="inlineStr">
        <is>
          <t>Nation-state</t>
        </is>
      </c>
      <c r="B21" s="276" t="inlineStr">
        <is>
          <t>SC_DISR</t>
        </is>
      </c>
      <c r="C21" s="276" t="inlineStr">
        <is>
          <t>Critical business-service disruption</t>
        </is>
      </c>
      <c r="D21" s="276" t="inlineStr">
        <is>
          <t>Duration</t>
        </is>
      </c>
      <c r="E21" s="276" t="inlineStr">
        <is>
          <t>ENDPOINT_RECOVERY</t>
        </is>
      </c>
      <c r="F21" s="276" t="inlineStr">
        <is>
          <t>P50</t>
        </is>
      </c>
      <c r="G21" s="276" t="n">
        <v>100000</v>
      </c>
      <c r="H21" s="276" t="b">
        <v>1</v>
      </c>
      <c r="I21" s="276" t="inlineStr">
        <is>
          <t>D</t>
        </is>
      </c>
      <c r="J21" s="276" t="inlineStr">
        <is>
          <t>SRC-10</t>
        </is>
      </c>
      <c r="K21" s="276" t="n"/>
      <c r="L21" s="276" t="n"/>
      <c r="M21" s="276" t="n"/>
      <c r="N21" s="276" t="n"/>
      <c r="O21" s="276" t="n"/>
      <c r="P21" s="277" t="n"/>
    </row>
    <row r="22">
      <c r="A22" s="275" t="inlineStr">
        <is>
          <t>Nation-state</t>
        </is>
      </c>
      <c r="B22" s="276" t="inlineStr">
        <is>
          <t>SC_DISR</t>
        </is>
      </c>
      <c r="C22" s="276" t="inlineStr">
        <is>
          <t>Critical business-service disruption</t>
        </is>
      </c>
      <c r="D22" s="276" t="inlineStr">
        <is>
          <t>Duration</t>
        </is>
      </c>
      <c r="E22" s="276" t="inlineStr">
        <is>
          <t>SERVER_RECOVERY</t>
        </is>
      </c>
      <c r="F22" s="276" t="inlineStr">
        <is>
          <t>P50</t>
        </is>
      </c>
      <c r="G22" s="276" t="n">
        <v>250000</v>
      </c>
      <c r="H22" s="276" t="b">
        <v>1</v>
      </c>
      <c r="I22" s="276" t="inlineStr">
        <is>
          <t>D</t>
        </is>
      </c>
      <c r="J22" s="276" t="inlineStr">
        <is>
          <t>SRC-10</t>
        </is>
      </c>
      <c r="K22" s="276" t="n"/>
      <c r="L22" s="276" t="n"/>
      <c r="M22" s="276" t="n"/>
      <c r="N22" s="276" t="n"/>
      <c r="O22" s="276" t="n"/>
      <c r="P22" s="277" t="n"/>
    </row>
    <row r="23">
      <c r="A23" s="275" t="inlineStr">
        <is>
          <t>Nation-state</t>
        </is>
      </c>
      <c r="B23" s="276" t="inlineStr">
        <is>
          <t>SC_DISR</t>
        </is>
      </c>
      <c r="C23" s="276" t="inlineStr">
        <is>
          <t>Critical business-service disruption</t>
        </is>
      </c>
      <c r="D23" s="276" t="inlineStr">
        <is>
          <t>Exposure</t>
        </is>
      </c>
      <c r="E23" s="276" t="inlineStr">
        <is>
          <t>NOTIFICATION</t>
        </is>
      </c>
      <c r="F23" s="276" t="inlineStr">
        <is>
          <t>P50</t>
        </is>
      </c>
      <c r="G23" s="276" t="n">
        <v>0</v>
      </c>
      <c r="H23" s="276" t="b">
        <v>0</v>
      </c>
      <c r="I23" s="276" t="inlineStr">
        <is>
          <t>D</t>
        </is>
      </c>
      <c r="J23" s="276" t="inlineStr">
        <is>
          <t>SRC-10</t>
        </is>
      </c>
      <c r="K23" s="276" t="n"/>
      <c r="L23" s="276" t="n"/>
      <c r="M23" s="276" t="n"/>
      <c r="N23" s="276" t="n"/>
      <c r="O23" s="276" t="n"/>
      <c r="P23" s="277" t="n"/>
    </row>
    <row r="24">
      <c r="A24" s="275" t="inlineStr">
        <is>
          <t>Nation-state</t>
        </is>
      </c>
      <c r="B24" s="276" t="inlineStr">
        <is>
          <t>SC_DISR</t>
        </is>
      </c>
      <c r="C24" s="276" t="inlineStr">
        <is>
          <t>Critical business-service disruption</t>
        </is>
      </c>
      <c r="D24" s="276" t="inlineStr">
        <is>
          <t>Exposure</t>
        </is>
      </c>
      <c r="E24" s="276" t="inlineStr">
        <is>
          <t>CREDIT_MONITORING</t>
        </is>
      </c>
      <c r="F24" s="276" t="inlineStr">
        <is>
          <t>P50</t>
        </is>
      </c>
      <c r="G24" s="276" t="n">
        <v>0</v>
      </c>
      <c r="H24" s="276" t="b">
        <v>0</v>
      </c>
      <c r="I24" s="276" t="inlineStr">
        <is>
          <t>D</t>
        </is>
      </c>
      <c r="J24" s="276" t="inlineStr">
        <is>
          <t>SRC-10</t>
        </is>
      </c>
      <c r="K24" s="276" t="n"/>
      <c r="L24" s="276" t="n"/>
      <c r="M24" s="276" t="n"/>
      <c r="N24" s="276" t="n"/>
      <c r="O24" s="276" t="n"/>
      <c r="P24" s="277" t="n"/>
    </row>
    <row r="25">
      <c r="A25" s="275" t="inlineStr">
        <is>
          <t>Nation-state</t>
        </is>
      </c>
      <c r="B25" s="276" t="inlineStr">
        <is>
          <t>SC_DISR</t>
        </is>
      </c>
      <c r="C25" s="276" t="inlineStr">
        <is>
          <t>Critical business-service disruption</t>
        </is>
      </c>
      <c r="D25" s="276" t="inlineStr">
        <is>
          <t>Exposure</t>
        </is>
      </c>
      <c r="E25" s="276" t="inlineStr">
        <is>
          <t>REGULATORY</t>
        </is>
      </c>
      <c r="F25" s="276" t="inlineStr">
        <is>
          <t>P50</t>
        </is>
      </c>
      <c r="G25" s="276" t="n">
        <v>0</v>
      </c>
      <c r="H25" s="276" t="b">
        <v>0</v>
      </c>
      <c r="I25" s="276" t="inlineStr">
        <is>
          <t>D</t>
        </is>
      </c>
      <c r="J25" s="276" t="inlineStr">
        <is>
          <t>SRC-10</t>
        </is>
      </c>
      <c r="K25" s="276" t="n"/>
      <c r="L25" s="276" t="n"/>
      <c r="M25" s="276" t="n"/>
      <c r="N25" s="276" t="n"/>
      <c r="O25" s="276" t="n"/>
      <c r="P25" s="277" t="n"/>
    </row>
    <row r="26">
      <c r="A26" s="275" t="inlineStr">
        <is>
          <t>Nation-state</t>
        </is>
      </c>
      <c r="B26" s="276" t="inlineStr">
        <is>
          <t>SC_DISR</t>
        </is>
      </c>
      <c r="C26" s="276" t="inlineStr">
        <is>
          <t>Critical business-service disruption</t>
        </is>
      </c>
      <c r="D26" s="276" t="inlineStr">
        <is>
          <t>Exposure</t>
        </is>
      </c>
      <c r="E26" s="276" t="inlineStr">
        <is>
          <t>CUSTOMER_ATTRITION</t>
        </is>
      </c>
      <c r="F26" s="276" t="inlineStr">
        <is>
          <t>P50</t>
        </is>
      </c>
      <c r="G26" s="276" t="n">
        <v>1000000</v>
      </c>
      <c r="H26" s="276" t="b">
        <v>1</v>
      </c>
      <c r="I26" s="276" t="inlineStr">
        <is>
          <t>D</t>
        </is>
      </c>
      <c r="J26" s="276" t="inlineStr">
        <is>
          <t>SRC-10</t>
        </is>
      </c>
      <c r="K26" s="276" t="n"/>
      <c r="L26" s="276" t="n"/>
      <c r="M26" s="276" t="n"/>
      <c r="N26" s="276" t="n"/>
      <c r="O26" s="276" t="n"/>
      <c r="P26" s="277" t="n"/>
    </row>
    <row r="27">
      <c r="A27" s="275" t="inlineStr">
        <is>
          <t>Nation-state</t>
        </is>
      </c>
      <c r="B27" s="276" t="inlineStr">
        <is>
          <t>SC_DISR</t>
        </is>
      </c>
      <c r="C27" s="276" t="inlineStr">
        <is>
          <t>Critical business-service disruption</t>
        </is>
      </c>
      <c r="D27" s="276" t="inlineStr">
        <is>
          <t>Direct</t>
        </is>
      </c>
      <c r="E27" s="276" t="inlineStr">
        <is>
          <t>FRAUD_NET_RECOVERY</t>
        </is>
      </c>
      <c r="F27" s="276" t="inlineStr">
        <is>
          <t>P50</t>
        </is>
      </c>
      <c r="G27" s="276" t="n">
        <v>0</v>
      </c>
      <c r="H27" s="276" t="b">
        <v>0</v>
      </c>
      <c r="I27" s="276" t="inlineStr">
        <is>
          <t>D</t>
        </is>
      </c>
      <c r="J27" s="276" t="inlineStr">
        <is>
          <t>SRC-10</t>
        </is>
      </c>
      <c r="K27" s="276" t="n"/>
      <c r="L27" s="276" t="n"/>
      <c r="M27" s="276" t="n"/>
      <c r="N27" s="276" t="n"/>
      <c r="O27" s="276" t="n"/>
      <c r="P27" s="277" t="n"/>
    </row>
    <row r="28">
      <c r="A28" s="275" t="inlineStr">
        <is>
          <t>Nation-state</t>
        </is>
      </c>
      <c r="B28" s="276" t="inlineStr">
        <is>
          <t>SC_DISR</t>
        </is>
      </c>
      <c r="C28" s="276" t="inlineStr">
        <is>
          <t>Critical business-service disruption</t>
        </is>
      </c>
      <c r="D28" s="276" t="inlineStr">
        <is>
          <t>Direct</t>
        </is>
      </c>
      <c r="E28" s="276" t="inlineStr">
        <is>
          <t>EXTORTION</t>
        </is>
      </c>
      <c r="F28" s="276" t="inlineStr">
        <is>
          <t>P50</t>
        </is>
      </c>
      <c r="G28" s="276" t="n">
        <v>0</v>
      </c>
      <c r="H28" s="276" t="b">
        <v>0</v>
      </c>
      <c r="I28" s="276" t="inlineStr">
        <is>
          <t>D</t>
        </is>
      </c>
      <c r="J28" s="276" t="inlineStr">
        <is>
          <t>SRC-10</t>
        </is>
      </c>
      <c r="K28" s="276" t="n"/>
      <c r="L28" s="276" t="n"/>
      <c r="M28" s="276" t="n"/>
      <c r="N28" s="276" t="n"/>
      <c r="O28" s="276" t="n"/>
      <c r="P28" s="277" t="n"/>
    </row>
    <row r="29">
      <c r="A29" s="275" t="inlineStr">
        <is>
          <t>Nation-state</t>
        </is>
      </c>
      <c r="B29" s="276" t="inlineStr">
        <is>
          <t>SC_DISR</t>
        </is>
      </c>
      <c r="C29" s="276" t="inlineStr">
        <is>
          <t>Critical business-service disruption</t>
        </is>
      </c>
      <c r="D29" s="276" t="inlineStr">
        <is>
          <t>Direct</t>
        </is>
      </c>
      <c r="E29" s="276" t="inlineStr">
        <is>
          <t>POST_EVENT_UPLIFT</t>
        </is>
      </c>
      <c r="F29" s="276" t="inlineStr">
        <is>
          <t>P50</t>
        </is>
      </c>
      <c r="G29" s="276" t="n">
        <v>500000</v>
      </c>
      <c r="H29" s="276" t="b">
        <v>1</v>
      </c>
      <c r="I29" s="276" t="inlineStr">
        <is>
          <t>D</t>
        </is>
      </c>
      <c r="J29" s="276" t="inlineStr">
        <is>
          <t>SRC-10</t>
        </is>
      </c>
      <c r="K29" s="276" t="n"/>
      <c r="L29" s="276" t="n"/>
      <c r="M29" s="276" t="n"/>
      <c r="N29" s="276" t="n"/>
      <c r="O29" s="276" t="n"/>
      <c r="P29" s="277" t="n"/>
    </row>
    <row r="30">
      <c r="A30" s="275" t="inlineStr">
        <is>
          <t>Nation-state</t>
        </is>
      </c>
      <c r="B30" s="276" t="inlineStr">
        <is>
          <t>SC_DISR</t>
        </is>
      </c>
      <c r="C30" s="276" t="inlineStr">
        <is>
          <t>Critical business-service disruption</t>
        </is>
      </c>
      <c r="D30" s="276" t="inlineStr">
        <is>
          <t>Duration</t>
        </is>
      </c>
      <c r="E30" s="276" t="inlineStr">
        <is>
          <t>IR_FORENSICS</t>
        </is>
      </c>
      <c r="F30" s="276" t="inlineStr">
        <is>
          <t>P99</t>
        </is>
      </c>
      <c r="G30" s="276" t="n">
        <v>240000</v>
      </c>
      <c r="H30" s="276" t="b">
        <v>1</v>
      </c>
      <c r="I30" s="276" t="inlineStr">
        <is>
          <t>D</t>
        </is>
      </c>
      <c r="J30" s="276" t="inlineStr">
        <is>
          <t>SRC-10</t>
        </is>
      </c>
      <c r="K30" s="276" t="n"/>
      <c r="L30" s="276" t="n"/>
      <c r="M30" s="276" t="n"/>
      <c r="N30" s="276" t="n"/>
      <c r="O30" s="276" t="n"/>
      <c r="P30" s="277" t="n"/>
    </row>
    <row r="31">
      <c r="A31" s="275" t="inlineStr">
        <is>
          <t>Nation-state</t>
        </is>
      </c>
      <c r="B31" s="276" t="inlineStr">
        <is>
          <t>SC_DISR</t>
        </is>
      </c>
      <c r="C31" s="276" t="inlineStr">
        <is>
          <t>Critical business-service disruption</t>
        </is>
      </c>
      <c r="D31" s="276" t="inlineStr">
        <is>
          <t>Duration</t>
        </is>
      </c>
      <c r="E31" s="276" t="inlineStr">
        <is>
          <t>EXTERNAL_RESPONSE</t>
        </is>
      </c>
      <c r="F31" s="276" t="inlineStr">
        <is>
          <t>P99</t>
        </is>
      </c>
      <c r="G31" s="276" t="n">
        <v>450000</v>
      </c>
      <c r="H31" s="276" t="b">
        <v>1</v>
      </c>
      <c r="I31" s="276" t="inlineStr">
        <is>
          <t>D</t>
        </is>
      </c>
      <c r="J31" s="276" t="inlineStr">
        <is>
          <t>SRC-10</t>
        </is>
      </c>
      <c r="K31" s="276" t="n"/>
      <c r="L31" s="276" t="n"/>
      <c r="M31" s="276" t="n"/>
      <c r="N31" s="276" t="n"/>
      <c r="O31" s="276" t="n"/>
      <c r="P31" s="277" t="n"/>
    </row>
    <row r="32">
      <c r="A32" s="275" t="inlineStr">
        <is>
          <t>Nation-state</t>
        </is>
      </c>
      <c r="B32" s="276" t="inlineStr">
        <is>
          <t>SC_DISR</t>
        </is>
      </c>
      <c r="C32" s="276" t="inlineStr">
        <is>
          <t>Critical business-service disruption</t>
        </is>
      </c>
      <c r="D32" s="276" t="inlineStr">
        <is>
          <t>Duration</t>
        </is>
      </c>
      <c r="E32" s="276" t="inlineStr">
        <is>
          <t>LEGAL_RESPONSE</t>
        </is>
      </c>
      <c r="F32" s="276" t="inlineStr">
        <is>
          <t>P99</t>
        </is>
      </c>
      <c r="G32" s="276" t="n">
        <v>450000</v>
      </c>
      <c r="H32" s="276" t="b">
        <v>1</v>
      </c>
      <c r="I32" s="276" t="inlineStr">
        <is>
          <t>D</t>
        </is>
      </c>
      <c r="J32" s="276" t="inlineStr">
        <is>
          <t>SRC-10</t>
        </is>
      </c>
      <c r="K32" s="276" t="n"/>
      <c r="L32" s="276" t="n"/>
      <c r="M32" s="276" t="n"/>
      <c r="N32" s="276" t="n"/>
      <c r="O32" s="276" t="n"/>
      <c r="P32" s="277" t="n"/>
    </row>
    <row r="33">
      <c r="A33" s="275" t="inlineStr">
        <is>
          <t>Nation-state</t>
        </is>
      </c>
      <c r="B33" s="276" t="inlineStr">
        <is>
          <t>SC_DISR</t>
        </is>
      </c>
      <c r="C33" s="276" t="inlineStr">
        <is>
          <t>Critical business-service disruption</t>
        </is>
      </c>
      <c r="D33" s="276" t="inlineStr">
        <is>
          <t>Duration</t>
        </is>
      </c>
      <c r="E33" s="276" t="inlineStr">
        <is>
          <t>RESTORATION</t>
        </is>
      </c>
      <c r="F33" s="276" t="inlineStr">
        <is>
          <t>P99</t>
        </is>
      </c>
      <c r="G33" s="276" t="n">
        <v>480000</v>
      </c>
      <c r="H33" s="276" t="b">
        <v>1</v>
      </c>
      <c r="I33" s="276" t="inlineStr">
        <is>
          <t>D</t>
        </is>
      </c>
      <c r="J33" s="276" t="inlineStr">
        <is>
          <t>SRC-10</t>
        </is>
      </c>
      <c r="K33" s="276" t="n"/>
      <c r="L33" s="276" t="n"/>
      <c r="M33" s="276" t="n"/>
      <c r="N33" s="276" t="n"/>
      <c r="O33" s="276" t="n"/>
      <c r="P33" s="277" t="n"/>
    </row>
    <row r="34">
      <c r="A34" s="275" t="inlineStr">
        <is>
          <t>Nation-state</t>
        </is>
      </c>
      <c r="B34" s="276" t="inlineStr">
        <is>
          <t>SC_DISR</t>
        </is>
      </c>
      <c r="C34" s="276" t="inlineStr">
        <is>
          <t>Critical business-service disruption</t>
        </is>
      </c>
      <c r="D34" s="276" t="inlineStr">
        <is>
          <t>Duration</t>
        </is>
      </c>
      <c r="E34" s="276" t="inlineStr">
        <is>
          <t>BUSINESS_INTERRUPTION</t>
        </is>
      </c>
      <c r="F34" s="276" t="inlineStr">
        <is>
          <t>P99</t>
        </is>
      </c>
      <c r="G34" s="276" t="n">
        <v>69863013.69863012</v>
      </c>
      <c r="H34" s="276" t="b">
        <v>1</v>
      </c>
      <c r="I34" s="276" t="inlineStr">
        <is>
          <t>D</t>
        </is>
      </c>
      <c r="J34" s="276" t="inlineStr">
        <is>
          <t>SRC-10</t>
        </is>
      </c>
      <c r="K34" s="276" t="n"/>
      <c r="L34" s="276" t="n"/>
      <c r="M34" s="276" t="n"/>
      <c r="N34" s="276" t="n"/>
      <c r="O34" s="276" t="n"/>
      <c r="P34" s="277" t="n"/>
    </row>
    <row r="35">
      <c r="A35" s="275" t="inlineStr">
        <is>
          <t>Nation-state</t>
        </is>
      </c>
      <c r="B35" s="276" t="inlineStr">
        <is>
          <t>SC_DISR</t>
        </is>
      </c>
      <c r="C35" s="276" t="inlineStr">
        <is>
          <t>Critical business-service disruption</t>
        </is>
      </c>
      <c r="D35" s="276" t="inlineStr">
        <is>
          <t>Duration</t>
        </is>
      </c>
      <c r="E35" s="276" t="inlineStr">
        <is>
          <t>ENDPOINT_RECOVERY</t>
        </is>
      </c>
      <c r="F35" s="276" t="inlineStr">
        <is>
          <t>P99</t>
        </is>
      </c>
      <c r="G35" s="276" t="n">
        <v>1250000</v>
      </c>
      <c r="H35" s="276" t="b">
        <v>1</v>
      </c>
      <c r="I35" s="276" t="inlineStr">
        <is>
          <t>D</t>
        </is>
      </c>
      <c r="J35" s="276" t="inlineStr">
        <is>
          <t>SRC-10</t>
        </is>
      </c>
      <c r="K35" s="276" t="n"/>
      <c r="L35" s="276" t="n"/>
      <c r="M35" s="276" t="n"/>
      <c r="N35" s="276" t="n"/>
      <c r="O35" s="276" t="n"/>
      <c r="P35" s="277" t="n"/>
    </row>
    <row r="36">
      <c r="A36" s="275" t="inlineStr">
        <is>
          <t>Nation-state</t>
        </is>
      </c>
      <c r="B36" s="276" t="inlineStr">
        <is>
          <t>SC_DISR</t>
        </is>
      </c>
      <c r="C36" s="276" t="inlineStr">
        <is>
          <t>Critical business-service disruption</t>
        </is>
      </c>
      <c r="D36" s="276" t="inlineStr">
        <is>
          <t>Duration</t>
        </is>
      </c>
      <c r="E36" s="276" t="inlineStr">
        <is>
          <t>SERVER_RECOVERY</t>
        </is>
      </c>
      <c r="F36" s="276" t="inlineStr">
        <is>
          <t>P99</t>
        </is>
      </c>
      <c r="G36" s="276" t="n">
        <v>2400000</v>
      </c>
      <c r="H36" s="276" t="b">
        <v>1</v>
      </c>
      <c r="I36" s="276" t="inlineStr">
        <is>
          <t>D</t>
        </is>
      </c>
      <c r="J36" s="276" t="inlineStr">
        <is>
          <t>SRC-10</t>
        </is>
      </c>
      <c r="K36" s="276" t="n"/>
      <c r="L36" s="276" t="n"/>
      <c r="M36" s="276" t="n"/>
      <c r="N36" s="276" t="n"/>
      <c r="O36" s="276" t="n"/>
      <c r="P36" s="277" t="n"/>
    </row>
    <row r="37">
      <c r="A37" s="275" t="inlineStr">
        <is>
          <t>Nation-state</t>
        </is>
      </c>
      <c r="B37" s="276" t="inlineStr">
        <is>
          <t>SC_DISR</t>
        </is>
      </c>
      <c r="C37" s="276" t="inlineStr">
        <is>
          <t>Critical business-service disruption</t>
        </is>
      </c>
      <c r="D37" s="276" t="inlineStr">
        <is>
          <t>Exposure</t>
        </is>
      </c>
      <c r="E37" s="276" t="inlineStr">
        <is>
          <t>NOTIFICATION</t>
        </is>
      </c>
      <c r="F37" s="276" t="inlineStr">
        <is>
          <t>P99</t>
        </is>
      </c>
      <c r="G37" s="276" t="n">
        <v>0</v>
      </c>
      <c r="H37" s="276" t="b">
        <v>0</v>
      </c>
      <c r="I37" s="276" t="inlineStr">
        <is>
          <t>D</t>
        </is>
      </c>
      <c r="J37" s="276" t="inlineStr">
        <is>
          <t>SRC-10</t>
        </is>
      </c>
      <c r="K37" s="276" t="n"/>
      <c r="L37" s="276" t="n"/>
      <c r="M37" s="276" t="n"/>
      <c r="N37" s="276" t="n"/>
      <c r="O37" s="276" t="n"/>
      <c r="P37" s="277" t="n"/>
    </row>
    <row r="38">
      <c r="A38" s="275" t="inlineStr">
        <is>
          <t>Nation-state</t>
        </is>
      </c>
      <c r="B38" s="276" t="inlineStr">
        <is>
          <t>SC_DISR</t>
        </is>
      </c>
      <c r="C38" s="276" t="inlineStr">
        <is>
          <t>Critical business-service disruption</t>
        </is>
      </c>
      <c r="D38" s="276" t="inlineStr">
        <is>
          <t>Exposure</t>
        </is>
      </c>
      <c r="E38" s="276" t="inlineStr">
        <is>
          <t>CREDIT_MONITORING</t>
        </is>
      </c>
      <c r="F38" s="276" t="inlineStr">
        <is>
          <t>P99</t>
        </is>
      </c>
      <c r="G38" s="276" t="n">
        <v>0</v>
      </c>
      <c r="H38" s="276" t="b">
        <v>0</v>
      </c>
      <c r="I38" s="276" t="inlineStr">
        <is>
          <t>D</t>
        </is>
      </c>
      <c r="J38" s="276" t="inlineStr">
        <is>
          <t>SRC-10</t>
        </is>
      </c>
      <c r="K38" s="276" t="n"/>
      <c r="L38" s="276" t="n"/>
      <c r="M38" s="276" t="n"/>
      <c r="N38" s="276" t="n"/>
      <c r="O38" s="276" t="n"/>
      <c r="P38" s="277" t="n"/>
    </row>
    <row r="39">
      <c r="A39" s="275" t="inlineStr">
        <is>
          <t>Nation-state</t>
        </is>
      </c>
      <c r="B39" s="276" t="inlineStr">
        <is>
          <t>SC_DISR</t>
        </is>
      </c>
      <c r="C39" s="276" t="inlineStr">
        <is>
          <t>Critical business-service disruption</t>
        </is>
      </c>
      <c r="D39" s="276" t="inlineStr">
        <is>
          <t>Exposure</t>
        </is>
      </c>
      <c r="E39" s="276" t="inlineStr">
        <is>
          <t>REGULATORY</t>
        </is>
      </c>
      <c r="F39" s="276" t="inlineStr">
        <is>
          <t>P99</t>
        </is>
      </c>
      <c r="G39" s="276" t="n">
        <v>0</v>
      </c>
      <c r="H39" s="276" t="b">
        <v>0</v>
      </c>
      <c r="I39" s="276" t="inlineStr">
        <is>
          <t>D</t>
        </is>
      </c>
      <c r="J39" s="276" t="inlineStr">
        <is>
          <t>SRC-10</t>
        </is>
      </c>
      <c r="K39" s="276" t="n"/>
      <c r="L39" s="276" t="n"/>
      <c r="M39" s="276" t="n"/>
      <c r="N39" s="276" t="n"/>
      <c r="O39" s="276" t="n"/>
      <c r="P39" s="277" t="n"/>
    </row>
    <row r="40">
      <c r="A40" s="275" t="inlineStr">
        <is>
          <t>Nation-state</t>
        </is>
      </c>
      <c r="B40" s="276" t="inlineStr">
        <is>
          <t>SC_DISR</t>
        </is>
      </c>
      <c r="C40" s="276" t="inlineStr">
        <is>
          <t>Critical business-service disruption</t>
        </is>
      </c>
      <c r="D40" s="276" t="inlineStr">
        <is>
          <t>Exposure</t>
        </is>
      </c>
      <c r="E40" s="276" t="inlineStr">
        <is>
          <t>CUSTOMER_ATTRITION</t>
        </is>
      </c>
      <c r="F40" s="276" t="inlineStr">
        <is>
          <t>P99</t>
        </is>
      </c>
      <c r="G40" s="276" t="n">
        <v>10000000</v>
      </c>
      <c r="H40" s="276" t="b">
        <v>1</v>
      </c>
      <c r="I40" s="276" t="inlineStr">
        <is>
          <t>D</t>
        </is>
      </c>
      <c r="J40" s="276" t="inlineStr">
        <is>
          <t>SRC-10</t>
        </is>
      </c>
      <c r="K40" s="276" t="n"/>
      <c r="L40" s="276" t="n"/>
      <c r="M40" s="276" t="n"/>
      <c r="N40" s="276" t="n"/>
      <c r="O40" s="276" t="n"/>
      <c r="P40" s="277" t="n"/>
    </row>
    <row r="41">
      <c r="A41" s="275" t="inlineStr">
        <is>
          <t>Nation-state</t>
        </is>
      </c>
      <c r="B41" s="276" t="inlineStr">
        <is>
          <t>SC_DISR</t>
        </is>
      </c>
      <c r="C41" s="276" t="inlineStr">
        <is>
          <t>Critical business-service disruption</t>
        </is>
      </c>
      <c r="D41" s="276" t="inlineStr">
        <is>
          <t>Direct</t>
        </is>
      </c>
      <c r="E41" s="276" t="inlineStr">
        <is>
          <t>FRAUD_NET_RECOVERY</t>
        </is>
      </c>
      <c r="F41" s="276" t="inlineStr">
        <is>
          <t>P99</t>
        </is>
      </c>
      <c r="G41" s="276" t="n">
        <v>0</v>
      </c>
      <c r="H41" s="276" t="b">
        <v>0</v>
      </c>
      <c r="I41" s="276" t="inlineStr">
        <is>
          <t>D</t>
        </is>
      </c>
      <c r="J41" s="276" t="inlineStr">
        <is>
          <t>SRC-10</t>
        </is>
      </c>
      <c r="K41" s="276" t="n"/>
      <c r="L41" s="276" t="n"/>
      <c r="M41" s="276" t="n"/>
      <c r="N41" s="276" t="n"/>
      <c r="O41" s="276" t="n"/>
      <c r="P41" s="277" t="n"/>
    </row>
    <row r="42">
      <c r="A42" s="275" t="inlineStr">
        <is>
          <t>Nation-state</t>
        </is>
      </c>
      <c r="B42" s="276" t="inlineStr">
        <is>
          <t>SC_DISR</t>
        </is>
      </c>
      <c r="C42" s="276" t="inlineStr">
        <is>
          <t>Critical business-service disruption</t>
        </is>
      </c>
      <c r="D42" s="276" t="inlineStr">
        <is>
          <t>Direct</t>
        </is>
      </c>
      <c r="E42" s="276" t="inlineStr">
        <is>
          <t>EXTORTION</t>
        </is>
      </c>
      <c r="F42" s="276" t="inlineStr">
        <is>
          <t>P99</t>
        </is>
      </c>
      <c r="G42" s="276" t="n">
        <v>0</v>
      </c>
      <c r="H42" s="276" t="b">
        <v>0</v>
      </c>
      <c r="I42" s="276" t="inlineStr">
        <is>
          <t>D</t>
        </is>
      </c>
      <c r="J42" s="276" t="inlineStr">
        <is>
          <t>SRC-10</t>
        </is>
      </c>
      <c r="K42" s="276" t="n"/>
      <c r="L42" s="276" t="n"/>
      <c r="M42" s="276" t="n"/>
      <c r="N42" s="276" t="n"/>
      <c r="O42" s="276" t="n"/>
      <c r="P42" s="277" t="n"/>
    </row>
    <row r="43">
      <c r="A43" s="275" t="inlineStr">
        <is>
          <t>Nation-state</t>
        </is>
      </c>
      <c r="B43" s="276" t="inlineStr">
        <is>
          <t>SC_DISR</t>
        </is>
      </c>
      <c r="C43" s="276" t="inlineStr">
        <is>
          <t>Critical business-service disruption</t>
        </is>
      </c>
      <c r="D43" s="276" t="inlineStr">
        <is>
          <t>Direct</t>
        </is>
      </c>
      <c r="E43" s="276" t="inlineStr">
        <is>
          <t>POST_EVENT_UPLIFT</t>
        </is>
      </c>
      <c r="F43" s="276" t="inlineStr">
        <is>
          <t>P99</t>
        </is>
      </c>
      <c r="G43" s="276" t="n">
        <v>5000000</v>
      </c>
      <c r="H43" s="276" t="b">
        <v>1</v>
      </c>
      <c r="I43" s="276" t="inlineStr">
        <is>
          <t>D</t>
        </is>
      </c>
      <c r="J43" s="276" t="inlineStr">
        <is>
          <t>SRC-10</t>
        </is>
      </c>
      <c r="K43" s="276" t="n"/>
      <c r="L43" s="276" t="n"/>
      <c r="M43" s="276" t="n"/>
      <c r="N43" s="276" t="n"/>
      <c r="O43" s="276" t="n"/>
      <c r="P43" s="277" t="n"/>
    </row>
    <row r="44">
      <c r="A44" s="275" t="inlineStr">
        <is>
          <t>Nation-state</t>
        </is>
      </c>
      <c r="B44" s="276" t="inlineStr">
        <is>
          <t>SC_DATA</t>
        </is>
      </c>
      <c r="C44" s="276" t="inlineStr">
        <is>
          <t>Sensitive-data compromise</t>
        </is>
      </c>
      <c r="D44" s="276" t="inlineStr">
        <is>
          <t>Duration</t>
        </is>
      </c>
      <c r="E44" s="276" t="inlineStr">
        <is>
          <t>IR_FORENSICS</t>
        </is>
      </c>
      <c r="F44" s="276" t="inlineStr">
        <is>
          <t>P50</t>
        </is>
      </c>
      <c r="G44" s="276" t="n">
        <v>40000</v>
      </c>
      <c r="H44" s="276" t="b">
        <v>1</v>
      </c>
      <c r="I44" s="276" t="inlineStr">
        <is>
          <t>D</t>
        </is>
      </c>
      <c r="J44" s="276" t="inlineStr">
        <is>
          <t>SRC-10</t>
        </is>
      </c>
      <c r="K44" s="276" t="n"/>
      <c r="L44" s="276" t="n"/>
      <c r="M44" s="276" t="n"/>
      <c r="N44" s="276" t="n"/>
      <c r="O44" s="276" t="n"/>
      <c r="P44" s="277" t="n"/>
    </row>
    <row r="45">
      <c r="A45" s="275" t="inlineStr">
        <is>
          <t>Nation-state</t>
        </is>
      </c>
      <c r="B45" s="276" t="inlineStr">
        <is>
          <t>SC_DATA</t>
        </is>
      </c>
      <c r="C45" s="276" t="inlineStr">
        <is>
          <t>Sensitive-data compromise</t>
        </is>
      </c>
      <c r="D45" s="276" t="inlineStr">
        <is>
          <t>Duration</t>
        </is>
      </c>
      <c r="E45" s="276" t="inlineStr">
        <is>
          <t>EXTERNAL_RESPONSE</t>
        </is>
      </c>
      <c r="F45" s="276" t="inlineStr">
        <is>
          <t>P50</t>
        </is>
      </c>
      <c r="G45" s="276" t="n">
        <v>90000</v>
      </c>
      <c r="H45" s="276" t="b">
        <v>1</v>
      </c>
      <c r="I45" s="276" t="inlineStr">
        <is>
          <t>D</t>
        </is>
      </c>
      <c r="J45" s="276" t="inlineStr">
        <is>
          <t>SRC-10</t>
        </is>
      </c>
      <c r="K45" s="276" t="n"/>
      <c r="L45" s="276" t="n"/>
      <c r="M45" s="276" t="n"/>
      <c r="N45" s="276" t="n"/>
      <c r="O45" s="276" t="n"/>
      <c r="P45" s="277" t="n"/>
    </row>
    <row r="46">
      <c r="A46" s="275" t="inlineStr">
        <is>
          <t>Nation-state</t>
        </is>
      </c>
      <c r="B46" s="276" t="inlineStr">
        <is>
          <t>SC_DATA</t>
        </is>
      </c>
      <c r="C46" s="276" t="inlineStr">
        <is>
          <t>Sensitive-data compromise</t>
        </is>
      </c>
      <c r="D46" s="276" t="inlineStr">
        <is>
          <t>Duration</t>
        </is>
      </c>
      <c r="E46" s="276" t="inlineStr">
        <is>
          <t>LEGAL_RESPONSE</t>
        </is>
      </c>
      <c r="F46" s="276" t="inlineStr">
        <is>
          <t>P50</t>
        </is>
      </c>
      <c r="G46" s="276" t="n">
        <v>150000</v>
      </c>
      <c r="H46" s="276" t="b">
        <v>1</v>
      </c>
      <c r="I46" s="276" t="inlineStr">
        <is>
          <t>D</t>
        </is>
      </c>
      <c r="J46" s="276" t="inlineStr">
        <is>
          <t>SRC-10</t>
        </is>
      </c>
      <c r="K46" s="276" t="n"/>
      <c r="L46" s="276" t="n"/>
      <c r="M46" s="276" t="n"/>
      <c r="N46" s="276" t="n"/>
      <c r="O46" s="276" t="n"/>
      <c r="P46" s="277" t="n"/>
    </row>
    <row r="47">
      <c r="A47" s="275" t="inlineStr">
        <is>
          <t>Nation-state</t>
        </is>
      </c>
      <c r="B47" s="276" t="inlineStr">
        <is>
          <t>SC_DATA</t>
        </is>
      </c>
      <c r="C47" s="276" t="inlineStr">
        <is>
          <t>Sensitive-data compromise</t>
        </is>
      </c>
      <c r="D47" s="276" t="inlineStr">
        <is>
          <t>Duration</t>
        </is>
      </c>
      <c r="E47" s="276" t="inlineStr">
        <is>
          <t>RESTORATION</t>
        </is>
      </c>
      <c r="F47" s="276" t="inlineStr">
        <is>
          <t>P50</t>
        </is>
      </c>
      <c r="G47" s="276" t="n">
        <v>40000</v>
      </c>
      <c r="H47" s="276" t="b">
        <v>1</v>
      </c>
      <c r="I47" s="276" t="inlineStr">
        <is>
          <t>D</t>
        </is>
      </c>
      <c r="J47" s="276" t="inlineStr">
        <is>
          <t>SRC-10</t>
        </is>
      </c>
      <c r="K47" s="276" t="n"/>
      <c r="L47" s="276" t="n"/>
      <c r="M47" s="276" t="n"/>
      <c r="N47" s="276" t="n"/>
      <c r="O47" s="276" t="n"/>
      <c r="P47" s="277" t="n"/>
    </row>
    <row r="48">
      <c r="A48" s="275" t="inlineStr">
        <is>
          <t>Nation-state</t>
        </is>
      </c>
      <c r="B48" s="276" t="inlineStr">
        <is>
          <t>SC_DATA</t>
        </is>
      </c>
      <c r="C48" s="276" t="inlineStr">
        <is>
          <t>Sensitive-data compromise</t>
        </is>
      </c>
      <c r="D48" s="276" t="inlineStr">
        <is>
          <t>Duration</t>
        </is>
      </c>
      <c r="E48" s="276" t="inlineStr">
        <is>
          <t>BUSINESS_INTERRUPTION</t>
        </is>
      </c>
      <c r="F48" s="276" t="inlineStr">
        <is>
          <t>P50</t>
        </is>
      </c>
      <c r="G48" s="276" t="n">
        <v>273972.602739726</v>
      </c>
      <c r="H48" s="276" t="b">
        <v>1</v>
      </c>
      <c r="I48" s="276" t="inlineStr">
        <is>
          <t>D</t>
        </is>
      </c>
      <c r="J48" s="276" t="inlineStr">
        <is>
          <t>SRC-10</t>
        </is>
      </c>
      <c r="K48" s="276" t="n"/>
      <c r="L48" s="276" t="n"/>
      <c r="M48" s="276" t="n"/>
      <c r="N48" s="276" t="n"/>
      <c r="O48" s="276" t="n"/>
      <c r="P48" s="277" t="n"/>
    </row>
    <row r="49">
      <c r="A49" s="275" t="inlineStr">
        <is>
          <t>Nation-state</t>
        </is>
      </c>
      <c r="B49" s="276" t="inlineStr">
        <is>
          <t>SC_DATA</t>
        </is>
      </c>
      <c r="C49" s="276" t="inlineStr">
        <is>
          <t>Sensitive-data compromise</t>
        </is>
      </c>
      <c r="D49" s="276" t="inlineStr">
        <is>
          <t>Duration</t>
        </is>
      </c>
      <c r="E49" s="276" t="inlineStr">
        <is>
          <t>ENDPOINT_RECOVERY</t>
        </is>
      </c>
      <c r="F49" s="276" t="inlineStr">
        <is>
          <t>P50</t>
        </is>
      </c>
      <c r="G49" s="276" t="n">
        <v>50000</v>
      </c>
      <c r="H49" s="276" t="b">
        <v>1</v>
      </c>
      <c r="I49" s="276" t="inlineStr">
        <is>
          <t>D</t>
        </is>
      </c>
      <c r="J49" s="276" t="inlineStr">
        <is>
          <t>SRC-10</t>
        </is>
      </c>
      <c r="K49" s="276" t="n"/>
      <c r="L49" s="276" t="n"/>
      <c r="M49" s="276" t="n"/>
      <c r="N49" s="276" t="n"/>
      <c r="O49" s="276" t="n"/>
      <c r="P49" s="277" t="n"/>
    </row>
    <row r="50">
      <c r="A50" s="275" t="inlineStr">
        <is>
          <t>Nation-state</t>
        </is>
      </c>
      <c r="B50" s="276" t="inlineStr">
        <is>
          <t>SC_DATA</t>
        </is>
      </c>
      <c r="C50" s="276" t="inlineStr">
        <is>
          <t>Sensitive-data compromise</t>
        </is>
      </c>
      <c r="D50" s="276" t="inlineStr">
        <is>
          <t>Duration</t>
        </is>
      </c>
      <c r="E50" s="276" t="inlineStr">
        <is>
          <t>SERVER_RECOVERY</t>
        </is>
      </c>
      <c r="F50" s="276" t="inlineStr">
        <is>
          <t>P50</t>
        </is>
      </c>
      <c r="G50" s="276" t="n">
        <v>125000</v>
      </c>
      <c r="H50" s="276" t="b">
        <v>1</v>
      </c>
      <c r="I50" s="276" t="inlineStr">
        <is>
          <t>D</t>
        </is>
      </c>
      <c r="J50" s="276" t="inlineStr">
        <is>
          <t>SRC-10</t>
        </is>
      </c>
      <c r="K50" s="276" t="n"/>
      <c r="L50" s="276" t="n"/>
      <c r="M50" s="276" t="n"/>
      <c r="N50" s="276" t="n"/>
      <c r="O50" s="276" t="n"/>
      <c r="P50" s="277" t="n"/>
    </row>
    <row r="51">
      <c r="A51" s="275" t="inlineStr">
        <is>
          <t>Nation-state</t>
        </is>
      </c>
      <c r="B51" s="276" t="inlineStr">
        <is>
          <t>SC_DATA</t>
        </is>
      </c>
      <c r="C51" s="276" t="inlineStr">
        <is>
          <t>Sensitive-data compromise</t>
        </is>
      </c>
      <c r="D51" s="276" t="inlineStr">
        <is>
          <t>Exposure</t>
        </is>
      </c>
      <c r="E51" s="276" t="inlineStr">
        <is>
          <t>NOTIFICATION</t>
        </is>
      </c>
      <c r="F51" s="276" t="inlineStr">
        <is>
          <t>P50</t>
        </is>
      </c>
      <c r="G51" s="276" t="n">
        <v>125000</v>
      </c>
      <c r="H51" s="276" t="b">
        <v>1</v>
      </c>
      <c r="I51" s="276" t="inlineStr">
        <is>
          <t>D</t>
        </is>
      </c>
      <c r="J51" s="276" t="inlineStr">
        <is>
          <t>SRC-10</t>
        </is>
      </c>
      <c r="K51" s="276" t="n"/>
      <c r="L51" s="276" t="n"/>
      <c r="M51" s="276" t="n"/>
      <c r="N51" s="276" t="n"/>
      <c r="O51" s="276" t="n"/>
      <c r="P51" s="277" t="n"/>
    </row>
    <row r="52">
      <c r="A52" s="275" t="inlineStr">
        <is>
          <t>Nation-state</t>
        </is>
      </c>
      <c r="B52" s="276" t="inlineStr">
        <is>
          <t>SC_DATA</t>
        </is>
      </c>
      <c r="C52" s="276" t="inlineStr">
        <is>
          <t>Sensitive-data compromise</t>
        </is>
      </c>
      <c r="D52" s="276" t="inlineStr">
        <is>
          <t>Exposure</t>
        </is>
      </c>
      <c r="E52" s="276" t="inlineStr">
        <is>
          <t>CREDIT_MONITORING</t>
        </is>
      </c>
      <c r="F52" s="276" t="inlineStr">
        <is>
          <t>P50</t>
        </is>
      </c>
      <c r="G52" s="276" t="n">
        <v>200000</v>
      </c>
      <c r="H52" s="276" t="b">
        <v>1</v>
      </c>
      <c r="I52" s="276" t="inlineStr">
        <is>
          <t>D</t>
        </is>
      </c>
      <c r="J52" s="276" t="inlineStr">
        <is>
          <t>SRC-10</t>
        </is>
      </c>
      <c r="K52" s="276" t="n"/>
      <c r="L52" s="276" t="n"/>
      <c r="M52" s="276" t="n"/>
      <c r="N52" s="276" t="n"/>
      <c r="O52" s="276" t="n"/>
      <c r="P52" s="277" t="n"/>
    </row>
    <row r="53">
      <c r="A53" s="275" t="inlineStr">
        <is>
          <t>Nation-state</t>
        </is>
      </c>
      <c r="B53" s="276" t="inlineStr">
        <is>
          <t>SC_DATA</t>
        </is>
      </c>
      <c r="C53" s="276" t="inlineStr">
        <is>
          <t>Sensitive-data compromise</t>
        </is>
      </c>
      <c r="D53" s="276" t="inlineStr">
        <is>
          <t>Exposure</t>
        </is>
      </c>
      <c r="E53" s="276" t="inlineStr">
        <is>
          <t>REGULATORY</t>
        </is>
      </c>
      <c r="F53" s="276" t="inlineStr">
        <is>
          <t>P50</t>
        </is>
      </c>
      <c r="G53" s="276" t="n">
        <v>1000000</v>
      </c>
      <c r="H53" s="276" t="b">
        <v>1</v>
      </c>
      <c r="I53" s="276" t="inlineStr">
        <is>
          <t>D</t>
        </is>
      </c>
      <c r="J53" s="276" t="inlineStr">
        <is>
          <t>SRC-10</t>
        </is>
      </c>
      <c r="K53" s="276" t="n"/>
      <c r="L53" s="276" t="n"/>
      <c r="M53" s="276" t="n"/>
      <c r="N53" s="276" t="n"/>
      <c r="O53" s="276" t="n"/>
      <c r="P53" s="277" t="n"/>
    </row>
    <row r="54">
      <c r="A54" s="275" t="inlineStr">
        <is>
          <t>Nation-state</t>
        </is>
      </c>
      <c r="B54" s="276" t="inlineStr">
        <is>
          <t>SC_DATA</t>
        </is>
      </c>
      <c r="C54" s="276" t="inlineStr">
        <is>
          <t>Sensitive-data compromise</t>
        </is>
      </c>
      <c r="D54" s="276" t="inlineStr">
        <is>
          <t>Exposure</t>
        </is>
      </c>
      <c r="E54" s="276" t="inlineStr">
        <is>
          <t>CUSTOMER_ATTRITION</t>
        </is>
      </c>
      <c r="F54" s="276" t="inlineStr">
        <is>
          <t>P50</t>
        </is>
      </c>
      <c r="G54" s="276" t="n">
        <v>2000000</v>
      </c>
      <c r="H54" s="276" t="b">
        <v>1</v>
      </c>
      <c r="I54" s="276" t="inlineStr">
        <is>
          <t>D</t>
        </is>
      </c>
      <c r="J54" s="276" t="inlineStr">
        <is>
          <t>SRC-10</t>
        </is>
      </c>
      <c r="K54" s="276" t="n"/>
      <c r="L54" s="276" t="n"/>
      <c r="M54" s="276" t="n"/>
      <c r="N54" s="276" t="n"/>
      <c r="O54" s="276" t="n"/>
      <c r="P54" s="277" t="n"/>
    </row>
    <row r="55">
      <c r="A55" s="275" t="inlineStr">
        <is>
          <t>Nation-state</t>
        </is>
      </c>
      <c r="B55" s="276" t="inlineStr">
        <is>
          <t>SC_DATA</t>
        </is>
      </c>
      <c r="C55" s="276" t="inlineStr">
        <is>
          <t>Sensitive-data compromise</t>
        </is>
      </c>
      <c r="D55" s="276" t="inlineStr">
        <is>
          <t>Direct</t>
        </is>
      </c>
      <c r="E55" s="276" t="inlineStr">
        <is>
          <t>FRAUD_NET_RECOVERY</t>
        </is>
      </c>
      <c r="F55" s="276" t="inlineStr">
        <is>
          <t>P50</t>
        </is>
      </c>
      <c r="G55" s="276" t="n">
        <v>0</v>
      </c>
      <c r="H55" s="276" t="b">
        <v>0</v>
      </c>
      <c r="I55" s="276" t="inlineStr">
        <is>
          <t>D</t>
        </is>
      </c>
      <c r="J55" s="276" t="inlineStr">
        <is>
          <t>SRC-10</t>
        </is>
      </c>
      <c r="K55" s="276" t="n"/>
      <c r="L55" s="276" t="n"/>
      <c r="M55" s="276" t="n"/>
      <c r="N55" s="276" t="n"/>
      <c r="O55" s="276" t="n"/>
      <c r="P55" s="277" t="n"/>
    </row>
    <row r="56">
      <c r="A56" s="275" t="inlineStr">
        <is>
          <t>Nation-state</t>
        </is>
      </c>
      <c r="B56" s="276" t="inlineStr">
        <is>
          <t>SC_DATA</t>
        </is>
      </c>
      <c r="C56" s="276" t="inlineStr">
        <is>
          <t>Sensitive-data compromise</t>
        </is>
      </c>
      <c r="D56" s="276" t="inlineStr">
        <is>
          <t>Direct</t>
        </is>
      </c>
      <c r="E56" s="276" t="inlineStr">
        <is>
          <t>EXTORTION</t>
        </is>
      </c>
      <c r="F56" s="276" t="inlineStr">
        <is>
          <t>P50</t>
        </is>
      </c>
      <c r="G56" s="276" t="n">
        <v>0</v>
      </c>
      <c r="H56" s="276" t="b">
        <v>0</v>
      </c>
      <c r="I56" s="276" t="inlineStr">
        <is>
          <t>D</t>
        </is>
      </c>
      <c r="J56" s="276" t="inlineStr">
        <is>
          <t>SRC-10</t>
        </is>
      </c>
      <c r="K56" s="276" t="n"/>
      <c r="L56" s="276" t="n"/>
      <c r="M56" s="276" t="n"/>
      <c r="N56" s="276" t="n"/>
      <c r="O56" s="276" t="n"/>
      <c r="P56" s="277" t="n"/>
    </row>
    <row r="57">
      <c r="A57" s="275" t="inlineStr">
        <is>
          <t>Nation-state</t>
        </is>
      </c>
      <c r="B57" s="276" t="inlineStr">
        <is>
          <t>SC_DATA</t>
        </is>
      </c>
      <c r="C57" s="276" t="inlineStr">
        <is>
          <t>Sensitive-data compromise</t>
        </is>
      </c>
      <c r="D57" s="276" t="inlineStr">
        <is>
          <t>Direct</t>
        </is>
      </c>
      <c r="E57" s="276" t="inlineStr">
        <is>
          <t>POST_EVENT_UPLIFT</t>
        </is>
      </c>
      <c r="F57" s="276" t="inlineStr">
        <is>
          <t>P50</t>
        </is>
      </c>
      <c r="G57" s="276" t="n">
        <v>1000000</v>
      </c>
      <c r="H57" s="276" t="b">
        <v>1</v>
      </c>
      <c r="I57" s="276" t="inlineStr">
        <is>
          <t>D</t>
        </is>
      </c>
      <c r="J57" s="276" t="inlineStr">
        <is>
          <t>SRC-10</t>
        </is>
      </c>
      <c r="K57" s="276" t="n"/>
      <c r="L57" s="276" t="n"/>
      <c r="M57" s="276" t="n"/>
      <c r="N57" s="276" t="n"/>
      <c r="O57" s="276" t="n"/>
      <c r="P57" s="277" t="n"/>
    </row>
    <row r="58">
      <c r="A58" s="275" t="inlineStr">
        <is>
          <t>Nation-state</t>
        </is>
      </c>
      <c r="B58" s="276" t="inlineStr">
        <is>
          <t>SC_DATA</t>
        </is>
      </c>
      <c r="C58" s="276" t="inlineStr">
        <is>
          <t>Sensitive-data compromise</t>
        </is>
      </c>
      <c r="D58" s="276" t="inlineStr">
        <is>
          <t>Duration</t>
        </is>
      </c>
      <c r="E58" s="276" t="inlineStr">
        <is>
          <t>IR_FORENSICS</t>
        </is>
      </c>
      <c r="F58" s="276" t="inlineStr">
        <is>
          <t>P99</t>
        </is>
      </c>
      <c r="G58" s="276" t="n">
        <v>480000</v>
      </c>
      <c r="H58" s="276" t="b">
        <v>1</v>
      </c>
      <c r="I58" s="276" t="inlineStr">
        <is>
          <t>D</t>
        </is>
      </c>
      <c r="J58" s="276" t="inlineStr">
        <is>
          <t>SRC-10</t>
        </is>
      </c>
      <c r="K58" s="276" t="n"/>
      <c r="L58" s="276" t="n"/>
      <c r="M58" s="276" t="n"/>
      <c r="N58" s="276" t="n"/>
      <c r="O58" s="276" t="n"/>
      <c r="P58" s="277" t="n"/>
    </row>
    <row r="59">
      <c r="A59" s="275" t="inlineStr">
        <is>
          <t>Nation-state</t>
        </is>
      </c>
      <c r="B59" s="276" t="inlineStr">
        <is>
          <t>SC_DATA</t>
        </is>
      </c>
      <c r="C59" s="276" t="inlineStr">
        <is>
          <t>Sensitive-data compromise</t>
        </is>
      </c>
      <c r="D59" s="276" t="inlineStr">
        <is>
          <t>Duration</t>
        </is>
      </c>
      <c r="E59" s="276" t="inlineStr">
        <is>
          <t>EXTERNAL_RESPONSE</t>
        </is>
      </c>
      <c r="F59" s="276" t="inlineStr">
        <is>
          <t>P99</t>
        </is>
      </c>
      <c r="G59" s="276" t="n">
        <v>900000</v>
      </c>
      <c r="H59" s="276" t="b">
        <v>1</v>
      </c>
      <c r="I59" s="276" t="inlineStr">
        <is>
          <t>D</t>
        </is>
      </c>
      <c r="J59" s="276" t="inlineStr">
        <is>
          <t>SRC-10</t>
        </is>
      </c>
      <c r="K59" s="276" t="n"/>
      <c r="L59" s="276" t="n"/>
      <c r="M59" s="276" t="n"/>
      <c r="N59" s="276" t="n"/>
      <c r="O59" s="276" t="n"/>
      <c r="P59" s="277" t="n"/>
    </row>
    <row r="60">
      <c r="A60" s="275" t="inlineStr">
        <is>
          <t>Nation-state</t>
        </is>
      </c>
      <c r="B60" s="276" t="inlineStr">
        <is>
          <t>SC_DATA</t>
        </is>
      </c>
      <c r="C60" s="276" t="inlineStr">
        <is>
          <t>Sensitive-data compromise</t>
        </is>
      </c>
      <c r="D60" s="276" t="inlineStr">
        <is>
          <t>Duration</t>
        </is>
      </c>
      <c r="E60" s="276" t="inlineStr">
        <is>
          <t>LEGAL_RESPONSE</t>
        </is>
      </c>
      <c r="F60" s="276" t="inlineStr">
        <is>
          <t>P99</t>
        </is>
      </c>
      <c r="G60" s="276" t="n">
        <v>1800000</v>
      </c>
      <c r="H60" s="276" t="b">
        <v>1</v>
      </c>
      <c r="I60" s="276" t="inlineStr">
        <is>
          <t>D</t>
        </is>
      </c>
      <c r="J60" s="276" t="inlineStr">
        <is>
          <t>SRC-10</t>
        </is>
      </c>
      <c r="K60" s="276" t="n"/>
      <c r="L60" s="276" t="n"/>
      <c r="M60" s="276" t="n"/>
      <c r="N60" s="276" t="n"/>
      <c r="O60" s="276" t="n"/>
      <c r="P60" s="277" t="n"/>
    </row>
    <row r="61">
      <c r="A61" s="275" t="inlineStr">
        <is>
          <t>Nation-state</t>
        </is>
      </c>
      <c r="B61" s="276" t="inlineStr">
        <is>
          <t>SC_DATA</t>
        </is>
      </c>
      <c r="C61" s="276" t="inlineStr">
        <is>
          <t>Sensitive-data compromise</t>
        </is>
      </c>
      <c r="D61" s="276" t="inlineStr">
        <is>
          <t>Duration</t>
        </is>
      </c>
      <c r="E61" s="276" t="inlineStr">
        <is>
          <t>RESTORATION</t>
        </is>
      </c>
      <c r="F61" s="276" t="inlineStr">
        <is>
          <t>P99</t>
        </is>
      </c>
      <c r="G61" s="276" t="n">
        <v>480000</v>
      </c>
      <c r="H61" s="276" t="b">
        <v>1</v>
      </c>
      <c r="I61" s="276" t="inlineStr">
        <is>
          <t>D</t>
        </is>
      </c>
      <c r="J61" s="276" t="inlineStr">
        <is>
          <t>SRC-10</t>
        </is>
      </c>
      <c r="K61" s="276" t="n"/>
      <c r="L61" s="276" t="n"/>
      <c r="M61" s="276" t="n"/>
      <c r="N61" s="276" t="n"/>
      <c r="O61" s="276" t="n"/>
      <c r="P61" s="277" t="n"/>
    </row>
    <row r="62">
      <c r="A62" s="275" t="inlineStr">
        <is>
          <t>Nation-state</t>
        </is>
      </c>
      <c r="B62" s="276" t="inlineStr">
        <is>
          <t>SC_DATA</t>
        </is>
      </c>
      <c r="C62" s="276" t="inlineStr">
        <is>
          <t>Sensitive-data compromise</t>
        </is>
      </c>
      <c r="D62" s="276" t="inlineStr">
        <is>
          <t>Duration</t>
        </is>
      </c>
      <c r="E62" s="276" t="inlineStr">
        <is>
          <t>BUSINESS_INTERRUPTION</t>
        </is>
      </c>
      <c r="F62" s="276" t="inlineStr">
        <is>
          <t>P99</t>
        </is>
      </c>
      <c r="G62" s="276" t="n">
        <v>10958904.10958904</v>
      </c>
      <c r="H62" s="276" t="b">
        <v>1</v>
      </c>
      <c r="I62" s="276" t="inlineStr">
        <is>
          <t>D</t>
        </is>
      </c>
      <c r="J62" s="276" t="inlineStr">
        <is>
          <t>SRC-10</t>
        </is>
      </c>
      <c r="K62" s="276" t="n"/>
      <c r="L62" s="276" t="n"/>
      <c r="M62" s="276" t="n"/>
      <c r="N62" s="276" t="n"/>
      <c r="O62" s="276" t="n"/>
      <c r="P62" s="277" t="n"/>
    </row>
    <row r="63">
      <c r="A63" s="275" t="inlineStr">
        <is>
          <t>Nation-state</t>
        </is>
      </c>
      <c r="B63" s="276" t="inlineStr">
        <is>
          <t>SC_DATA</t>
        </is>
      </c>
      <c r="C63" s="276" t="inlineStr">
        <is>
          <t>Sensitive-data compromise</t>
        </is>
      </c>
      <c r="D63" s="276" t="inlineStr">
        <is>
          <t>Duration</t>
        </is>
      </c>
      <c r="E63" s="276" t="inlineStr">
        <is>
          <t>ENDPOINT_RECOVERY</t>
        </is>
      </c>
      <c r="F63" s="276" t="inlineStr">
        <is>
          <t>P99</t>
        </is>
      </c>
      <c r="G63" s="276" t="n">
        <v>750000</v>
      </c>
      <c r="H63" s="276" t="b">
        <v>1</v>
      </c>
      <c r="I63" s="276" t="inlineStr">
        <is>
          <t>D</t>
        </is>
      </c>
      <c r="J63" s="276" t="inlineStr">
        <is>
          <t>SRC-10</t>
        </is>
      </c>
      <c r="K63" s="276" t="n"/>
      <c r="L63" s="276" t="n"/>
      <c r="M63" s="276" t="n"/>
      <c r="N63" s="276" t="n"/>
      <c r="O63" s="276" t="n"/>
      <c r="P63" s="277" t="n"/>
    </row>
    <row r="64">
      <c r="A64" s="275" t="inlineStr">
        <is>
          <t>Nation-state</t>
        </is>
      </c>
      <c r="B64" s="276" t="inlineStr">
        <is>
          <t>SC_DATA</t>
        </is>
      </c>
      <c r="C64" s="276" t="inlineStr">
        <is>
          <t>Sensitive-data compromise</t>
        </is>
      </c>
      <c r="D64" s="276" t="inlineStr">
        <is>
          <t>Duration</t>
        </is>
      </c>
      <c r="E64" s="276" t="inlineStr">
        <is>
          <t>SERVER_RECOVERY</t>
        </is>
      </c>
      <c r="F64" s="276" t="inlineStr">
        <is>
          <t>P99</t>
        </is>
      </c>
      <c r="G64" s="276" t="n">
        <v>1000000</v>
      </c>
      <c r="H64" s="276" t="b">
        <v>1</v>
      </c>
      <c r="I64" s="276" t="inlineStr">
        <is>
          <t>D</t>
        </is>
      </c>
      <c r="J64" s="276" t="inlineStr">
        <is>
          <t>SRC-10</t>
        </is>
      </c>
      <c r="K64" s="276" t="n"/>
      <c r="L64" s="276" t="n"/>
      <c r="M64" s="276" t="n"/>
      <c r="N64" s="276" t="n"/>
      <c r="O64" s="276" t="n"/>
      <c r="P64" s="277" t="n"/>
    </row>
    <row r="65">
      <c r="A65" s="275" t="inlineStr">
        <is>
          <t>Nation-state</t>
        </is>
      </c>
      <c r="B65" s="276" t="inlineStr">
        <is>
          <t>SC_DATA</t>
        </is>
      </c>
      <c r="C65" s="276" t="inlineStr">
        <is>
          <t>Sensitive-data compromise</t>
        </is>
      </c>
      <c r="D65" s="276" t="inlineStr">
        <is>
          <t>Exposure</t>
        </is>
      </c>
      <c r="E65" s="276" t="inlineStr">
        <is>
          <t>NOTIFICATION</t>
        </is>
      </c>
      <c r="F65" s="276" t="inlineStr">
        <is>
          <t>P99</t>
        </is>
      </c>
      <c r="G65" s="276" t="n">
        <v>4000000</v>
      </c>
      <c r="H65" s="276" t="b">
        <v>1</v>
      </c>
      <c r="I65" s="276" t="inlineStr">
        <is>
          <t>D</t>
        </is>
      </c>
      <c r="J65" s="276" t="inlineStr">
        <is>
          <t>SRC-10</t>
        </is>
      </c>
      <c r="K65" s="276" t="n"/>
      <c r="L65" s="276" t="n"/>
      <c r="M65" s="276" t="n"/>
      <c r="N65" s="276" t="n"/>
      <c r="O65" s="276" t="n"/>
      <c r="P65" s="277" t="n"/>
    </row>
    <row r="66">
      <c r="A66" s="275" t="inlineStr">
        <is>
          <t>Nation-state</t>
        </is>
      </c>
      <c r="B66" s="276" t="inlineStr">
        <is>
          <t>SC_DATA</t>
        </is>
      </c>
      <c r="C66" s="276" t="inlineStr">
        <is>
          <t>Sensitive-data compromise</t>
        </is>
      </c>
      <c r="D66" s="276" t="inlineStr">
        <is>
          <t>Exposure</t>
        </is>
      </c>
      <c r="E66" s="276" t="inlineStr">
        <is>
          <t>CREDIT_MONITORING</t>
        </is>
      </c>
      <c r="F66" s="276" t="inlineStr">
        <is>
          <t>P99</t>
        </is>
      </c>
      <c r="G66" s="276" t="n">
        <v>20000000</v>
      </c>
      <c r="H66" s="276" t="b">
        <v>1</v>
      </c>
      <c r="I66" s="276" t="inlineStr">
        <is>
          <t>D</t>
        </is>
      </c>
      <c r="J66" s="276" t="inlineStr">
        <is>
          <t>SRC-10</t>
        </is>
      </c>
      <c r="K66" s="276" t="n"/>
      <c r="L66" s="276" t="n"/>
      <c r="M66" s="276" t="n"/>
      <c r="N66" s="276" t="n"/>
      <c r="O66" s="276" t="n"/>
      <c r="P66" s="277" t="n"/>
    </row>
    <row r="67">
      <c r="A67" s="275" t="inlineStr">
        <is>
          <t>Nation-state</t>
        </is>
      </c>
      <c r="B67" s="276" t="inlineStr">
        <is>
          <t>SC_DATA</t>
        </is>
      </c>
      <c r="C67" s="276" t="inlineStr">
        <is>
          <t>Sensitive-data compromise</t>
        </is>
      </c>
      <c r="D67" s="276" t="inlineStr">
        <is>
          <t>Exposure</t>
        </is>
      </c>
      <c r="E67" s="276" t="inlineStr">
        <is>
          <t>REGULATORY</t>
        </is>
      </c>
      <c r="F67" s="276" t="inlineStr">
        <is>
          <t>P99</t>
        </is>
      </c>
      <c r="G67" s="276" t="n">
        <v>10000000</v>
      </c>
      <c r="H67" s="276" t="b">
        <v>1</v>
      </c>
      <c r="I67" s="276" t="inlineStr">
        <is>
          <t>D</t>
        </is>
      </c>
      <c r="J67" s="276" t="inlineStr">
        <is>
          <t>SRC-10</t>
        </is>
      </c>
      <c r="K67" s="276" t="n"/>
      <c r="L67" s="276" t="n"/>
      <c r="M67" s="276" t="n"/>
      <c r="N67" s="276" t="n"/>
      <c r="O67" s="276" t="n"/>
      <c r="P67" s="277" t="n"/>
    </row>
    <row r="68">
      <c r="A68" s="275" t="inlineStr">
        <is>
          <t>Nation-state</t>
        </is>
      </c>
      <c r="B68" s="276" t="inlineStr">
        <is>
          <t>SC_DATA</t>
        </is>
      </c>
      <c r="C68" s="276" t="inlineStr">
        <is>
          <t>Sensitive-data compromise</t>
        </is>
      </c>
      <c r="D68" s="276" t="inlineStr">
        <is>
          <t>Exposure</t>
        </is>
      </c>
      <c r="E68" s="276" t="inlineStr">
        <is>
          <t>CUSTOMER_ATTRITION</t>
        </is>
      </c>
      <c r="F68" s="276" t="inlineStr">
        <is>
          <t>P99</t>
        </is>
      </c>
      <c r="G68" s="276" t="n">
        <v>30000000</v>
      </c>
      <c r="H68" s="276" t="b">
        <v>1</v>
      </c>
      <c r="I68" s="276" t="inlineStr">
        <is>
          <t>D</t>
        </is>
      </c>
      <c r="J68" s="276" t="inlineStr">
        <is>
          <t>SRC-10</t>
        </is>
      </c>
      <c r="K68" s="276" t="n"/>
      <c r="L68" s="276" t="n"/>
      <c r="M68" s="276" t="n"/>
      <c r="N68" s="276" t="n"/>
      <c r="O68" s="276" t="n"/>
      <c r="P68" s="277" t="n"/>
    </row>
    <row r="69">
      <c r="A69" s="275" t="inlineStr">
        <is>
          <t>Nation-state</t>
        </is>
      </c>
      <c r="B69" s="276" t="inlineStr">
        <is>
          <t>SC_DATA</t>
        </is>
      </c>
      <c r="C69" s="276" t="inlineStr">
        <is>
          <t>Sensitive-data compromise</t>
        </is>
      </c>
      <c r="D69" s="276" t="inlineStr">
        <is>
          <t>Direct</t>
        </is>
      </c>
      <c r="E69" s="276" t="inlineStr">
        <is>
          <t>FRAUD_NET_RECOVERY</t>
        </is>
      </c>
      <c r="F69" s="276" t="inlineStr">
        <is>
          <t>P99</t>
        </is>
      </c>
      <c r="G69" s="276" t="n">
        <v>0</v>
      </c>
      <c r="H69" s="276" t="b">
        <v>0</v>
      </c>
      <c r="I69" s="276" t="inlineStr">
        <is>
          <t>D</t>
        </is>
      </c>
      <c r="J69" s="276" t="inlineStr">
        <is>
          <t>SRC-10</t>
        </is>
      </c>
      <c r="K69" s="276" t="n"/>
      <c r="L69" s="276" t="n"/>
      <c r="M69" s="276" t="n"/>
      <c r="N69" s="276" t="n"/>
      <c r="O69" s="276" t="n"/>
      <c r="P69" s="277" t="n"/>
    </row>
    <row r="70">
      <c r="A70" s="275" t="inlineStr">
        <is>
          <t>Nation-state</t>
        </is>
      </c>
      <c r="B70" s="276" t="inlineStr">
        <is>
          <t>SC_DATA</t>
        </is>
      </c>
      <c r="C70" s="276" t="inlineStr">
        <is>
          <t>Sensitive-data compromise</t>
        </is>
      </c>
      <c r="D70" s="276" t="inlineStr">
        <is>
          <t>Direct</t>
        </is>
      </c>
      <c r="E70" s="276" t="inlineStr">
        <is>
          <t>EXTORTION</t>
        </is>
      </c>
      <c r="F70" s="276" t="inlineStr">
        <is>
          <t>P99</t>
        </is>
      </c>
      <c r="G70" s="276" t="n">
        <v>0</v>
      </c>
      <c r="H70" s="276" t="b">
        <v>0</v>
      </c>
      <c r="I70" s="276" t="inlineStr">
        <is>
          <t>D</t>
        </is>
      </c>
      <c r="J70" s="276" t="inlineStr">
        <is>
          <t>SRC-10</t>
        </is>
      </c>
      <c r="K70" s="276" t="n"/>
      <c r="L70" s="276" t="n"/>
      <c r="M70" s="276" t="n"/>
      <c r="N70" s="276" t="n"/>
      <c r="O70" s="276" t="n"/>
      <c r="P70" s="277" t="n"/>
    </row>
    <row r="71">
      <c r="A71" s="275" t="inlineStr">
        <is>
          <t>Nation-state</t>
        </is>
      </c>
      <c r="B71" s="276" t="inlineStr">
        <is>
          <t>SC_DATA</t>
        </is>
      </c>
      <c r="C71" s="276" t="inlineStr">
        <is>
          <t>Sensitive-data compromise</t>
        </is>
      </c>
      <c r="D71" s="276" t="inlineStr">
        <is>
          <t>Direct</t>
        </is>
      </c>
      <c r="E71" s="276" t="inlineStr">
        <is>
          <t>POST_EVENT_UPLIFT</t>
        </is>
      </c>
      <c r="F71" s="276" t="inlineStr">
        <is>
          <t>P99</t>
        </is>
      </c>
      <c r="G71" s="276" t="n">
        <v>8000000</v>
      </c>
      <c r="H71" s="276" t="b">
        <v>1</v>
      </c>
      <c r="I71" s="276" t="inlineStr">
        <is>
          <t>D</t>
        </is>
      </c>
      <c r="J71" s="276" t="inlineStr">
        <is>
          <t>SRC-10</t>
        </is>
      </c>
      <c r="K71" s="276" t="n"/>
      <c r="L71" s="276" t="n"/>
      <c r="M71" s="276" t="n"/>
      <c r="N71" s="276" t="n"/>
      <c r="O71" s="276" t="n"/>
      <c r="P71" s="277" t="n"/>
    </row>
    <row r="72">
      <c r="A72" s="275" t="inlineStr">
        <is>
          <t>Nation-state</t>
        </is>
      </c>
      <c r="B72" s="276" t="inlineStr">
        <is>
          <t>SC_INT</t>
        </is>
      </c>
      <c r="C72" s="276" t="inlineStr">
        <is>
          <t>Data or transaction-integrity compromise</t>
        </is>
      </c>
      <c r="D72" s="276" t="inlineStr">
        <is>
          <t>Duration</t>
        </is>
      </c>
      <c r="E72" s="276" t="inlineStr">
        <is>
          <t>IR_FORENSICS</t>
        </is>
      </c>
      <c r="F72" s="276" t="inlineStr">
        <is>
          <t>P50</t>
        </is>
      </c>
      <c r="G72" s="276" t="n">
        <v>30000</v>
      </c>
      <c r="H72" s="276" t="b">
        <v>1</v>
      </c>
      <c r="I72" s="276" t="inlineStr">
        <is>
          <t>D</t>
        </is>
      </c>
      <c r="J72" s="276" t="inlineStr">
        <is>
          <t>SRC-10</t>
        </is>
      </c>
      <c r="K72" s="276" t="n"/>
      <c r="L72" s="276" t="n"/>
      <c r="M72" s="276" t="n"/>
      <c r="N72" s="276" t="n"/>
      <c r="O72" s="276" t="n"/>
      <c r="P72" s="277" t="n"/>
    </row>
    <row r="73">
      <c r="A73" s="275" t="inlineStr">
        <is>
          <t>Nation-state</t>
        </is>
      </c>
      <c r="B73" s="276" t="inlineStr">
        <is>
          <t>SC_INT</t>
        </is>
      </c>
      <c r="C73" s="276" t="inlineStr">
        <is>
          <t>Data or transaction-integrity compromise</t>
        </is>
      </c>
      <c r="D73" s="276" t="inlineStr">
        <is>
          <t>Duration</t>
        </is>
      </c>
      <c r="E73" s="276" t="inlineStr">
        <is>
          <t>EXTERNAL_RESPONSE</t>
        </is>
      </c>
      <c r="F73" s="276" t="inlineStr">
        <is>
          <t>P50</t>
        </is>
      </c>
      <c r="G73" s="276" t="n">
        <v>60000</v>
      </c>
      <c r="H73" s="276" t="b">
        <v>1</v>
      </c>
      <c r="I73" s="276" t="inlineStr">
        <is>
          <t>D</t>
        </is>
      </c>
      <c r="J73" s="276" t="inlineStr">
        <is>
          <t>SRC-10</t>
        </is>
      </c>
      <c r="K73" s="276" t="n"/>
      <c r="L73" s="276" t="n"/>
      <c r="M73" s="276" t="n"/>
      <c r="N73" s="276" t="n"/>
      <c r="O73" s="276" t="n"/>
      <c r="P73" s="277" t="n"/>
    </row>
    <row r="74">
      <c r="A74" s="275" t="inlineStr">
        <is>
          <t>Nation-state</t>
        </is>
      </c>
      <c r="B74" s="276" t="inlineStr">
        <is>
          <t>SC_INT</t>
        </is>
      </c>
      <c r="C74" s="276" t="inlineStr">
        <is>
          <t>Data or transaction-integrity compromise</t>
        </is>
      </c>
      <c r="D74" s="276" t="inlineStr">
        <is>
          <t>Duration</t>
        </is>
      </c>
      <c r="E74" s="276" t="inlineStr">
        <is>
          <t>LEGAL_RESPONSE</t>
        </is>
      </c>
      <c r="F74" s="276" t="inlineStr">
        <is>
          <t>P50</t>
        </is>
      </c>
      <c r="G74" s="276" t="n">
        <v>100000</v>
      </c>
      <c r="H74" s="276" t="b">
        <v>1</v>
      </c>
      <c r="I74" s="276" t="inlineStr">
        <is>
          <t>D</t>
        </is>
      </c>
      <c r="J74" s="276" t="inlineStr">
        <is>
          <t>SRC-10</t>
        </is>
      </c>
      <c r="K74" s="276" t="n"/>
      <c r="L74" s="276" t="n"/>
      <c r="M74" s="276" t="n"/>
      <c r="N74" s="276" t="n"/>
      <c r="O74" s="276" t="n"/>
      <c r="P74" s="277" t="n"/>
    </row>
    <row r="75">
      <c r="A75" s="275" t="inlineStr">
        <is>
          <t>Nation-state</t>
        </is>
      </c>
      <c r="B75" s="276" t="inlineStr">
        <is>
          <t>SC_INT</t>
        </is>
      </c>
      <c r="C75" s="276" t="inlineStr">
        <is>
          <t>Data or transaction-integrity compromise</t>
        </is>
      </c>
      <c r="D75" s="276" t="inlineStr">
        <is>
          <t>Duration</t>
        </is>
      </c>
      <c r="E75" s="276" t="inlineStr">
        <is>
          <t>RESTORATION</t>
        </is>
      </c>
      <c r="F75" s="276" t="inlineStr">
        <is>
          <t>P50</t>
        </is>
      </c>
      <c r="G75" s="276" t="n">
        <v>40000</v>
      </c>
      <c r="H75" s="276" t="b">
        <v>1</v>
      </c>
      <c r="I75" s="276" t="inlineStr">
        <is>
          <t>D</t>
        </is>
      </c>
      <c r="J75" s="276" t="inlineStr">
        <is>
          <t>SRC-10</t>
        </is>
      </c>
      <c r="K75" s="276" t="n"/>
      <c r="L75" s="276" t="n"/>
      <c r="M75" s="276" t="n"/>
      <c r="N75" s="276" t="n"/>
      <c r="O75" s="276" t="n"/>
      <c r="P75" s="277" t="n"/>
    </row>
    <row r="76">
      <c r="A76" s="275" t="inlineStr">
        <is>
          <t>Nation-state</t>
        </is>
      </c>
      <c r="B76" s="276" t="inlineStr">
        <is>
          <t>SC_INT</t>
        </is>
      </c>
      <c r="C76" s="276" t="inlineStr">
        <is>
          <t>Data or transaction-integrity compromise</t>
        </is>
      </c>
      <c r="D76" s="276" t="inlineStr">
        <is>
          <t>Duration</t>
        </is>
      </c>
      <c r="E76" s="276" t="inlineStr">
        <is>
          <t>BUSINESS_INTERRUPTION</t>
        </is>
      </c>
      <c r="F76" s="276" t="inlineStr">
        <is>
          <t>P50</t>
        </is>
      </c>
      <c r="G76" s="276" t="n">
        <v>1095890.410958904</v>
      </c>
      <c r="H76" s="276" t="b">
        <v>1</v>
      </c>
      <c r="I76" s="276" t="inlineStr">
        <is>
          <t>D</t>
        </is>
      </c>
      <c r="J76" s="276" t="inlineStr">
        <is>
          <t>SRC-10</t>
        </is>
      </c>
      <c r="K76" s="276" t="n"/>
      <c r="L76" s="276" t="n"/>
      <c r="M76" s="276" t="n"/>
      <c r="N76" s="276" t="n"/>
      <c r="O76" s="276" t="n"/>
      <c r="P76" s="277" t="n"/>
    </row>
    <row r="77">
      <c r="A77" s="275" t="inlineStr">
        <is>
          <t>Nation-state</t>
        </is>
      </c>
      <c r="B77" s="276" t="inlineStr">
        <is>
          <t>SC_INT</t>
        </is>
      </c>
      <c r="C77" s="276" t="inlineStr">
        <is>
          <t>Data or transaction-integrity compromise</t>
        </is>
      </c>
      <c r="D77" s="276" t="inlineStr">
        <is>
          <t>Duration</t>
        </is>
      </c>
      <c r="E77" s="276" t="inlineStr">
        <is>
          <t>ENDPOINT_RECOVERY</t>
        </is>
      </c>
      <c r="F77" s="276" t="inlineStr">
        <is>
          <t>P50</t>
        </is>
      </c>
      <c r="G77" s="276" t="n">
        <v>100000</v>
      </c>
      <c r="H77" s="276" t="b">
        <v>1</v>
      </c>
      <c r="I77" s="276" t="inlineStr">
        <is>
          <t>D</t>
        </is>
      </c>
      <c r="J77" s="276" t="inlineStr">
        <is>
          <t>SRC-10</t>
        </is>
      </c>
      <c r="K77" s="276" t="n"/>
      <c r="L77" s="276" t="n"/>
      <c r="M77" s="276" t="n"/>
      <c r="N77" s="276" t="n"/>
      <c r="O77" s="276" t="n"/>
      <c r="P77" s="277" t="n"/>
    </row>
    <row r="78">
      <c r="A78" s="275" t="inlineStr">
        <is>
          <t>Nation-state</t>
        </is>
      </c>
      <c r="B78" s="276" t="inlineStr">
        <is>
          <t>SC_INT</t>
        </is>
      </c>
      <c r="C78" s="276" t="inlineStr">
        <is>
          <t>Data or transaction-integrity compromise</t>
        </is>
      </c>
      <c r="D78" s="276" t="inlineStr">
        <is>
          <t>Duration</t>
        </is>
      </c>
      <c r="E78" s="276" t="inlineStr">
        <is>
          <t>SERVER_RECOVERY</t>
        </is>
      </c>
      <c r="F78" s="276" t="inlineStr">
        <is>
          <t>P50</t>
        </is>
      </c>
      <c r="G78" s="276" t="n">
        <v>250000</v>
      </c>
      <c r="H78" s="276" t="b">
        <v>1</v>
      </c>
      <c r="I78" s="276" t="inlineStr">
        <is>
          <t>D</t>
        </is>
      </c>
      <c r="J78" s="276" t="inlineStr">
        <is>
          <t>SRC-10</t>
        </is>
      </c>
      <c r="K78" s="276" t="n"/>
      <c r="L78" s="276" t="n"/>
      <c r="M78" s="276" t="n"/>
      <c r="N78" s="276" t="n"/>
      <c r="O78" s="276" t="n"/>
      <c r="P78" s="277" t="n"/>
    </row>
    <row r="79">
      <c r="A79" s="275" t="inlineStr">
        <is>
          <t>Nation-state</t>
        </is>
      </c>
      <c r="B79" s="276" t="inlineStr">
        <is>
          <t>SC_INT</t>
        </is>
      </c>
      <c r="C79" s="276" t="inlineStr">
        <is>
          <t>Data or transaction-integrity compromise</t>
        </is>
      </c>
      <c r="D79" s="276" t="inlineStr">
        <is>
          <t>Exposure</t>
        </is>
      </c>
      <c r="E79" s="276" t="inlineStr">
        <is>
          <t>NOTIFICATION</t>
        </is>
      </c>
      <c r="F79" s="276" t="inlineStr">
        <is>
          <t>P50</t>
        </is>
      </c>
      <c r="G79" s="276" t="n">
        <v>0</v>
      </c>
      <c r="H79" s="276" t="b">
        <v>0</v>
      </c>
      <c r="I79" s="276" t="inlineStr">
        <is>
          <t>D</t>
        </is>
      </c>
      <c r="J79" s="276" t="inlineStr">
        <is>
          <t>SRC-10</t>
        </is>
      </c>
      <c r="K79" s="276" t="n"/>
      <c r="L79" s="276" t="n"/>
      <c r="M79" s="276" t="n"/>
      <c r="N79" s="276" t="n"/>
      <c r="O79" s="276" t="n"/>
      <c r="P79" s="277" t="n"/>
    </row>
    <row r="80">
      <c r="A80" s="275" t="inlineStr">
        <is>
          <t>Nation-state</t>
        </is>
      </c>
      <c r="B80" s="276" t="inlineStr">
        <is>
          <t>SC_INT</t>
        </is>
      </c>
      <c r="C80" s="276" t="inlineStr">
        <is>
          <t>Data or transaction-integrity compromise</t>
        </is>
      </c>
      <c r="D80" s="276" t="inlineStr">
        <is>
          <t>Exposure</t>
        </is>
      </c>
      <c r="E80" s="276" t="inlineStr">
        <is>
          <t>CREDIT_MONITORING</t>
        </is>
      </c>
      <c r="F80" s="276" t="inlineStr">
        <is>
          <t>P50</t>
        </is>
      </c>
      <c r="G80" s="276" t="n">
        <v>0</v>
      </c>
      <c r="H80" s="276" t="b">
        <v>0</v>
      </c>
      <c r="I80" s="276" t="inlineStr">
        <is>
          <t>D</t>
        </is>
      </c>
      <c r="J80" s="276" t="inlineStr">
        <is>
          <t>SRC-10</t>
        </is>
      </c>
      <c r="K80" s="276" t="n"/>
      <c r="L80" s="276" t="n"/>
      <c r="M80" s="276" t="n"/>
      <c r="N80" s="276" t="n"/>
      <c r="O80" s="276" t="n"/>
      <c r="P80" s="277" t="n"/>
    </row>
    <row r="81">
      <c r="A81" s="275" t="inlineStr">
        <is>
          <t>Nation-state</t>
        </is>
      </c>
      <c r="B81" s="276" t="inlineStr">
        <is>
          <t>SC_INT</t>
        </is>
      </c>
      <c r="C81" s="276" t="inlineStr">
        <is>
          <t>Data or transaction-integrity compromise</t>
        </is>
      </c>
      <c r="D81" s="276" t="inlineStr">
        <is>
          <t>Exposure</t>
        </is>
      </c>
      <c r="E81" s="276" t="inlineStr">
        <is>
          <t>REGULATORY</t>
        </is>
      </c>
      <c r="F81" s="276" t="inlineStr">
        <is>
          <t>P50</t>
        </is>
      </c>
      <c r="G81" s="276" t="n">
        <v>500000</v>
      </c>
      <c r="H81" s="276" t="b">
        <v>1</v>
      </c>
      <c r="I81" s="276" t="inlineStr">
        <is>
          <t>D</t>
        </is>
      </c>
      <c r="J81" s="276" t="inlineStr">
        <is>
          <t>SRC-10</t>
        </is>
      </c>
      <c r="K81" s="276" t="n"/>
      <c r="L81" s="276" t="n"/>
      <c r="M81" s="276" t="n"/>
      <c r="N81" s="276" t="n"/>
      <c r="O81" s="276" t="n"/>
      <c r="P81" s="277" t="n"/>
    </row>
    <row r="82">
      <c r="A82" s="275" t="inlineStr">
        <is>
          <t>Nation-state</t>
        </is>
      </c>
      <c r="B82" s="276" t="inlineStr">
        <is>
          <t>SC_INT</t>
        </is>
      </c>
      <c r="C82" s="276" t="inlineStr">
        <is>
          <t>Data or transaction-integrity compromise</t>
        </is>
      </c>
      <c r="D82" s="276" t="inlineStr">
        <is>
          <t>Exposure</t>
        </is>
      </c>
      <c r="E82" s="276" t="inlineStr">
        <is>
          <t>CUSTOMER_ATTRITION</t>
        </is>
      </c>
      <c r="F82" s="276" t="inlineStr">
        <is>
          <t>P50</t>
        </is>
      </c>
      <c r="G82" s="276" t="n">
        <v>1000000</v>
      </c>
      <c r="H82" s="276" t="b">
        <v>1</v>
      </c>
      <c r="I82" s="276" t="inlineStr">
        <is>
          <t>D</t>
        </is>
      </c>
      <c r="J82" s="276" t="inlineStr">
        <is>
          <t>SRC-10</t>
        </is>
      </c>
      <c r="K82" s="276" t="n"/>
      <c r="L82" s="276" t="n"/>
      <c r="M82" s="276" t="n"/>
      <c r="N82" s="276" t="n"/>
      <c r="O82" s="276" t="n"/>
      <c r="P82" s="277" t="n"/>
    </row>
    <row r="83">
      <c r="A83" s="275" t="inlineStr">
        <is>
          <t>Nation-state</t>
        </is>
      </c>
      <c r="B83" s="276" t="inlineStr">
        <is>
          <t>SC_INT</t>
        </is>
      </c>
      <c r="C83" s="276" t="inlineStr">
        <is>
          <t>Data or transaction-integrity compromise</t>
        </is>
      </c>
      <c r="D83" s="276" t="inlineStr">
        <is>
          <t>Direct</t>
        </is>
      </c>
      <c r="E83" s="276" t="inlineStr">
        <is>
          <t>FRAUD_NET_RECOVERY</t>
        </is>
      </c>
      <c r="F83" s="276" t="inlineStr">
        <is>
          <t>P50</t>
        </is>
      </c>
      <c r="G83" s="276" t="n">
        <v>0</v>
      </c>
      <c r="H83" s="276" t="b">
        <v>0</v>
      </c>
      <c r="I83" s="276" t="inlineStr">
        <is>
          <t>D</t>
        </is>
      </c>
      <c r="J83" s="276" t="inlineStr">
        <is>
          <t>SRC-10</t>
        </is>
      </c>
      <c r="K83" s="276" t="n"/>
      <c r="L83" s="276" t="n"/>
      <c r="M83" s="276" t="n"/>
      <c r="N83" s="276" t="n"/>
      <c r="O83" s="276" t="n"/>
      <c r="P83" s="277" t="n"/>
    </row>
    <row r="84">
      <c r="A84" s="275" t="inlineStr">
        <is>
          <t>Nation-state</t>
        </is>
      </c>
      <c r="B84" s="276" t="inlineStr">
        <is>
          <t>SC_INT</t>
        </is>
      </c>
      <c r="C84" s="276" t="inlineStr">
        <is>
          <t>Data or transaction-integrity compromise</t>
        </is>
      </c>
      <c r="D84" s="276" t="inlineStr">
        <is>
          <t>Direct</t>
        </is>
      </c>
      <c r="E84" s="276" t="inlineStr">
        <is>
          <t>EXTORTION</t>
        </is>
      </c>
      <c r="F84" s="276" t="inlineStr">
        <is>
          <t>P50</t>
        </is>
      </c>
      <c r="G84" s="276" t="n">
        <v>0</v>
      </c>
      <c r="H84" s="276" t="b">
        <v>0</v>
      </c>
      <c r="I84" s="276" t="inlineStr">
        <is>
          <t>D</t>
        </is>
      </c>
      <c r="J84" s="276" t="inlineStr">
        <is>
          <t>SRC-10</t>
        </is>
      </c>
      <c r="K84" s="276" t="n"/>
      <c r="L84" s="276" t="n"/>
      <c r="M84" s="276" t="n"/>
      <c r="N84" s="276" t="n"/>
      <c r="O84" s="276" t="n"/>
      <c r="P84" s="277" t="n"/>
    </row>
    <row r="85">
      <c r="A85" s="275" t="inlineStr">
        <is>
          <t>Nation-state</t>
        </is>
      </c>
      <c r="B85" s="276" t="inlineStr">
        <is>
          <t>SC_INT</t>
        </is>
      </c>
      <c r="C85" s="276" t="inlineStr">
        <is>
          <t>Data or transaction-integrity compromise</t>
        </is>
      </c>
      <c r="D85" s="276" t="inlineStr">
        <is>
          <t>Direct</t>
        </is>
      </c>
      <c r="E85" s="276" t="inlineStr">
        <is>
          <t>POST_EVENT_UPLIFT</t>
        </is>
      </c>
      <c r="F85" s="276" t="inlineStr">
        <is>
          <t>P50</t>
        </is>
      </c>
      <c r="G85" s="276" t="n">
        <v>1000000</v>
      </c>
      <c r="H85" s="276" t="b">
        <v>1</v>
      </c>
      <c r="I85" s="276" t="inlineStr">
        <is>
          <t>D</t>
        </is>
      </c>
      <c r="J85" s="276" t="inlineStr">
        <is>
          <t>SRC-10</t>
        </is>
      </c>
      <c r="K85" s="276" t="n"/>
      <c r="L85" s="276" t="n"/>
      <c r="M85" s="276" t="n"/>
      <c r="N85" s="276" t="n"/>
      <c r="O85" s="276" t="n"/>
      <c r="P85" s="277" t="n"/>
    </row>
    <row r="86">
      <c r="A86" s="275" t="inlineStr">
        <is>
          <t>Nation-state</t>
        </is>
      </c>
      <c r="B86" s="276" t="inlineStr">
        <is>
          <t>SC_INT</t>
        </is>
      </c>
      <c r="C86" s="276" t="inlineStr">
        <is>
          <t>Data or transaction-integrity compromise</t>
        </is>
      </c>
      <c r="D86" s="276" t="inlineStr">
        <is>
          <t>Duration</t>
        </is>
      </c>
      <c r="E86" s="276" t="inlineStr">
        <is>
          <t>IR_FORENSICS</t>
        </is>
      </c>
      <c r="F86" s="276" t="inlineStr">
        <is>
          <t>P99</t>
        </is>
      </c>
      <c r="G86" s="276" t="n">
        <v>360000</v>
      </c>
      <c r="H86" s="276" t="b">
        <v>1</v>
      </c>
      <c r="I86" s="276" t="inlineStr">
        <is>
          <t>D</t>
        </is>
      </c>
      <c r="J86" s="276" t="inlineStr">
        <is>
          <t>SRC-10</t>
        </is>
      </c>
      <c r="K86" s="276" t="n"/>
      <c r="L86" s="276" t="n"/>
      <c r="M86" s="276" t="n"/>
      <c r="N86" s="276" t="n"/>
      <c r="O86" s="276" t="n"/>
      <c r="P86" s="277" t="n"/>
    </row>
    <row r="87">
      <c r="A87" s="275" t="inlineStr">
        <is>
          <t>Nation-state</t>
        </is>
      </c>
      <c r="B87" s="276" t="inlineStr">
        <is>
          <t>SC_INT</t>
        </is>
      </c>
      <c r="C87" s="276" t="inlineStr">
        <is>
          <t>Data or transaction-integrity compromise</t>
        </is>
      </c>
      <c r="D87" s="276" t="inlineStr">
        <is>
          <t>Duration</t>
        </is>
      </c>
      <c r="E87" s="276" t="inlineStr">
        <is>
          <t>EXTERNAL_RESPONSE</t>
        </is>
      </c>
      <c r="F87" s="276" t="inlineStr">
        <is>
          <t>P99</t>
        </is>
      </c>
      <c r="G87" s="276" t="n">
        <v>750000</v>
      </c>
      <c r="H87" s="276" t="b">
        <v>1</v>
      </c>
      <c r="I87" s="276" t="inlineStr">
        <is>
          <t>D</t>
        </is>
      </c>
      <c r="J87" s="276" t="inlineStr">
        <is>
          <t>SRC-10</t>
        </is>
      </c>
      <c r="K87" s="276" t="n"/>
      <c r="L87" s="276" t="n"/>
      <c r="M87" s="276" t="n"/>
      <c r="N87" s="276" t="n"/>
      <c r="O87" s="276" t="n"/>
      <c r="P87" s="277" t="n"/>
    </row>
    <row r="88">
      <c r="A88" s="275" t="inlineStr">
        <is>
          <t>Nation-state</t>
        </is>
      </c>
      <c r="B88" s="276" t="inlineStr">
        <is>
          <t>SC_INT</t>
        </is>
      </c>
      <c r="C88" s="276" t="inlineStr">
        <is>
          <t>Data or transaction-integrity compromise</t>
        </is>
      </c>
      <c r="D88" s="276" t="inlineStr">
        <is>
          <t>Duration</t>
        </is>
      </c>
      <c r="E88" s="276" t="inlineStr">
        <is>
          <t>LEGAL_RESPONSE</t>
        </is>
      </c>
      <c r="F88" s="276" t="inlineStr">
        <is>
          <t>P99</t>
        </is>
      </c>
      <c r="G88" s="276" t="n">
        <v>1200000</v>
      </c>
      <c r="H88" s="276" t="b">
        <v>1</v>
      </c>
      <c r="I88" s="276" t="inlineStr">
        <is>
          <t>D</t>
        </is>
      </c>
      <c r="J88" s="276" t="inlineStr">
        <is>
          <t>SRC-10</t>
        </is>
      </c>
      <c r="K88" s="276" t="n"/>
      <c r="L88" s="276" t="n"/>
      <c r="M88" s="276" t="n"/>
      <c r="N88" s="276" t="n"/>
      <c r="O88" s="276" t="n"/>
      <c r="P88" s="277" t="n"/>
    </row>
    <row r="89">
      <c r="A89" s="275" t="inlineStr">
        <is>
          <t>Nation-state</t>
        </is>
      </c>
      <c r="B89" s="276" t="inlineStr">
        <is>
          <t>SC_INT</t>
        </is>
      </c>
      <c r="C89" s="276" t="inlineStr">
        <is>
          <t>Data or transaction-integrity compromise</t>
        </is>
      </c>
      <c r="D89" s="276" t="inlineStr">
        <is>
          <t>Duration</t>
        </is>
      </c>
      <c r="E89" s="276" t="inlineStr">
        <is>
          <t>RESTORATION</t>
        </is>
      </c>
      <c r="F89" s="276" t="inlineStr">
        <is>
          <t>P99</t>
        </is>
      </c>
      <c r="G89" s="276" t="n">
        <v>600000</v>
      </c>
      <c r="H89" s="276" t="b">
        <v>1</v>
      </c>
      <c r="I89" s="276" t="inlineStr">
        <is>
          <t>D</t>
        </is>
      </c>
      <c r="J89" s="276" t="inlineStr">
        <is>
          <t>SRC-10</t>
        </is>
      </c>
      <c r="K89" s="276" t="n"/>
      <c r="L89" s="276" t="n"/>
      <c r="M89" s="276" t="n"/>
      <c r="N89" s="276" t="n"/>
      <c r="O89" s="276" t="n"/>
      <c r="P89" s="277" t="n"/>
    </row>
    <row r="90">
      <c r="A90" s="275" t="inlineStr">
        <is>
          <t>Nation-state</t>
        </is>
      </c>
      <c r="B90" s="276" t="inlineStr">
        <is>
          <t>SC_INT</t>
        </is>
      </c>
      <c r="C90" s="276" t="inlineStr">
        <is>
          <t>Data or transaction-integrity compromise</t>
        </is>
      </c>
      <c r="D90" s="276" t="inlineStr">
        <is>
          <t>Duration</t>
        </is>
      </c>
      <c r="E90" s="276" t="inlineStr">
        <is>
          <t>BUSINESS_INTERRUPTION</t>
        </is>
      </c>
      <c r="F90" s="276" t="inlineStr">
        <is>
          <t>P99</t>
        </is>
      </c>
      <c r="G90" s="276" t="n">
        <v>38356164.38356164</v>
      </c>
      <c r="H90" s="276" t="b">
        <v>1</v>
      </c>
      <c r="I90" s="276" t="inlineStr">
        <is>
          <t>D</t>
        </is>
      </c>
      <c r="J90" s="276" t="inlineStr">
        <is>
          <t>SRC-10</t>
        </is>
      </c>
      <c r="K90" s="276" t="n"/>
      <c r="L90" s="276" t="n"/>
      <c r="M90" s="276" t="n"/>
      <c r="N90" s="276" t="n"/>
      <c r="O90" s="276" t="n"/>
      <c r="P90" s="277" t="n"/>
    </row>
    <row r="91">
      <c r="A91" s="275" t="inlineStr">
        <is>
          <t>Nation-state</t>
        </is>
      </c>
      <c r="B91" s="276" t="inlineStr">
        <is>
          <t>SC_INT</t>
        </is>
      </c>
      <c r="C91" s="276" t="inlineStr">
        <is>
          <t>Data or transaction-integrity compromise</t>
        </is>
      </c>
      <c r="D91" s="276" t="inlineStr">
        <is>
          <t>Duration</t>
        </is>
      </c>
      <c r="E91" s="276" t="inlineStr">
        <is>
          <t>ENDPOINT_RECOVERY</t>
        </is>
      </c>
      <c r="F91" s="276" t="inlineStr">
        <is>
          <t>P99</t>
        </is>
      </c>
      <c r="G91" s="276" t="n">
        <v>1000000</v>
      </c>
      <c r="H91" s="276" t="b">
        <v>1</v>
      </c>
      <c r="I91" s="276" t="inlineStr">
        <is>
          <t>D</t>
        </is>
      </c>
      <c r="J91" s="276" t="inlineStr">
        <is>
          <t>SRC-10</t>
        </is>
      </c>
      <c r="K91" s="276" t="n"/>
      <c r="L91" s="276" t="n"/>
      <c r="M91" s="276" t="n"/>
      <c r="N91" s="276" t="n"/>
      <c r="O91" s="276" t="n"/>
      <c r="P91" s="277" t="n"/>
    </row>
    <row r="92">
      <c r="A92" s="275" t="inlineStr">
        <is>
          <t>Nation-state</t>
        </is>
      </c>
      <c r="B92" s="276" t="inlineStr">
        <is>
          <t>SC_INT</t>
        </is>
      </c>
      <c r="C92" s="276" t="inlineStr">
        <is>
          <t>Data or transaction-integrity compromise</t>
        </is>
      </c>
      <c r="D92" s="276" t="inlineStr">
        <is>
          <t>Duration</t>
        </is>
      </c>
      <c r="E92" s="276" t="inlineStr">
        <is>
          <t>SERVER_RECOVERY</t>
        </is>
      </c>
      <c r="F92" s="276" t="inlineStr">
        <is>
          <t>P99</t>
        </is>
      </c>
      <c r="G92" s="276" t="n">
        <v>2000000</v>
      </c>
      <c r="H92" s="276" t="b">
        <v>1</v>
      </c>
      <c r="I92" s="276" t="inlineStr">
        <is>
          <t>D</t>
        </is>
      </c>
      <c r="J92" s="276" t="inlineStr">
        <is>
          <t>SRC-10</t>
        </is>
      </c>
      <c r="K92" s="276" t="n"/>
      <c r="L92" s="276" t="n"/>
      <c r="M92" s="276" t="n"/>
      <c r="N92" s="276" t="n"/>
      <c r="O92" s="276" t="n"/>
      <c r="P92" s="277" t="n"/>
    </row>
    <row r="93">
      <c r="A93" s="275" t="inlineStr">
        <is>
          <t>Nation-state</t>
        </is>
      </c>
      <c r="B93" s="276" t="inlineStr">
        <is>
          <t>SC_INT</t>
        </is>
      </c>
      <c r="C93" s="276" t="inlineStr">
        <is>
          <t>Data or transaction-integrity compromise</t>
        </is>
      </c>
      <c r="D93" s="276" t="inlineStr">
        <is>
          <t>Exposure</t>
        </is>
      </c>
      <c r="E93" s="276" t="inlineStr">
        <is>
          <t>NOTIFICATION</t>
        </is>
      </c>
      <c r="F93" s="276" t="inlineStr">
        <is>
          <t>P99</t>
        </is>
      </c>
      <c r="G93" s="276" t="n">
        <v>0</v>
      </c>
      <c r="H93" s="276" t="b">
        <v>0</v>
      </c>
      <c r="I93" s="276" t="inlineStr">
        <is>
          <t>D</t>
        </is>
      </c>
      <c r="J93" s="276" t="inlineStr">
        <is>
          <t>SRC-10</t>
        </is>
      </c>
      <c r="K93" s="276" t="n"/>
      <c r="L93" s="276" t="n"/>
      <c r="M93" s="276" t="n"/>
      <c r="N93" s="276" t="n"/>
      <c r="O93" s="276" t="n"/>
      <c r="P93" s="277" t="n"/>
    </row>
    <row r="94">
      <c r="A94" s="275" t="inlineStr">
        <is>
          <t>Nation-state</t>
        </is>
      </c>
      <c r="B94" s="276" t="inlineStr">
        <is>
          <t>SC_INT</t>
        </is>
      </c>
      <c r="C94" s="276" t="inlineStr">
        <is>
          <t>Data or transaction-integrity compromise</t>
        </is>
      </c>
      <c r="D94" s="276" t="inlineStr">
        <is>
          <t>Exposure</t>
        </is>
      </c>
      <c r="E94" s="276" t="inlineStr">
        <is>
          <t>CREDIT_MONITORING</t>
        </is>
      </c>
      <c r="F94" s="276" t="inlineStr">
        <is>
          <t>P99</t>
        </is>
      </c>
      <c r="G94" s="276" t="n">
        <v>0</v>
      </c>
      <c r="H94" s="276" t="b">
        <v>0</v>
      </c>
      <c r="I94" s="276" t="inlineStr">
        <is>
          <t>D</t>
        </is>
      </c>
      <c r="J94" s="276" t="inlineStr">
        <is>
          <t>SRC-10</t>
        </is>
      </c>
      <c r="K94" s="276" t="n"/>
      <c r="L94" s="276" t="n"/>
      <c r="M94" s="276" t="n"/>
      <c r="N94" s="276" t="n"/>
      <c r="O94" s="276" t="n"/>
      <c r="P94" s="277" t="n"/>
    </row>
    <row r="95">
      <c r="A95" s="275" t="inlineStr">
        <is>
          <t>Nation-state</t>
        </is>
      </c>
      <c r="B95" s="276" t="inlineStr">
        <is>
          <t>SC_INT</t>
        </is>
      </c>
      <c r="C95" s="276" t="inlineStr">
        <is>
          <t>Data or transaction-integrity compromise</t>
        </is>
      </c>
      <c r="D95" s="276" t="inlineStr">
        <is>
          <t>Exposure</t>
        </is>
      </c>
      <c r="E95" s="276" t="inlineStr">
        <is>
          <t>REGULATORY</t>
        </is>
      </c>
      <c r="F95" s="276" t="inlineStr">
        <is>
          <t>P99</t>
        </is>
      </c>
      <c r="G95" s="276" t="n">
        <v>6000000</v>
      </c>
      <c r="H95" s="276" t="b">
        <v>1</v>
      </c>
      <c r="I95" s="276" t="inlineStr">
        <is>
          <t>D</t>
        </is>
      </c>
      <c r="J95" s="276" t="inlineStr">
        <is>
          <t>SRC-10</t>
        </is>
      </c>
      <c r="K95" s="276" t="n"/>
      <c r="L95" s="276" t="n"/>
      <c r="M95" s="276" t="n"/>
      <c r="N95" s="276" t="n"/>
      <c r="O95" s="276" t="n"/>
      <c r="P95" s="277" t="n"/>
    </row>
    <row r="96">
      <c r="A96" s="275" t="inlineStr">
        <is>
          <t>Nation-state</t>
        </is>
      </c>
      <c r="B96" s="276" t="inlineStr">
        <is>
          <t>SC_INT</t>
        </is>
      </c>
      <c r="C96" s="276" t="inlineStr">
        <is>
          <t>Data or transaction-integrity compromise</t>
        </is>
      </c>
      <c r="D96" s="276" t="inlineStr">
        <is>
          <t>Exposure</t>
        </is>
      </c>
      <c r="E96" s="276" t="inlineStr">
        <is>
          <t>CUSTOMER_ATTRITION</t>
        </is>
      </c>
      <c r="F96" s="276" t="inlineStr">
        <is>
          <t>P99</t>
        </is>
      </c>
      <c r="G96" s="276" t="n">
        <v>20000000</v>
      </c>
      <c r="H96" s="276" t="b">
        <v>1</v>
      </c>
      <c r="I96" s="276" t="inlineStr">
        <is>
          <t>D</t>
        </is>
      </c>
      <c r="J96" s="276" t="inlineStr">
        <is>
          <t>SRC-10</t>
        </is>
      </c>
      <c r="K96" s="276" t="n"/>
      <c r="L96" s="276" t="n"/>
      <c r="M96" s="276" t="n"/>
      <c r="N96" s="276" t="n"/>
      <c r="O96" s="276" t="n"/>
      <c r="P96" s="277" t="n"/>
    </row>
    <row r="97">
      <c r="A97" s="275" t="inlineStr">
        <is>
          <t>Nation-state</t>
        </is>
      </c>
      <c r="B97" s="276" t="inlineStr">
        <is>
          <t>SC_INT</t>
        </is>
      </c>
      <c r="C97" s="276" t="inlineStr">
        <is>
          <t>Data or transaction-integrity compromise</t>
        </is>
      </c>
      <c r="D97" s="276" t="inlineStr">
        <is>
          <t>Direct</t>
        </is>
      </c>
      <c r="E97" s="276" t="inlineStr">
        <is>
          <t>FRAUD_NET_RECOVERY</t>
        </is>
      </c>
      <c r="F97" s="276" t="inlineStr">
        <is>
          <t>P99</t>
        </is>
      </c>
      <c r="G97" s="276" t="n">
        <v>0</v>
      </c>
      <c r="H97" s="276" t="b">
        <v>0</v>
      </c>
      <c r="I97" s="276" t="inlineStr">
        <is>
          <t>D</t>
        </is>
      </c>
      <c r="J97" s="276" t="inlineStr">
        <is>
          <t>SRC-10</t>
        </is>
      </c>
      <c r="K97" s="276" t="n"/>
      <c r="L97" s="276" t="n"/>
      <c r="M97" s="276" t="n"/>
      <c r="N97" s="276" t="n"/>
      <c r="O97" s="276" t="n"/>
      <c r="P97" s="277" t="n"/>
    </row>
    <row r="98">
      <c r="A98" s="275" t="inlineStr">
        <is>
          <t>Nation-state</t>
        </is>
      </c>
      <c r="B98" s="276" t="inlineStr">
        <is>
          <t>SC_INT</t>
        </is>
      </c>
      <c r="C98" s="276" t="inlineStr">
        <is>
          <t>Data or transaction-integrity compromise</t>
        </is>
      </c>
      <c r="D98" s="276" t="inlineStr">
        <is>
          <t>Direct</t>
        </is>
      </c>
      <c r="E98" s="276" t="inlineStr">
        <is>
          <t>EXTORTION</t>
        </is>
      </c>
      <c r="F98" s="276" t="inlineStr">
        <is>
          <t>P99</t>
        </is>
      </c>
      <c r="G98" s="276" t="n">
        <v>0</v>
      </c>
      <c r="H98" s="276" t="b">
        <v>0</v>
      </c>
      <c r="I98" s="276" t="inlineStr">
        <is>
          <t>D</t>
        </is>
      </c>
      <c r="J98" s="276" t="inlineStr">
        <is>
          <t>SRC-10</t>
        </is>
      </c>
      <c r="K98" s="276" t="n"/>
      <c r="L98" s="276" t="n"/>
      <c r="M98" s="276" t="n"/>
      <c r="N98" s="276" t="n"/>
      <c r="O98" s="276" t="n"/>
      <c r="P98" s="277" t="n"/>
    </row>
    <row r="99">
      <c r="A99" s="275" t="inlineStr">
        <is>
          <t>Nation-state</t>
        </is>
      </c>
      <c r="B99" s="276" t="inlineStr">
        <is>
          <t>SC_INT</t>
        </is>
      </c>
      <c r="C99" s="276" t="inlineStr">
        <is>
          <t>Data or transaction-integrity compromise</t>
        </is>
      </c>
      <c r="D99" s="276" t="inlineStr">
        <is>
          <t>Direct</t>
        </is>
      </c>
      <c r="E99" s="276" t="inlineStr">
        <is>
          <t>POST_EVENT_UPLIFT</t>
        </is>
      </c>
      <c r="F99" s="276" t="inlineStr">
        <is>
          <t>P99</t>
        </is>
      </c>
      <c r="G99" s="276" t="n">
        <v>8000000</v>
      </c>
      <c r="H99" s="276" t="b">
        <v>1</v>
      </c>
      <c r="I99" s="276" t="inlineStr">
        <is>
          <t>D</t>
        </is>
      </c>
      <c r="J99" s="276" t="inlineStr">
        <is>
          <t>SRC-10</t>
        </is>
      </c>
      <c r="K99" s="276" t="n"/>
      <c r="L99" s="276" t="n"/>
      <c r="M99" s="276" t="n"/>
      <c r="N99" s="276" t="n"/>
      <c r="O99" s="276" t="n"/>
      <c r="P99" s="277" t="n"/>
    </row>
    <row r="100">
      <c r="A100" s="275" t="inlineStr">
        <is>
          <t>Nation-state</t>
        </is>
      </c>
      <c r="B100" s="276" t="inlineStr">
        <is>
          <t>SC_FRAUD</t>
        </is>
      </c>
      <c r="C100" s="276" t="inlineStr">
        <is>
          <t>Cyber-enabled theft or fraud</t>
        </is>
      </c>
      <c r="D100" s="276" t="inlineStr">
        <is>
          <t>Duration</t>
        </is>
      </c>
      <c r="E100" s="276" t="inlineStr">
        <is>
          <t>IR_FORENSICS</t>
        </is>
      </c>
      <c r="F100" s="276" t="inlineStr">
        <is>
          <t>P50</t>
        </is>
      </c>
      <c r="G100" s="276" t="n">
        <v>20000</v>
      </c>
      <c r="H100" s="276" t="b">
        <v>1</v>
      </c>
      <c r="I100" s="276" t="inlineStr">
        <is>
          <t>D</t>
        </is>
      </c>
      <c r="J100" s="276" t="inlineStr">
        <is>
          <t>SRC-10</t>
        </is>
      </c>
      <c r="K100" s="276" t="n"/>
      <c r="L100" s="276" t="n"/>
      <c r="M100" s="276" t="n"/>
      <c r="N100" s="276" t="n"/>
      <c r="O100" s="276" t="n"/>
      <c r="P100" s="277" t="n"/>
    </row>
    <row r="101">
      <c r="A101" s="275" t="inlineStr">
        <is>
          <t>Nation-state</t>
        </is>
      </c>
      <c r="B101" s="276" t="inlineStr">
        <is>
          <t>SC_FRAUD</t>
        </is>
      </c>
      <c r="C101" s="276" t="inlineStr">
        <is>
          <t>Cyber-enabled theft or fraud</t>
        </is>
      </c>
      <c r="D101" s="276" t="inlineStr">
        <is>
          <t>Duration</t>
        </is>
      </c>
      <c r="E101" s="276" t="inlineStr">
        <is>
          <t>EXTERNAL_RESPONSE</t>
        </is>
      </c>
      <c r="F101" s="276" t="inlineStr">
        <is>
          <t>P50</t>
        </is>
      </c>
      <c r="G101" s="276" t="n">
        <v>30000</v>
      </c>
      <c r="H101" s="276" t="b">
        <v>1</v>
      </c>
      <c r="I101" s="276" t="inlineStr">
        <is>
          <t>D</t>
        </is>
      </c>
      <c r="J101" s="276" t="inlineStr">
        <is>
          <t>SRC-10</t>
        </is>
      </c>
      <c r="K101" s="276" t="n"/>
      <c r="L101" s="276" t="n"/>
      <c r="M101" s="276" t="n"/>
      <c r="N101" s="276" t="n"/>
      <c r="O101" s="276" t="n"/>
      <c r="P101" s="277" t="n"/>
    </row>
    <row r="102">
      <c r="A102" s="275" t="inlineStr">
        <is>
          <t>Nation-state</t>
        </is>
      </c>
      <c r="B102" s="276" t="inlineStr">
        <is>
          <t>SC_FRAUD</t>
        </is>
      </c>
      <c r="C102" s="276" t="inlineStr">
        <is>
          <t>Cyber-enabled theft or fraud</t>
        </is>
      </c>
      <c r="D102" s="276" t="inlineStr">
        <is>
          <t>Duration</t>
        </is>
      </c>
      <c r="E102" s="276" t="inlineStr">
        <is>
          <t>LEGAL_RESPONSE</t>
        </is>
      </c>
      <c r="F102" s="276" t="inlineStr">
        <is>
          <t>P50</t>
        </is>
      </c>
      <c r="G102" s="276" t="n">
        <v>75000</v>
      </c>
      <c r="H102" s="276" t="b">
        <v>1</v>
      </c>
      <c r="I102" s="276" t="inlineStr">
        <is>
          <t>D</t>
        </is>
      </c>
      <c r="J102" s="276" t="inlineStr">
        <is>
          <t>SRC-10</t>
        </is>
      </c>
      <c r="K102" s="276" t="n"/>
      <c r="L102" s="276" t="n"/>
      <c r="M102" s="276" t="n"/>
      <c r="N102" s="276" t="n"/>
      <c r="O102" s="276" t="n"/>
      <c r="P102" s="277" t="n"/>
    </row>
    <row r="103">
      <c r="A103" s="275" t="inlineStr">
        <is>
          <t>Nation-state</t>
        </is>
      </c>
      <c r="B103" s="276" t="inlineStr">
        <is>
          <t>SC_FRAUD</t>
        </is>
      </c>
      <c r="C103" s="276" t="inlineStr">
        <is>
          <t>Cyber-enabled theft or fraud</t>
        </is>
      </c>
      <c r="D103" s="276" t="inlineStr">
        <is>
          <t>Duration</t>
        </is>
      </c>
      <c r="E103" s="276" t="inlineStr">
        <is>
          <t>RESTORATION</t>
        </is>
      </c>
      <c r="F103" s="276" t="inlineStr">
        <is>
          <t>P50</t>
        </is>
      </c>
      <c r="G103" s="276" t="n">
        <v>10000</v>
      </c>
      <c r="H103" s="276" t="b">
        <v>1</v>
      </c>
      <c r="I103" s="276" t="inlineStr">
        <is>
          <t>D</t>
        </is>
      </c>
      <c r="J103" s="276" t="inlineStr">
        <is>
          <t>SRC-10</t>
        </is>
      </c>
      <c r="K103" s="276" t="n"/>
      <c r="L103" s="276" t="n"/>
      <c r="M103" s="276" t="n"/>
      <c r="N103" s="276" t="n"/>
      <c r="O103" s="276" t="n"/>
      <c r="P103" s="277" t="n"/>
    </row>
    <row r="104">
      <c r="A104" s="275" t="inlineStr">
        <is>
          <t>Nation-state</t>
        </is>
      </c>
      <c r="B104" s="276" t="inlineStr">
        <is>
          <t>SC_FRAUD</t>
        </is>
      </c>
      <c r="C104" s="276" t="inlineStr">
        <is>
          <t>Cyber-enabled theft or fraud</t>
        </is>
      </c>
      <c r="D104" s="276" t="inlineStr">
        <is>
          <t>Duration</t>
        </is>
      </c>
      <c r="E104" s="276" t="inlineStr">
        <is>
          <t>BUSINESS_INTERRUPTION</t>
        </is>
      </c>
      <c r="F104" s="276" t="inlineStr">
        <is>
          <t>P50</t>
        </is>
      </c>
      <c r="G104" s="276" t="n">
        <v>0</v>
      </c>
      <c r="H104" s="276" t="b">
        <v>0</v>
      </c>
      <c r="I104" s="276" t="inlineStr">
        <is>
          <t>D</t>
        </is>
      </c>
      <c r="J104" s="276" t="inlineStr">
        <is>
          <t>SRC-10</t>
        </is>
      </c>
      <c r="K104" s="276" t="n"/>
      <c r="L104" s="276" t="n"/>
      <c r="M104" s="276" t="n"/>
      <c r="N104" s="276" t="n"/>
      <c r="O104" s="276" t="n"/>
      <c r="P104" s="277" t="n"/>
    </row>
    <row r="105">
      <c r="A105" s="275" t="inlineStr">
        <is>
          <t>Nation-state</t>
        </is>
      </c>
      <c r="B105" s="276" t="inlineStr">
        <is>
          <t>SC_FRAUD</t>
        </is>
      </c>
      <c r="C105" s="276" t="inlineStr">
        <is>
          <t>Cyber-enabled theft or fraud</t>
        </is>
      </c>
      <c r="D105" s="276" t="inlineStr">
        <is>
          <t>Duration</t>
        </is>
      </c>
      <c r="E105" s="276" t="inlineStr">
        <is>
          <t>ENDPOINT_RECOVERY</t>
        </is>
      </c>
      <c r="F105" s="276" t="inlineStr">
        <is>
          <t>P50</t>
        </is>
      </c>
      <c r="G105" s="276" t="n">
        <v>0</v>
      </c>
      <c r="H105" s="276" t="b">
        <v>0</v>
      </c>
      <c r="I105" s="276" t="inlineStr">
        <is>
          <t>D</t>
        </is>
      </c>
      <c r="J105" s="276" t="inlineStr">
        <is>
          <t>SRC-10</t>
        </is>
      </c>
      <c r="K105" s="276" t="n"/>
      <c r="L105" s="276" t="n"/>
      <c r="M105" s="276" t="n"/>
      <c r="N105" s="276" t="n"/>
      <c r="O105" s="276" t="n"/>
      <c r="P105" s="277" t="n"/>
    </row>
    <row r="106">
      <c r="A106" s="275" t="inlineStr">
        <is>
          <t>Nation-state</t>
        </is>
      </c>
      <c r="B106" s="276" t="inlineStr">
        <is>
          <t>SC_FRAUD</t>
        </is>
      </c>
      <c r="C106" s="276" t="inlineStr">
        <is>
          <t>Cyber-enabled theft or fraud</t>
        </is>
      </c>
      <c r="D106" s="276" t="inlineStr">
        <is>
          <t>Duration</t>
        </is>
      </c>
      <c r="E106" s="276" t="inlineStr">
        <is>
          <t>SERVER_RECOVERY</t>
        </is>
      </c>
      <c r="F106" s="276" t="inlineStr">
        <is>
          <t>P50</t>
        </is>
      </c>
      <c r="G106" s="276" t="n">
        <v>0</v>
      </c>
      <c r="H106" s="276" t="b">
        <v>0</v>
      </c>
      <c r="I106" s="276" t="inlineStr">
        <is>
          <t>D</t>
        </is>
      </c>
      <c r="J106" s="276" t="inlineStr">
        <is>
          <t>SRC-10</t>
        </is>
      </c>
      <c r="K106" s="276" t="n"/>
      <c r="L106" s="276" t="n"/>
      <c r="M106" s="276" t="n"/>
      <c r="N106" s="276" t="n"/>
      <c r="O106" s="276" t="n"/>
      <c r="P106" s="277" t="n"/>
    </row>
    <row r="107">
      <c r="A107" s="275" t="inlineStr">
        <is>
          <t>Nation-state</t>
        </is>
      </c>
      <c r="B107" s="276" t="inlineStr">
        <is>
          <t>SC_FRAUD</t>
        </is>
      </c>
      <c r="C107" s="276" t="inlineStr">
        <is>
          <t>Cyber-enabled theft or fraud</t>
        </is>
      </c>
      <c r="D107" s="276" t="inlineStr">
        <is>
          <t>Exposure</t>
        </is>
      </c>
      <c r="E107" s="276" t="inlineStr">
        <is>
          <t>NOTIFICATION</t>
        </is>
      </c>
      <c r="F107" s="276" t="inlineStr">
        <is>
          <t>P50</t>
        </is>
      </c>
      <c r="G107" s="276" t="n">
        <v>0</v>
      </c>
      <c r="H107" s="276" t="b">
        <v>0</v>
      </c>
      <c r="I107" s="276" t="inlineStr">
        <is>
          <t>D</t>
        </is>
      </c>
      <c r="J107" s="276" t="inlineStr">
        <is>
          <t>SRC-10</t>
        </is>
      </c>
      <c r="K107" s="276" t="n"/>
      <c r="L107" s="276" t="n"/>
      <c r="M107" s="276" t="n"/>
      <c r="N107" s="276" t="n"/>
      <c r="O107" s="276" t="n"/>
      <c r="P107" s="277" t="n"/>
    </row>
    <row r="108">
      <c r="A108" s="275" t="inlineStr">
        <is>
          <t>Nation-state</t>
        </is>
      </c>
      <c r="B108" s="276" t="inlineStr">
        <is>
          <t>SC_FRAUD</t>
        </is>
      </c>
      <c r="C108" s="276" t="inlineStr">
        <is>
          <t>Cyber-enabled theft or fraud</t>
        </is>
      </c>
      <c r="D108" s="276" t="inlineStr">
        <is>
          <t>Exposure</t>
        </is>
      </c>
      <c r="E108" s="276" t="inlineStr">
        <is>
          <t>CREDIT_MONITORING</t>
        </is>
      </c>
      <c r="F108" s="276" t="inlineStr">
        <is>
          <t>P50</t>
        </is>
      </c>
      <c r="G108" s="276" t="n">
        <v>0</v>
      </c>
      <c r="H108" s="276" t="b">
        <v>0</v>
      </c>
      <c r="I108" s="276" t="inlineStr">
        <is>
          <t>D</t>
        </is>
      </c>
      <c r="J108" s="276" t="inlineStr">
        <is>
          <t>SRC-10</t>
        </is>
      </c>
      <c r="K108" s="276" t="n"/>
      <c r="L108" s="276" t="n"/>
      <c r="M108" s="276" t="n"/>
      <c r="N108" s="276" t="n"/>
      <c r="O108" s="276" t="n"/>
      <c r="P108" s="277" t="n"/>
    </row>
    <row r="109">
      <c r="A109" s="275" t="inlineStr">
        <is>
          <t>Nation-state</t>
        </is>
      </c>
      <c r="B109" s="276" t="inlineStr">
        <is>
          <t>SC_FRAUD</t>
        </is>
      </c>
      <c r="C109" s="276" t="inlineStr">
        <is>
          <t>Cyber-enabled theft or fraud</t>
        </is>
      </c>
      <c r="D109" s="276" t="inlineStr">
        <is>
          <t>Exposure</t>
        </is>
      </c>
      <c r="E109" s="276" t="inlineStr">
        <is>
          <t>REGULATORY</t>
        </is>
      </c>
      <c r="F109" s="276" t="inlineStr">
        <is>
          <t>P50</t>
        </is>
      </c>
      <c r="G109" s="276" t="n">
        <v>200000</v>
      </c>
      <c r="H109" s="276" t="b">
        <v>1</v>
      </c>
      <c r="I109" s="276" t="inlineStr">
        <is>
          <t>D</t>
        </is>
      </c>
      <c r="J109" s="276" t="inlineStr">
        <is>
          <t>SRC-10</t>
        </is>
      </c>
      <c r="K109" s="276" t="n"/>
      <c r="L109" s="276" t="n"/>
      <c r="M109" s="276" t="n"/>
      <c r="N109" s="276" t="n"/>
      <c r="O109" s="276" t="n"/>
      <c r="P109" s="277" t="n"/>
    </row>
    <row r="110">
      <c r="A110" s="275" t="inlineStr">
        <is>
          <t>Nation-state</t>
        </is>
      </c>
      <c r="B110" s="276" t="inlineStr">
        <is>
          <t>SC_FRAUD</t>
        </is>
      </c>
      <c r="C110" s="276" t="inlineStr">
        <is>
          <t>Cyber-enabled theft or fraud</t>
        </is>
      </c>
      <c r="D110" s="276" t="inlineStr">
        <is>
          <t>Exposure</t>
        </is>
      </c>
      <c r="E110" s="276" t="inlineStr">
        <is>
          <t>CUSTOMER_ATTRITION</t>
        </is>
      </c>
      <c r="F110" s="276" t="inlineStr">
        <is>
          <t>P50</t>
        </is>
      </c>
      <c r="G110" s="276" t="n">
        <v>1000000</v>
      </c>
      <c r="H110" s="276" t="b">
        <v>1</v>
      </c>
      <c r="I110" s="276" t="inlineStr">
        <is>
          <t>D</t>
        </is>
      </c>
      <c r="J110" s="276" t="inlineStr">
        <is>
          <t>SRC-10</t>
        </is>
      </c>
      <c r="K110" s="276" t="n"/>
      <c r="L110" s="276" t="n"/>
      <c r="M110" s="276" t="n"/>
      <c r="N110" s="276" t="n"/>
      <c r="O110" s="276" t="n"/>
      <c r="P110" s="277" t="n"/>
    </row>
    <row r="111">
      <c r="A111" s="275" t="inlineStr">
        <is>
          <t>Nation-state</t>
        </is>
      </c>
      <c r="B111" s="276" t="inlineStr">
        <is>
          <t>SC_FRAUD</t>
        </is>
      </c>
      <c r="C111" s="276" t="inlineStr">
        <is>
          <t>Cyber-enabled theft or fraud</t>
        </is>
      </c>
      <c r="D111" s="276" t="inlineStr">
        <is>
          <t>Direct</t>
        </is>
      </c>
      <c r="E111" s="276" t="inlineStr">
        <is>
          <t>FRAUD_NET_RECOVERY</t>
        </is>
      </c>
      <c r="F111" s="276" t="inlineStr">
        <is>
          <t>P50</t>
        </is>
      </c>
      <c r="G111" s="276" t="n">
        <v>0</v>
      </c>
      <c r="H111" s="276" t="b">
        <v>0</v>
      </c>
      <c r="I111" s="276" t="inlineStr">
        <is>
          <t>D</t>
        </is>
      </c>
      <c r="J111" s="276" t="inlineStr">
        <is>
          <t>SRC-10</t>
        </is>
      </c>
      <c r="K111" s="276" t="n"/>
      <c r="L111" s="276" t="n"/>
      <c r="M111" s="276" t="n"/>
      <c r="N111" s="276" t="n"/>
      <c r="O111" s="276" t="n"/>
      <c r="P111" s="277" t="n"/>
    </row>
    <row r="112">
      <c r="A112" s="275" t="inlineStr">
        <is>
          <t>Nation-state</t>
        </is>
      </c>
      <c r="B112" s="276" t="inlineStr">
        <is>
          <t>SC_FRAUD</t>
        </is>
      </c>
      <c r="C112" s="276" t="inlineStr">
        <is>
          <t>Cyber-enabled theft or fraud</t>
        </is>
      </c>
      <c r="D112" s="276" t="inlineStr">
        <is>
          <t>Direct</t>
        </is>
      </c>
      <c r="E112" s="276" t="inlineStr">
        <is>
          <t>EXTORTION</t>
        </is>
      </c>
      <c r="F112" s="276" t="inlineStr">
        <is>
          <t>P50</t>
        </is>
      </c>
      <c r="G112" s="276" t="n">
        <v>0</v>
      </c>
      <c r="H112" s="276" t="b">
        <v>0</v>
      </c>
      <c r="I112" s="276" t="inlineStr">
        <is>
          <t>D</t>
        </is>
      </c>
      <c r="J112" s="276" t="inlineStr">
        <is>
          <t>SRC-10</t>
        </is>
      </c>
      <c r="K112" s="276" t="n"/>
      <c r="L112" s="276" t="n"/>
      <c r="M112" s="276" t="n"/>
      <c r="N112" s="276" t="n"/>
      <c r="O112" s="276" t="n"/>
      <c r="P112" s="277" t="n"/>
    </row>
    <row r="113">
      <c r="A113" s="275" t="inlineStr">
        <is>
          <t>Nation-state</t>
        </is>
      </c>
      <c r="B113" s="276" t="inlineStr">
        <is>
          <t>SC_FRAUD</t>
        </is>
      </c>
      <c r="C113" s="276" t="inlineStr">
        <is>
          <t>Cyber-enabled theft or fraud</t>
        </is>
      </c>
      <c r="D113" s="276" t="inlineStr">
        <is>
          <t>Direct</t>
        </is>
      </c>
      <c r="E113" s="276" t="inlineStr">
        <is>
          <t>POST_EVENT_UPLIFT</t>
        </is>
      </c>
      <c r="F113" s="276" t="inlineStr">
        <is>
          <t>P50</t>
        </is>
      </c>
      <c r="G113" s="276" t="n">
        <v>500000</v>
      </c>
      <c r="H113" s="276" t="b">
        <v>1</v>
      </c>
      <c r="I113" s="276" t="inlineStr">
        <is>
          <t>D</t>
        </is>
      </c>
      <c r="J113" s="276" t="inlineStr">
        <is>
          <t>SRC-10</t>
        </is>
      </c>
      <c r="K113" s="276" t="n"/>
      <c r="L113" s="276" t="n"/>
      <c r="M113" s="276" t="n"/>
      <c r="N113" s="276" t="n"/>
      <c r="O113" s="276" t="n"/>
      <c r="P113" s="277" t="n"/>
    </row>
    <row r="114">
      <c r="A114" s="275" t="inlineStr">
        <is>
          <t>Nation-state</t>
        </is>
      </c>
      <c r="B114" s="276" t="inlineStr">
        <is>
          <t>SC_FRAUD</t>
        </is>
      </c>
      <c r="C114" s="276" t="inlineStr">
        <is>
          <t>Cyber-enabled theft or fraud</t>
        </is>
      </c>
      <c r="D114" s="276" t="inlineStr">
        <is>
          <t>Duration</t>
        </is>
      </c>
      <c r="E114" s="276" t="inlineStr">
        <is>
          <t>IR_FORENSICS</t>
        </is>
      </c>
      <c r="F114" s="276" t="inlineStr">
        <is>
          <t>P99</t>
        </is>
      </c>
      <c r="G114" s="276" t="n">
        <v>240000</v>
      </c>
      <c r="H114" s="276" t="b">
        <v>1</v>
      </c>
      <c r="I114" s="276" t="inlineStr">
        <is>
          <t>D</t>
        </is>
      </c>
      <c r="J114" s="276" t="inlineStr">
        <is>
          <t>SRC-10</t>
        </is>
      </c>
      <c r="K114" s="276" t="n"/>
      <c r="L114" s="276" t="n"/>
      <c r="M114" s="276" t="n"/>
      <c r="N114" s="276" t="n"/>
      <c r="O114" s="276" t="n"/>
      <c r="P114" s="277" t="n"/>
    </row>
    <row r="115">
      <c r="A115" s="275" t="inlineStr">
        <is>
          <t>Nation-state</t>
        </is>
      </c>
      <c r="B115" s="276" t="inlineStr">
        <is>
          <t>SC_FRAUD</t>
        </is>
      </c>
      <c r="C115" s="276" t="inlineStr">
        <is>
          <t>Cyber-enabled theft or fraud</t>
        </is>
      </c>
      <c r="D115" s="276" t="inlineStr">
        <is>
          <t>Duration</t>
        </is>
      </c>
      <c r="E115" s="276" t="inlineStr">
        <is>
          <t>EXTERNAL_RESPONSE</t>
        </is>
      </c>
      <c r="F115" s="276" t="inlineStr">
        <is>
          <t>P99</t>
        </is>
      </c>
      <c r="G115" s="276" t="n">
        <v>450000</v>
      </c>
      <c r="H115" s="276" t="b">
        <v>1</v>
      </c>
      <c r="I115" s="276" t="inlineStr">
        <is>
          <t>D</t>
        </is>
      </c>
      <c r="J115" s="276" t="inlineStr">
        <is>
          <t>SRC-10</t>
        </is>
      </c>
      <c r="K115" s="276" t="n"/>
      <c r="L115" s="276" t="n"/>
      <c r="M115" s="276" t="n"/>
      <c r="N115" s="276" t="n"/>
      <c r="O115" s="276" t="n"/>
      <c r="P115" s="277" t="n"/>
    </row>
    <row r="116">
      <c r="A116" s="275" t="inlineStr">
        <is>
          <t>Nation-state</t>
        </is>
      </c>
      <c r="B116" s="276" t="inlineStr">
        <is>
          <t>SC_FRAUD</t>
        </is>
      </c>
      <c r="C116" s="276" t="inlineStr">
        <is>
          <t>Cyber-enabled theft or fraud</t>
        </is>
      </c>
      <c r="D116" s="276" t="inlineStr">
        <is>
          <t>Duration</t>
        </is>
      </c>
      <c r="E116" s="276" t="inlineStr">
        <is>
          <t>LEGAL_RESPONSE</t>
        </is>
      </c>
      <c r="F116" s="276" t="inlineStr">
        <is>
          <t>P99</t>
        </is>
      </c>
      <c r="G116" s="276" t="n">
        <v>900000</v>
      </c>
      <c r="H116" s="276" t="b">
        <v>1</v>
      </c>
      <c r="I116" s="276" t="inlineStr">
        <is>
          <t>D</t>
        </is>
      </c>
      <c r="J116" s="276" t="inlineStr">
        <is>
          <t>SRC-10</t>
        </is>
      </c>
      <c r="K116" s="276" t="n"/>
      <c r="L116" s="276" t="n"/>
      <c r="M116" s="276" t="n"/>
      <c r="N116" s="276" t="n"/>
      <c r="O116" s="276" t="n"/>
      <c r="P116" s="277" t="n"/>
    </row>
    <row r="117">
      <c r="A117" s="275" t="inlineStr">
        <is>
          <t>Nation-state</t>
        </is>
      </c>
      <c r="B117" s="276" t="inlineStr">
        <is>
          <t>SC_FRAUD</t>
        </is>
      </c>
      <c r="C117" s="276" t="inlineStr">
        <is>
          <t>Cyber-enabled theft or fraud</t>
        </is>
      </c>
      <c r="D117" s="276" t="inlineStr">
        <is>
          <t>Duration</t>
        </is>
      </c>
      <c r="E117" s="276" t="inlineStr">
        <is>
          <t>RESTORATION</t>
        </is>
      </c>
      <c r="F117" s="276" t="inlineStr">
        <is>
          <t>P99</t>
        </is>
      </c>
      <c r="G117" s="276" t="n">
        <v>240000</v>
      </c>
      <c r="H117" s="276" t="b">
        <v>1</v>
      </c>
      <c r="I117" s="276" t="inlineStr">
        <is>
          <t>D</t>
        </is>
      </c>
      <c r="J117" s="276" t="inlineStr">
        <is>
          <t>SRC-10</t>
        </is>
      </c>
      <c r="K117" s="276" t="n"/>
      <c r="L117" s="276" t="n"/>
      <c r="M117" s="276" t="n"/>
      <c r="N117" s="276" t="n"/>
      <c r="O117" s="276" t="n"/>
      <c r="P117" s="277" t="n"/>
    </row>
    <row r="118">
      <c r="A118" s="275" t="inlineStr">
        <is>
          <t>Nation-state</t>
        </is>
      </c>
      <c r="B118" s="276" t="inlineStr">
        <is>
          <t>SC_FRAUD</t>
        </is>
      </c>
      <c r="C118" s="276" t="inlineStr">
        <is>
          <t>Cyber-enabled theft or fraud</t>
        </is>
      </c>
      <c r="D118" s="276" t="inlineStr">
        <is>
          <t>Duration</t>
        </is>
      </c>
      <c r="E118" s="276" t="inlineStr">
        <is>
          <t>BUSINESS_INTERRUPTION</t>
        </is>
      </c>
      <c r="F118" s="276" t="inlineStr">
        <is>
          <t>P99</t>
        </is>
      </c>
      <c r="G118" s="276" t="n">
        <v>0</v>
      </c>
      <c r="H118" s="276" t="b">
        <v>0</v>
      </c>
      <c r="I118" s="276" t="inlineStr">
        <is>
          <t>D</t>
        </is>
      </c>
      <c r="J118" s="276" t="inlineStr">
        <is>
          <t>SRC-10</t>
        </is>
      </c>
      <c r="K118" s="276" t="n"/>
      <c r="L118" s="276" t="n"/>
      <c r="M118" s="276" t="n"/>
      <c r="N118" s="276" t="n"/>
      <c r="O118" s="276" t="n"/>
      <c r="P118" s="277" t="n"/>
    </row>
    <row r="119">
      <c r="A119" s="275" t="inlineStr">
        <is>
          <t>Nation-state</t>
        </is>
      </c>
      <c r="B119" s="276" t="inlineStr">
        <is>
          <t>SC_FRAUD</t>
        </is>
      </c>
      <c r="C119" s="276" t="inlineStr">
        <is>
          <t>Cyber-enabled theft or fraud</t>
        </is>
      </c>
      <c r="D119" s="276" t="inlineStr">
        <is>
          <t>Duration</t>
        </is>
      </c>
      <c r="E119" s="276" t="inlineStr">
        <is>
          <t>ENDPOINT_RECOVERY</t>
        </is>
      </c>
      <c r="F119" s="276" t="inlineStr">
        <is>
          <t>P99</t>
        </is>
      </c>
      <c r="G119" s="276" t="n">
        <v>0</v>
      </c>
      <c r="H119" s="276" t="b">
        <v>0</v>
      </c>
      <c r="I119" s="276" t="inlineStr">
        <is>
          <t>D</t>
        </is>
      </c>
      <c r="J119" s="276" t="inlineStr">
        <is>
          <t>SRC-10</t>
        </is>
      </c>
      <c r="K119" s="276" t="n"/>
      <c r="L119" s="276" t="n"/>
      <c r="M119" s="276" t="n"/>
      <c r="N119" s="276" t="n"/>
      <c r="O119" s="276" t="n"/>
      <c r="P119" s="277" t="n"/>
    </row>
    <row r="120">
      <c r="A120" s="278" t="inlineStr">
        <is>
          <t>Nation-state</t>
        </is>
      </c>
      <c r="B120" s="279" t="inlineStr">
        <is>
          <t>SC_FRAUD</t>
        </is>
      </c>
      <c r="C120" s="279" t="inlineStr">
        <is>
          <t>Cyber-enabled theft or fraud</t>
        </is>
      </c>
      <c r="D120" s="279" t="inlineStr">
        <is>
          <t>Duration</t>
        </is>
      </c>
      <c r="E120" s="279" t="inlineStr">
        <is>
          <t>SERVER_RECOVERY</t>
        </is>
      </c>
      <c r="F120" s="279" t="inlineStr">
        <is>
          <t>P99</t>
        </is>
      </c>
      <c r="G120" s="279" t="n">
        <v>0</v>
      </c>
      <c r="H120" s="279" t="b">
        <v>0</v>
      </c>
      <c r="I120" s="279" t="inlineStr">
        <is>
          <t>D</t>
        </is>
      </c>
      <c r="J120" s="279" t="inlineStr">
        <is>
          <t>SRC-10</t>
        </is>
      </c>
      <c r="K120" s="279" t="n"/>
      <c r="L120" s="279" t="n"/>
      <c r="M120" s="279" t="n"/>
      <c r="N120" s="279" t="n"/>
      <c r="O120" s="279" t="n"/>
      <c r="P120" s="280" t="n"/>
    </row>
    <row r="121">
      <c r="A121" t="inlineStr">
        <is>
          <t>Nation-state</t>
        </is>
      </c>
      <c r="B121" t="inlineStr">
        <is>
          <t>SC_FRAUD</t>
        </is>
      </c>
      <c r="C121" t="inlineStr">
        <is>
          <t>Cyber-enabled theft or fraud</t>
        </is>
      </c>
      <c r="D121" t="inlineStr">
        <is>
          <t>Exposure</t>
        </is>
      </c>
      <c r="E121" t="inlineStr">
        <is>
          <t>NOTIFICATION</t>
        </is>
      </c>
      <c r="F121" t="inlineStr">
        <is>
          <t>P99</t>
        </is>
      </c>
      <c r="G121" t="n">
        <v>0</v>
      </c>
      <c r="H121" t="b">
        <v>0</v>
      </c>
      <c r="I121" t="inlineStr">
        <is>
          <t>D</t>
        </is>
      </c>
      <c r="J121" t="inlineStr">
        <is>
          <t>SRC-10</t>
        </is>
      </c>
    </row>
    <row r="122">
      <c r="A122" t="inlineStr">
        <is>
          <t>Nation-state</t>
        </is>
      </c>
      <c r="B122" t="inlineStr">
        <is>
          <t>SC_FRAUD</t>
        </is>
      </c>
      <c r="C122" t="inlineStr">
        <is>
          <t>Cyber-enabled theft or fraud</t>
        </is>
      </c>
      <c r="D122" t="inlineStr">
        <is>
          <t>Exposure</t>
        </is>
      </c>
      <c r="E122" t="inlineStr">
        <is>
          <t>CREDIT_MONITORING</t>
        </is>
      </c>
      <c r="F122" t="inlineStr">
        <is>
          <t>P99</t>
        </is>
      </c>
      <c r="G122" t="n">
        <v>0</v>
      </c>
      <c r="H122" t="b">
        <v>0</v>
      </c>
      <c r="I122" t="inlineStr">
        <is>
          <t>D</t>
        </is>
      </c>
      <c r="J122" t="inlineStr">
        <is>
          <t>SRC-10</t>
        </is>
      </c>
    </row>
    <row r="123">
      <c r="A123" t="inlineStr">
        <is>
          <t>Nation-state</t>
        </is>
      </c>
      <c r="B123" t="inlineStr">
        <is>
          <t>SC_FRAUD</t>
        </is>
      </c>
      <c r="C123" t="inlineStr">
        <is>
          <t>Cyber-enabled theft or fraud</t>
        </is>
      </c>
      <c r="D123" t="inlineStr">
        <is>
          <t>Exposure</t>
        </is>
      </c>
      <c r="E123" t="inlineStr">
        <is>
          <t>REGULATORY</t>
        </is>
      </c>
      <c r="F123" t="inlineStr">
        <is>
          <t>P99</t>
        </is>
      </c>
      <c r="G123" t="n">
        <v>3000000</v>
      </c>
      <c r="H123" t="b">
        <v>1</v>
      </c>
      <c r="I123" t="inlineStr">
        <is>
          <t>D</t>
        </is>
      </c>
      <c r="J123" t="inlineStr">
        <is>
          <t>SRC-10</t>
        </is>
      </c>
    </row>
    <row r="124">
      <c r="A124" t="inlineStr">
        <is>
          <t>Nation-state</t>
        </is>
      </c>
      <c r="B124" t="inlineStr">
        <is>
          <t>SC_FRAUD</t>
        </is>
      </c>
      <c r="C124" t="inlineStr">
        <is>
          <t>Cyber-enabled theft or fraud</t>
        </is>
      </c>
      <c r="D124" t="inlineStr">
        <is>
          <t>Exposure</t>
        </is>
      </c>
      <c r="E124" t="inlineStr">
        <is>
          <t>CUSTOMER_ATTRITION</t>
        </is>
      </c>
      <c r="F124" t="inlineStr">
        <is>
          <t>P99</t>
        </is>
      </c>
      <c r="G124" t="n">
        <v>20000000</v>
      </c>
      <c r="H124" t="b">
        <v>1</v>
      </c>
      <c r="I124" t="inlineStr">
        <is>
          <t>D</t>
        </is>
      </c>
      <c r="J124" t="inlineStr">
        <is>
          <t>SRC-10</t>
        </is>
      </c>
    </row>
    <row r="125">
      <c r="A125" t="inlineStr">
        <is>
          <t>Nation-state</t>
        </is>
      </c>
      <c r="B125" t="inlineStr">
        <is>
          <t>SC_FRAUD</t>
        </is>
      </c>
      <c r="C125" t="inlineStr">
        <is>
          <t>Cyber-enabled theft or fraud</t>
        </is>
      </c>
      <c r="D125" t="inlineStr">
        <is>
          <t>Direct</t>
        </is>
      </c>
      <c r="E125" t="inlineStr">
        <is>
          <t>FRAUD_NET_RECOVERY</t>
        </is>
      </c>
      <c r="F125" t="inlineStr">
        <is>
          <t>P99</t>
        </is>
      </c>
      <c r="G125" t="n">
        <v>0</v>
      </c>
      <c r="H125" t="b">
        <v>0</v>
      </c>
      <c r="I125" t="inlineStr">
        <is>
          <t>D</t>
        </is>
      </c>
      <c r="J125" t="inlineStr">
        <is>
          <t>SRC-10</t>
        </is>
      </c>
    </row>
    <row r="126">
      <c r="A126" t="inlineStr">
        <is>
          <t>Nation-state</t>
        </is>
      </c>
      <c r="B126" t="inlineStr">
        <is>
          <t>SC_FRAUD</t>
        </is>
      </c>
      <c r="C126" t="inlineStr">
        <is>
          <t>Cyber-enabled theft or fraud</t>
        </is>
      </c>
      <c r="D126" t="inlineStr">
        <is>
          <t>Direct</t>
        </is>
      </c>
      <c r="E126" t="inlineStr">
        <is>
          <t>EXTORTION</t>
        </is>
      </c>
      <c r="F126" t="inlineStr">
        <is>
          <t>P99</t>
        </is>
      </c>
      <c r="G126" t="n">
        <v>0</v>
      </c>
      <c r="H126" t="b">
        <v>0</v>
      </c>
      <c r="I126" t="inlineStr">
        <is>
          <t>D</t>
        </is>
      </c>
      <c r="J126" t="inlineStr">
        <is>
          <t>SRC-10</t>
        </is>
      </c>
    </row>
    <row r="127">
      <c r="A127" t="inlineStr">
        <is>
          <t>Nation-state</t>
        </is>
      </c>
      <c r="B127" t="inlineStr">
        <is>
          <t>SC_FRAUD</t>
        </is>
      </c>
      <c r="C127" t="inlineStr">
        <is>
          <t>Cyber-enabled theft or fraud</t>
        </is>
      </c>
      <c r="D127" t="inlineStr">
        <is>
          <t>Direct</t>
        </is>
      </c>
      <c r="E127" t="inlineStr">
        <is>
          <t>POST_EVENT_UPLIFT</t>
        </is>
      </c>
      <c r="F127" t="inlineStr">
        <is>
          <t>P99</t>
        </is>
      </c>
      <c r="G127" t="n">
        <v>5000000</v>
      </c>
      <c r="H127" t="b">
        <v>1</v>
      </c>
      <c r="I127" t="inlineStr">
        <is>
          <t>D</t>
        </is>
      </c>
      <c r="J127" t="inlineStr">
        <is>
          <t>SRC-10</t>
        </is>
      </c>
    </row>
    <row r="128">
      <c r="A128" t="inlineStr">
        <is>
          <t>Cybercriminal</t>
        </is>
      </c>
      <c r="B128" t="inlineStr">
        <is>
          <t>SC_DISR</t>
        </is>
      </c>
      <c r="C128" t="inlineStr">
        <is>
          <t>Critical business-service disruption</t>
        </is>
      </c>
      <c r="D128" t="inlineStr">
        <is>
          <t>Duration</t>
        </is>
      </c>
      <c r="E128" t="inlineStr">
        <is>
          <t>IR_FORENSICS</t>
        </is>
      </c>
      <c r="F128" t="inlineStr">
        <is>
          <t>P50</t>
        </is>
      </c>
      <c r="G128" t="n">
        <v>20000</v>
      </c>
      <c r="H128" t="b">
        <v>1</v>
      </c>
      <c r="I128" t="inlineStr">
        <is>
          <t>D</t>
        </is>
      </c>
      <c r="J128" t="inlineStr">
        <is>
          <t>SRC-10</t>
        </is>
      </c>
    </row>
    <row r="129">
      <c r="A129" t="inlineStr">
        <is>
          <t>Cybercriminal</t>
        </is>
      </c>
      <c r="B129" t="inlineStr">
        <is>
          <t>SC_DISR</t>
        </is>
      </c>
      <c r="C129" t="inlineStr">
        <is>
          <t>Critical business-service disruption</t>
        </is>
      </c>
      <c r="D129" t="inlineStr">
        <is>
          <t>Duration</t>
        </is>
      </c>
      <c r="E129" t="inlineStr">
        <is>
          <t>EXTERNAL_RESPONSE</t>
        </is>
      </c>
      <c r="F129" t="inlineStr">
        <is>
          <t>P50</t>
        </is>
      </c>
      <c r="G129" t="n">
        <v>30000</v>
      </c>
      <c r="H129" t="b">
        <v>1</v>
      </c>
      <c r="I129" t="inlineStr">
        <is>
          <t>D</t>
        </is>
      </c>
      <c r="J129" t="inlineStr">
        <is>
          <t>SRC-10</t>
        </is>
      </c>
    </row>
    <row r="130">
      <c r="A130" t="inlineStr">
        <is>
          <t>Cybercriminal</t>
        </is>
      </c>
      <c r="B130" t="inlineStr">
        <is>
          <t>SC_DISR</t>
        </is>
      </c>
      <c r="C130" t="inlineStr">
        <is>
          <t>Critical business-service disruption</t>
        </is>
      </c>
      <c r="D130" t="inlineStr">
        <is>
          <t>Duration</t>
        </is>
      </c>
      <c r="E130" t="inlineStr">
        <is>
          <t>LEGAL_RESPONSE</t>
        </is>
      </c>
      <c r="F130" t="inlineStr">
        <is>
          <t>P50</t>
        </is>
      </c>
      <c r="G130" t="n">
        <v>25000</v>
      </c>
      <c r="H130" t="b">
        <v>1</v>
      </c>
      <c r="I130" t="inlineStr">
        <is>
          <t>D</t>
        </is>
      </c>
      <c r="J130" t="inlineStr">
        <is>
          <t>SRC-10</t>
        </is>
      </c>
    </row>
    <row r="131">
      <c r="A131" t="inlineStr">
        <is>
          <t>Cybercriminal</t>
        </is>
      </c>
      <c r="B131" t="inlineStr">
        <is>
          <t>SC_DISR</t>
        </is>
      </c>
      <c r="C131" t="inlineStr">
        <is>
          <t>Critical business-service disruption</t>
        </is>
      </c>
      <c r="D131" t="inlineStr">
        <is>
          <t>Duration</t>
        </is>
      </c>
      <c r="E131" t="inlineStr">
        <is>
          <t>RESTORATION</t>
        </is>
      </c>
      <c r="F131" t="inlineStr">
        <is>
          <t>P50</t>
        </is>
      </c>
      <c r="G131" t="n">
        <v>30000</v>
      </c>
      <c r="H131" t="b">
        <v>1</v>
      </c>
      <c r="I131" t="inlineStr">
        <is>
          <t>D</t>
        </is>
      </c>
      <c r="J131" t="inlineStr">
        <is>
          <t>SRC-10</t>
        </is>
      </c>
    </row>
    <row r="132">
      <c r="A132" t="inlineStr">
        <is>
          <t>Cybercriminal</t>
        </is>
      </c>
      <c r="B132" t="inlineStr">
        <is>
          <t>SC_DISR</t>
        </is>
      </c>
      <c r="C132" t="inlineStr">
        <is>
          <t>Critical business-service disruption</t>
        </is>
      </c>
      <c r="D132" t="inlineStr">
        <is>
          <t>Duration</t>
        </is>
      </c>
      <c r="E132" t="inlineStr">
        <is>
          <t>BUSINESS_INTERRUPTION</t>
        </is>
      </c>
      <c r="F132" t="inlineStr">
        <is>
          <t>P50</t>
        </is>
      </c>
      <c r="G132" t="n">
        <v>2465753.424657534</v>
      </c>
      <c r="H132" t="b">
        <v>1</v>
      </c>
      <c r="I132" t="inlineStr">
        <is>
          <t>D</t>
        </is>
      </c>
      <c r="J132" t="inlineStr">
        <is>
          <t>SRC-10</t>
        </is>
      </c>
    </row>
    <row r="133">
      <c r="A133" t="inlineStr">
        <is>
          <t>Cybercriminal</t>
        </is>
      </c>
      <c r="B133" t="inlineStr">
        <is>
          <t>SC_DISR</t>
        </is>
      </c>
      <c r="C133" t="inlineStr">
        <is>
          <t>Critical business-service disruption</t>
        </is>
      </c>
      <c r="D133" t="inlineStr">
        <is>
          <t>Duration</t>
        </is>
      </c>
      <c r="E133" t="inlineStr">
        <is>
          <t>ENDPOINT_RECOVERY</t>
        </is>
      </c>
      <c r="F133" t="inlineStr">
        <is>
          <t>P50</t>
        </is>
      </c>
      <c r="G133" t="n">
        <v>100000</v>
      </c>
      <c r="H133" t="b">
        <v>1</v>
      </c>
      <c r="I133" t="inlineStr">
        <is>
          <t>D</t>
        </is>
      </c>
      <c r="J133" t="inlineStr">
        <is>
          <t>SRC-10</t>
        </is>
      </c>
    </row>
    <row r="134">
      <c r="A134" t="inlineStr">
        <is>
          <t>Cybercriminal</t>
        </is>
      </c>
      <c r="B134" t="inlineStr">
        <is>
          <t>SC_DISR</t>
        </is>
      </c>
      <c r="C134" t="inlineStr">
        <is>
          <t>Critical business-service disruption</t>
        </is>
      </c>
      <c r="D134" t="inlineStr">
        <is>
          <t>Duration</t>
        </is>
      </c>
      <c r="E134" t="inlineStr">
        <is>
          <t>SERVER_RECOVERY</t>
        </is>
      </c>
      <c r="F134" t="inlineStr">
        <is>
          <t>P50</t>
        </is>
      </c>
      <c r="G134" t="n">
        <v>250000</v>
      </c>
      <c r="H134" t="b">
        <v>1</v>
      </c>
      <c r="I134" t="inlineStr">
        <is>
          <t>D</t>
        </is>
      </c>
      <c r="J134" t="inlineStr">
        <is>
          <t>SRC-10</t>
        </is>
      </c>
    </row>
    <row r="135">
      <c r="A135" t="inlineStr">
        <is>
          <t>Cybercriminal</t>
        </is>
      </c>
      <c r="B135" t="inlineStr">
        <is>
          <t>SC_DISR</t>
        </is>
      </c>
      <c r="C135" t="inlineStr">
        <is>
          <t>Critical business-service disruption</t>
        </is>
      </c>
      <c r="D135" t="inlineStr">
        <is>
          <t>Exposure</t>
        </is>
      </c>
      <c r="E135" t="inlineStr">
        <is>
          <t>NOTIFICATION</t>
        </is>
      </c>
      <c r="F135" t="inlineStr">
        <is>
          <t>P50</t>
        </is>
      </c>
      <c r="G135" t="n">
        <v>0</v>
      </c>
      <c r="H135" t="b">
        <v>0</v>
      </c>
      <c r="I135" t="inlineStr">
        <is>
          <t>D</t>
        </is>
      </c>
      <c r="J135" t="inlineStr">
        <is>
          <t>SRC-10</t>
        </is>
      </c>
    </row>
    <row r="136">
      <c r="A136" t="inlineStr">
        <is>
          <t>Cybercriminal</t>
        </is>
      </c>
      <c r="B136" t="inlineStr">
        <is>
          <t>SC_DISR</t>
        </is>
      </c>
      <c r="C136" t="inlineStr">
        <is>
          <t>Critical business-service disruption</t>
        </is>
      </c>
      <c r="D136" t="inlineStr">
        <is>
          <t>Exposure</t>
        </is>
      </c>
      <c r="E136" t="inlineStr">
        <is>
          <t>CREDIT_MONITORING</t>
        </is>
      </c>
      <c r="F136" t="inlineStr">
        <is>
          <t>P50</t>
        </is>
      </c>
      <c r="G136" t="n">
        <v>0</v>
      </c>
      <c r="H136" t="b">
        <v>0</v>
      </c>
      <c r="I136" t="inlineStr">
        <is>
          <t>D</t>
        </is>
      </c>
      <c r="J136" t="inlineStr">
        <is>
          <t>SRC-10</t>
        </is>
      </c>
    </row>
    <row r="137">
      <c r="A137" t="inlineStr">
        <is>
          <t>Cybercriminal</t>
        </is>
      </c>
      <c r="B137" t="inlineStr">
        <is>
          <t>SC_DISR</t>
        </is>
      </c>
      <c r="C137" t="inlineStr">
        <is>
          <t>Critical business-service disruption</t>
        </is>
      </c>
      <c r="D137" t="inlineStr">
        <is>
          <t>Exposure</t>
        </is>
      </c>
      <c r="E137" t="inlineStr">
        <is>
          <t>REGULATORY</t>
        </is>
      </c>
      <c r="F137" t="inlineStr">
        <is>
          <t>P50</t>
        </is>
      </c>
      <c r="G137" t="n">
        <v>0</v>
      </c>
      <c r="H137" t="b">
        <v>0</v>
      </c>
      <c r="I137" t="inlineStr">
        <is>
          <t>D</t>
        </is>
      </c>
      <c r="J137" t="inlineStr">
        <is>
          <t>SRC-10</t>
        </is>
      </c>
    </row>
    <row r="138">
      <c r="A138" t="inlineStr">
        <is>
          <t>Cybercriminal</t>
        </is>
      </c>
      <c r="B138" t="inlineStr">
        <is>
          <t>SC_DISR</t>
        </is>
      </c>
      <c r="C138" t="inlineStr">
        <is>
          <t>Critical business-service disruption</t>
        </is>
      </c>
      <c r="D138" t="inlineStr">
        <is>
          <t>Exposure</t>
        </is>
      </c>
      <c r="E138" t="inlineStr">
        <is>
          <t>CUSTOMER_ATTRITION</t>
        </is>
      </c>
      <c r="F138" t="inlineStr">
        <is>
          <t>P50</t>
        </is>
      </c>
      <c r="G138" t="n">
        <v>1000000</v>
      </c>
      <c r="H138" t="b">
        <v>1</v>
      </c>
      <c r="I138" t="inlineStr">
        <is>
          <t>D</t>
        </is>
      </c>
      <c r="J138" t="inlineStr">
        <is>
          <t>SRC-10</t>
        </is>
      </c>
    </row>
    <row r="139">
      <c r="A139" t="inlineStr">
        <is>
          <t>Cybercriminal</t>
        </is>
      </c>
      <c r="B139" t="inlineStr">
        <is>
          <t>SC_DISR</t>
        </is>
      </c>
      <c r="C139" t="inlineStr">
        <is>
          <t>Critical business-service disruption</t>
        </is>
      </c>
      <c r="D139" t="inlineStr">
        <is>
          <t>Direct</t>
        </is>
      </c>
      <c r="E139" t="inlineStr">
        <is>
          <t>FRAUD_NET_RECOVERY</t>
        </is>
      </c>
      <c r="F139" t="inlineStr">
        <is>
          <t>P50</t>
        </is>
      </c>
      <c r="G139" t="n">
        <v>0</v>
      </c>
      <c r="H139" t="b">
        <v>0</v>
      </c>
      <c r="I139" t="inlineStr">
        <is>
          <t>D</t>
        </is>
      </c>
      <c r="J139" t="inlineStr">
        <is>
          <t>SRC-10</t>
        </is>
      </c>
    </row>
    <row r="140">
      <c r="A140" t="inlineStr">
        <is>
          <t>Cybercriminal</t>
        </is>
      </c>
      <c r="B140" t="inlineStr">
        <is>
          <t>SC_DISR</t>
        </is>
      </c>
      <c r="C140" t="inlineStr">
        <is>
          <t>Critical business-service disruption</t>
        </is>
      </c>
      <c r="D140" t="inlineStr">
        <is>
          <t>Direct</t>
        </is>
      </c>
      <c r="E140" t="inlineStr">
        <is>
          <t>EXTORTION</t>
        </is>
      </c>
      <c r="F140" t="inlineStr">
        <is>
          <t>P50</t>
        </is>
      </c>
      <c r="G140" t="n">
        <v>1000000</v>
      </c>
      <c r="H140" t="b">
        <v>1</v>
      </c>
      <c r="I140" t="inlineStr">
        <is>
          <t>D</t>
        </is>
      </c>
      <c r="J140" t="inlineStr">
        <is>
          <t>SRC-10</t>
        </is>
      </c>
    </row>
    <row r="141">
      <c r="A141" t="inlineStr">
        <is>
          <t>Cybercriminal</t>
        </is>
      </c>
      <c r="B141" t="inlineStr">
        <is>
          <t>SC_DISR</t>
        </is>
      </c>
      <c r="C141" t="inlineStr">
        <is>
          <t>Critical business-service disruption</t>
        </is>
      </c>
      <c r="D141" t="inlineStr">
        <is>
          <t>Direct</t>
        </is>
      </c>
      <c r="E141" t="inlineStr">
        <is>
          <t>POST_EVENT_UPLIFT</t>
        </is>
      </c>
      <c r="F141" t="inlineStr">
        <is>
          <t>P50</t>
        </is>
      </c>
      <c r="G141" t="n">
        <v>500000</v>
      </c>
      <c r="H141" t="b">
        <v>1</v>
      </c>
      <c r="I141" t="inlineStr">
        <is>
          <t>D</t>
        </is>
      </c>
      <c r="J141" t="inlineStr">
        <is>
          <t>SRC-10</t>
        </is>
      </c>
    </row>
    <row r="142">
      <c r="A142" t="inlineStr">
        <is>
          <t>Cybercriminal</t>
        </is>
      </c>
      <c r="B142" t="inlineStr">
        <is>
          <t>SC_DISR</t>
        </is>
      </c>
      <c r="C142" t="inlineStr">
        <is>
          <t>Critical business-service disruption</t>
        </is>
      </c>
      <c r="D142" t="inlineStr">
        <is>
          <t>Duration</t>
        </is>
      </c>
      <c r="E142" t="inlineStr">
        <is>
          <t>IR_FORENSICS</t>
        </is>
      </c>
      <c r="F142" t="inlineStr">
        <is>
          <t>P99</t>
        </is>
      </c>
      <c r="G142" t="n">
        <v>240000</v>
      </c>
      <c r="H142" t="b">
        <v>1</v>
      </c>
      <c r="I142" t="inlineStr">
        <is>
          <t>D</t>
        </is>
      </c>
      <c r="J142" t="inlineStr">
        <is>
          <t>SRC-10</t>
        </is>
      </c>
    </row>
    <row r="143">
      <c r="A143" t="inlineStr">
        <is>
          <t>Cybercriminal</t>
        </is>
      </c>
      <c r="B143" t="inlineStr">
        <is>
          <t>SC_DISR</t>
        </is>
      </c>
      <c r="C143" t="inlineStr">
        <is>
          <t>Critical business-service disruption</t>
        </is>
      </c>
      <c r="D143" t="inlineStr">
        <is>
          <t>Duration</t>
        </is>
      </c>
      <c r="E143" t="inlineStr">
        <is>
          <t>EXTERNAL_RESPONSE</t>
        </is>
      </c>
      <c r="F143" t="inlineStr">
        <is>
          <t>P99</t>
        </is>
      </c>
      <c r="G143" t="n">
        <v>450000</v>
      </c>
      <c r="H143" t="b">
        <v>1</v>
      </c>
      <c r="I143" t="inlineStr">
        <is>
          <t>D</t>
        </is>
      </c>
      <c r="J143" t="inlineStr">
        <is>
          <t>SRC-10</t>
        </is>
      </c>
    </row>
    <row r="144">
      <c r="A144" t="inlineStr">
        <is>
          <t>Cybercriminal</t>
        </is>
      </c>
      <c r="B144" t="inlineStr">
        <is>
          <t>SC_DISR</t>
        </is>
      </c>
      <c r="C144" t="inlineStr">
        <is>
          <t>Critical business-service disruption</t>
        </is>
      </c>
      <c r="D144" t="inlineStr">
        <is>
          <t>Duration</t>
        </is>
      </c>
      <c r="E144" t="inlineStr">
        <is>
          <t>LEGAL_RESPONSE</t>
        </is>
      </c>
      <c r="F144" t="inlineStr">
        <is>
          <t>P99</t>
        </is>
      </c>
      <c r="G144" t="n">
        <v>450000</v>
      </c>
      <c r="H144" t="b">
        <v>1</v>
      </c>
      <c r="I144" t="inlineStr">
        <is>
          <t>D</t>
        </is>
      </c>
      <c r="J144" t="inlineStr">
        <is>
          <t>SRC-10</t>
        </is>
      </c>
    </row>
    <row r="145">
      <c r="A145" t="inlineStr">
        <is>
          <t>Cybercriminal</t>
        </is>
      </c>
      <c r="B145" t="inlineStr">
        <is>
          <t>SC_DISR</t>
        </is>
      </c>
      <c r="C145" t="inlineStr">
        <is>
          <t>Critical business-service disruption</t>
        </is>
      </c>
      <c r="D145" t="inlineStr">
        <is>
          <t>Duration</t>
        </is>
      </c>
      <c r="E145" t="inlineStr">
        <is>
          <t>RESTORATION</t>
        </is>
      </c>
      <c r="F145" t="inlineStr">
        <is>
          <t>P99</t>
        </is>
      </c>
      <c r="G145" t="n">
        <v>480000</v>
      </c>
      <c r="H145" t="b">
        <v>1</v>
      </c>
      <c r="I145" t="inlineStr">
        <is>
          <t>D</t>
        </is>
      </c>
      <c r="J145" t="inlineStr">
        <is>
          <t>SRC-10</t>
        </is>
      </c>
    </row>
    <row r="146">
      <c r="A146" t="inlineStr">
        <is>
          <t>Cybercriminal</t>
        </is>
      </c>
      <c r="B146" t="inlineStr">
        <is>
          <t>SC_DISR</t>
        </is>
      </c>
      <c r="C146" t="inlineStr">
        <is>
          <t>Critical business-service disruption</t>
        </is>
      </c>
      <c r="D146" t="inlineStr">
        <is>
          <t>Duration</t>
        </is>
      </c>
      <c r="E146" t="inlineStr">
        <is>
          <t>BUSINESS_INTERRUPTION</t>
        </is>
      </c>
      <c r="F146" t="inlineStr">
        <is>
          <t>P99</t>
        </is>
      </c>
      <c r="G146" t="n">
        <v>69863013.69863012</v>
      </c>
      <c r="H146" t="b">
        <v>1</v>
      </c>
      <c r="I146" t="inlineStr">
        <is>
          <t>D</t>
        </is>
      </c>
      <c r="J146" t="inlineStr">
        <is>
          <t>SRC-10</t>
        </is>
      </c>
    </row>
    <row r="147">
      <c r="A147" t="inlineStr">
        <is>
          <t>Cybercriminal</t>
        </is>
      </c>
      <c r="B147" t="inlineStr">
        <is>
          <t>SC_DISR</t>
        </is>
      </c>
      <c r="C147" t="inlineStr">
        <is>
          <t>Critical business-service disruption</t>
        </is>
      </c>
      <c r="D147" t="inlineStr">
        <is>
          <t>Duration</t>
        </is>
      </c>
      <c r="E147" t="inlineStr">
        <is>
          <t>ENDPOINT_RECOVERY</t>
        </is>
      </c>
      <c r="F147" t="inlineStr">
        <is>
          <t>P99</t>
        </is>
      </c>
      <c r="G147" t="n">
        <v>1250000</v>
      </c>
      <c r="H147" t="b">
        <v>1</v>
      </c>
      <c r="I147" t="inlineStr">
        <is>
          <t>D</t>
        </is>
      </c>
      <c r="J147" t="inlineStr">
        <is>
          <t>SRC-10</t>
        </is>
      </c>
    </row>
    <row r="148">
      <c r="A148" t="inlineStr">
        <is>
          <t>Cybercriminal</t>
        </is>
      </c>
      <c r="B148" t="inlineStr">
        <is>
          <t>SC_DISR</t>
        </is>
      </c>
      <c r="C148" t="inlineStr">
        <is>
          <t>Critical business-service disruption</t>
        </is>
      </c>
      <c r="D148" t="inlineStr">
        <is>
          <t>Duration</t>
        </is>
      </c>
      <c r="E148" t="inlineStr">
        <is>
          <t>SERVER_RECOVERY</t>
        </is>
      </c>
      <c r="F148" t="inlineStr">
        <is>
          <t>P99</t>
        </is>
      </c>
      <c r="G148" t="n">
        <v>2400000</v>
      </c>
      <c r="H148" t="b">
        <v>1</v>
      </c>
      <c r="I148" t="inlineStr">
        <is>
          <t>D</t>
        </is>
      </c>
      <c r="J148" t="inlineStr">
        <is>
          <t>SRC-10</t>
        </is>
      </c>
    </row>
    <row r="149">
      <c r="A149" t="inlineStr">
        <is>
          <t>Cybercriminal</t>
        </is>
      </c>
      <c r="B149" t="inlineStr">
        <is>
          <t>SC_DISR</t>
        </is>
      </c>
      <c r="C149" t="inlineStr">
        <is>
          <t>Critical business-service disruption</t>
        </is>
      </c>
      <c r="D149" t="inlineStr">
        <is>
          <t>Exposure</t>
        </is>
      </c>
      <c r="E149" t="inlineStr">
        <is>
          <t>NOTIFICATION</t>
        </is>
      </c>
      <c r="F149" t="inlineStr">
        <is>
          <t>P99</t>
        </is>
      </c>
      <c r="G149" t="n">
        <v>0</v>
      </c>
      <c r="H149" t="b">
        <v>0</v>
      </c>
      <c r="I149" t="inlineStr">
        <is>
          <t>D</t>
        </is>
      </c>
      <c r="J149" t="inlineStr">
        <is>
          <t>SRC-10</t>
        </is>
      </c>
    </row>
    <row r="150">
      <c r="A150" t="inlineStr">
        <is>
          <t>Cybercriminal</t>
        </is>
      </c>
      <c r="B150" t="inlineStr">
        <is>
          <t>SC_DISR</t>
        </is>
      </c>
      <c r="C150" t="inlineStr">
        <is>
          <t>Critical business-service disruption</t>
        </is>
      </c>
      <c r="D150" t="inlineStr">
        <is>
          <t>Exposure</t>
        </is>
      </c>
      <c r="E150" t="inlineStr">
        <is>
          <t>CREDIT_MONITORING</t>
        </is>
      </c>
      <c r="F150" t="inlineStr">
        <is>
          <t>P99</t>
        </is>
      </c>
      <c r="G150" t="n">
        <v>0</v>
      </c>
      <c r="H150" t="b">
        <v>0</v>
      </c>
      <c r="I150" t="inlineStr">
        <is>
          <t>D</t>
        </is>
      </c>
      <c r="J150" t="inlineStr">
        <is>
          <t>SRC-10</t>
        </is>
      </c>
    </row>
    <row r="151">
      <c r="A151" t="inlineStr">
        <is>
          <t>Cybercriminal</t>
        </is>
      </c>
      <c r="B151" t="inlineStr">
        <is>
          <t>SC_DISR</t>
        </is>
      </c>
      <c r="C151" t="inlineStr">
        <is>
          <t>Critical business-service disruption</t>
        </is>
      </c>
      <c r="D151" t="inlineStr">
        <is>
          <t>Exposure</t>
        </is>
      </c>
      <c r="E151" t="inlineStr">
        <is>
          <t>REGULATORY</t>
        </is>
      </c>
      <c r="F151" t="inlineStr">
        <is>
          <t>P99</t>
        </is>
      </c>
      <c r="G151" t="n">
        <v>0</v>
      </c>
      <c r="H151" t="b">
        <v>0</v>
      </c>
      <c r="I151" t="inlineStr">
        <is>
          <t>D</t>
        </is>
      </c>
      <c r="J151" t="inlineStr">
        <is>
          <t>SRC-10</t>
        </is>
      </c>
    </row>
    <row r="152">
      <c r="A152" t="inlineStr">
        <is>
          <t>Cybercriminal</t>
        </is>
      </c>
      <c r="B152" t="inlineStr">
        <is>
          <t>SC_DISR</t>
        </is>
      </c>
      <c r="C152" t="inlineStr">
        <is>
          <t>Critical business-service disruption</t>
        </is>
      </c>
      <c r="D152" t="inlineStr">
        <is>
          <t>Exposure</t>
        </is>
      </c>
      <c r="E152" t="inlineStr">
        <is>
          <t>CUSTOMER_ATTRITION</t>
        </is>
      </c>
      <c r="F152" t="inlineStr">
        <is>
          <t>P99</t>
        </is>
      </c>
      <c r="G152" t="n">
        <v>10000000</v>
      </c>
      <c r="H152" t="b">
        <v>1</v>
      </c>
      <c r="I152" t="inlineStr">
        <is>
          <t>D</t>
        </is>
      </c>
      <c r="J152" t="inlineStr">
        <is>
          <t>SRC-10</t>
        </is>
      </c>
    </row>
    <row r="153">
      <c r="A153" t="inlineStr">
        <is>
          <t>Cybercriminal</t>
        </is>
      </c>
      <c r="B153" t="inlineStr">
        <is>
          <t>SC_DISR</t>
        </is>
      </c>
      <c r="C153" t="inlineStr">
        <is>
          <t>Critical business-service disruption</t>
        </is>
      </c>
      <c r="D153" t="inlineStr">
        <is>
          <t>Direct</t>
        </is>
      </c>
      <c r="E153" t="inlineStr">
        <is>
          <t>FRAUD_NET_RECOVERY</t>
        </is>
      </c>
      <c r="F153" t="inlineStr">
        <is>
          <t>P99</t>
        </is>
      </c>
      <c r="G153" t="n">
        <v>0</v>
      </c>
      <c r="H153" t="b">
        <v>0</v>
      </c>
      <c r="I153" t="inlineStr">
        <is>
          <t>D</t>
        </is>
      </c>
      <c r="J153" t="inlineStr">
        <is>
          <t>SRC-10</t>
        </is>
      </c>
    </row>
    <row r="154">
      <c r="A154" t="inlineStr">
        <is>
          <t>Cybercriminal</t>
        </is>
      </c>
      <c r="B154" t="inlineStr">
        <is>
          <t>SC_DISR</t>
        </is>
      </c>
      <c r="C154" t="inlineStr">
        <is>
          <t>Critical business-service disruption</t>
        </is>
      </c>
      <c r="D154" t="inlineStr">
        <is>
          <t>Direct</t>
        </is>
      </c>
      <c r="E154" t="inlineStr">
        <is>
          <t>EXTORTION</t>
        </is>
      </c>
      <c r="F154" t="inlineStr">
        <is>
          <t>P99</t>
        </is>
      </c>
      <c r="G154" t="n">
        <v>20000000</v>
      </c>
      <c r="H154" t="b">
        <v>1</v>
      </c>
      <c r="I154" t="inlineStr">
        <is>
          <t>D</t>
        </is>
      </c>
      <c r="J154" t="inlineStr">
        <is>
          <t>SRC-10</t>
        </is>
      </c>
    </row>
    <row r="155">
      <c r="A155" t="inlineStr">
        <is>
          <t>Cybercriminal</t>
        </is>
      </c>
      <c r="B155" t="inlineStr">
        <is>
          <t>SC_DISR</t>
        </is>
      </c>
      <c r="C155" t="inlineStr">
        <is>
          <t>Critical business-service disruption</t>
        </is>
      </c>
      <c r="D155" t="inlineStr">
        <is>
          <t>Direct</t>
        </is>
      </c>
      <c r="E155" t="inlineStr">
        <is>
          <t>POST_EVENT_UPLIFT</t>
        </is>
      </c>
      <c r="F155" t="inlineStr">
        <is>
          <t>P99</t>
        </is>
      </c>
      <c r="G155" t="n">
        <v>5000000</v>
      </c>
      <c r="H155" t="b">
        <v>1</v>
      </c>
      <c r="I155" t="inlineStr">
        <is>
          <t>D</t>
        </is>
      </c>
      <c r="J155" t="inlineStr">
        <is>
          <t>SRC-10</t>
        </is>
      </c>
    </row>
    <row r="156">
      <c r="A156" t="inlineStr">
        <is>
          <t>Cybercriminal</t>
        </is>
      </c>
      <c r="B156" t="inlineStr">
        <is>
          <t>SC_DATA</t>
        </is>
      </c>
      <c r="C156" t="inlineStr">
        <is>
          <t>Sensitive-data compromise</t>
        </is>
      </c>
      <c r="D156" t="inlineStr">
        <is>
          <t>Duration</t>
        </is>
      </c>
      <c r="E156" t="inlineStr">
        <is>
          <t>IR_FORENSICS</t>
        </is>
      </c>
      <c r="F156" t="inlineStr">
        <is>
          <t>P50</t>
        </is>
      </c>
      <c r="G156" t="n">
        <v>40000</v>
      </c>
      <c r="H156" t="b">
        <v>1</v>
      </c>
      <c r="I156" t="inlineStr">
        <is>
          <t>D</t>
        </is>
      </c>
      <c r="J156" t="inlineStr">
        <is>
          <t>SRC-10</t>
        </is>
      </c>
    </row>
    <row r="157">
      <c r="A157" t="inlineStr">
        <is>
          <t>Cybercriminal</t>
        </is>
      </c>
      <c r="B157" t="inlineStr">
        <is>
          <t>SC_DATA</t>
        </is>
      </c>
      <c r="C157" t="inlineStr">
        <is>
          <t>Sensitive-data compromise</t>
        </is>
      </c>
      <c r="D157" t="inlineStr">
        <is>
          <t>Duration</t>
        </is>
      </c>
      <c r="E157" t="inlineStr">
        <is>
          <t>EXTERNAL_RESPONSE</t>
        </is>
      </c>
      <c r="F157" t="inlineStr">
        <is>
          <t>P50</t>
        </is>
      </c>
      <c r="G157" t="n">
        <v>90000</v>
      </c>
      <c r="H157" t="b">
        <v>1</v>
      </c>
      <c r="I157" t="inlineStr">
        <is>
          <t>D</t>
        </is>
      </c>
      <c r="J157" t="inlineStr">
        <is>
          <t>SRC-10</t>
        </is>
      </c>
    </row>
    <row r="158">
      <c r="A158" t="inlineStr">
        <is>
          <t>Cybercriminal</t>
        </is>
      </c>
      <c r="B158" t="inlineStr">
        <is>
          <t>SC_DATA</t>
        </is>
      </c>
      <c r="C158" t="inlineStr">
        <is>
          <t>Sensitive-data compromise</t>
        </is>
      </c>
      <c r="D158" t="inlineStr">
        <is>
          <t>Duration</t>
        </is>
      </c>
      <c r="E158" t="inlineStr">
        <is>
          <t>LEGAL_RESPONSE</t>
        </is>
      </c>
      <c r="F158" t="inlineStr">
        <is>
          <t>P50</t>
        </is>
      </c>
      <c r="G158" t="n">
        <v>150000</v>
      </c>
      <c r="H158" t="b">
        <v>1</v>
      </c>
      <c r="I158" t="inlineStr">
        <is>
          <t>D</t>
        </is>
      </c>
      <c r="J158" t="inlineStr">
        <is>
          <t>SRC-10</t>
        </is>
      </c>
    </row>
    <row r="159">
      <c r="A159" t="inlineStr">
        <is>
          <t>Cybercriminal</t>
        </is>
      </c>
      <c r="B159" t="inlineStr">
        <is>
          <t>SC_DATA</t>
        </is>
      </c>
      <c r="C159" t="inlineStr">
        <is>
          <t>Sensitive-data compromise</t>
        </is>
      </c>
      <c r="D159" t="inlineStr">
        <is>
          <t>Duration</t>
        </is>
      </c>
      <c r="E159" t="inlineStr">
        <is>
          <t>RESTORATION</t>
        </is>
      </c>
      <c r="F159" t="inlineStr">
        <is>
          <t>P50</t>
        </is>
      </c>
      <c r="G159" t="n">
        <v>40000</v>
      </c>
      <c r="H159" t="b">
        <v>1</v>
      </c>
      <c r="I159" t="inlineStr">
        <is>
          <t>D</t>
        </is>
      </c>
      <c r="J159" t="inlineStr">
        <is>
          <t>SRC-10</t>
        </is>
      </c>
    </row>
    <row r="160">
      <c r="A160" t="inlineStr">
        <is>
          <t>Cybercriminal</t>
        </is>
      </c>
      <c r="B160" t="inlineStr">
        <is>
          <t>SC_DATA</t>
        </is>
      </c>
      <c r="C160" t="inlineStr">
        <is>
          <t>Sensitive-data compromise</t>
        </is>
      </c>
      <c r="D160" t="inlineStr">
        <is>
          <t>Duration</t>
        </is>
      </c>
      <c r="E160" t="inlineStr">
        <is>
          <t>BUSINESS_INTERRUPTION</t>
        </is>
      </c>
      <c r="F160" t="inlineStr">
        <is>
          <t>P50</t>
        </is>
      </c>
      <c r="G160" t="n">
        <v>273972.602739726</v>
      </c>
      <c r="H160" t="b">
        <v>1</v>
      </c>
      <c r="I160" t="inlineStr">
        <is>
          <t>D</t>
        </is>
      </c>
      <c r="J160" t="inlineStr">
        <is>
          <t>SRC-10</t>
        </is>
      </c>
    </row>
    <row r="161">
      <c r="A161" t="inlineStr">
        <is>
          <t>Cybercriminal</t>
        </is>
      </c>
      <c r="B161" t="inlineStr">
        <is>
          <t>SC_DATA</t>
        </is>
      </c>
      <c r="C161" t="inlineStr">
        <is>
          <t>Sensitive-data compromise</t>
        </is>
      </c>
      <c r="D161" t="inlineStr">
        <is>
          <t>Duration</t>
        </is>
      </c>
      <c r="E161" t="inlineStr">
        <is>
          <t>ENDPOINT_RECOVERY</t>
        </is>
      </c>
      <c r="F161" t="inlineStr">
        <is>
          <t>P50</t>
        </is>
      </c>
      <c r="G161" t="n">
        <v>50000</v>
      </c>
      <c r="H161" t="b">
        <v>1</v>
      </c>
      <c r="I161" t="inlineStr">
        <is>
          <t>D</t>
        </is>
      </c>
      <c r="J161" t="inlineStr">
        <is>
          <t>SRC-10</t>
        </is>
      </c>
    </row>
    <row r="162">
      <c r="A162" t="inlineStr">
        <is>
          <t>Cybercriminal</t>
        </is>
      </c>
      <c r="B162" t="inlineStr">
        <is>
          <t>SC_DATA</t>
        </is>
      </c>
      <c r="C162" t="inlineStr">
        <is>
          <t>Sensitive-data compromise</t>
        </is>
      </c>
      <c r="D162" t="inlineStr">
        <is>
          <t>Duration</t>
        </is>
      </c>
      <c r="E162" t="inlineStr">
        <is>
          <t>SERVER_RECOVERY</t>
        </is>
      </c>
      <c r="F162" t="inlineStr">
        <is>
          <t>P50</t>
        </is>
      </c>
      <c r="G162" t="n">
        <v>125000</v>
      </c>
      <c r="H162" t="b">
        <v>1</v>
      </c>
      <c r="I162" t="inlineStr">
        <is>
          <t>D</t>
        </is>
      </c>
      <c r="J162" t="inlineStr">
        <is>
          <t>SRC-10</t>
        </is>
      </c>
    </row>
    <row r="163">
      <c r="A163" t="inlineStr">
        <is>
          <t>Cybercriminal</t>
        </is>
      </c>
      <c r="B163" t="inlineStr">
        <is>
          <t>SC_DATA</t>
        </is>
      </c>
      <c r="C163" t="inlineStr">
        <is>
          <t>Sensitive-data compromise</t>
        </is>
      </c>
      <c r="D163" t="inlineStr">
        <is>
          <t>Exposure</t>
        </is>
      </c>
      <c r="E163" t="inlineStr">
        <is>
          <t>NOTIFICATION</t>
        </is>
      </c>
      <c r="F163" t="inlineStr">
        <is>
          <t>P50</t>
        </is>
      </c>
      <c r="G163" t="n">
        <v>125000</v>
      </c>
      <c r="H163" t="b">
        <v>1</v>
      </c>
      <c r="I163" t="inlineStr">
        <is>
          <t>D</t>
        </is>
      </c>
      <c r="J163" t="inlineStr">
        <is>
          <t>SRC-10</t>
        </is>
      </c>
    </row>
    <row r="164">
      <c r="A164" t="inlineStr">
        <is>
          <t>Cybercriminal</t>
        </is>
      </c>
      <c r="B164" t="inlineStr">
        <is>
          <t>SC_DATA</t>
        </is>
      </c>
      <c r="C164" t="inlineStr">
        <is>
          <t>Sensitive-data compromise</t>
        </is>
      </c>
      <c r="D164" t="inlineStr">
        <is>
          <t>Exposure</t>
        </is>
      </c>
      <c r="E164" t="inlineStr">
        <is>
          <t>CREDIT_MONITORING</t>
        </is>
      </c>
      <c r="F164" t="inlineStr">
        <is>
          <t>P50</t>
        </is>
      </c>
      <c r="G164" t="n">
        <v>200000</v>
      </c>
      <c r="H164" t="b">
        <v>1</v>
      </c>
      <c r="I164" t="inlineStr">
        <is>
          <t>D</t>
        </is>
      </c>
      <c r="J164" t="inlineStr">
        <is>
          <t>SRC-10</t>
        </is>
      </c>
    </row>
    <row r="165">
      <c r="A165" t="inlineStr">
        <is>
          <t>Cybercriminal</t>
        </is>
      </c>
      <c r="B165" t="inlineStr">
        <is>
          <t>SC_DATA</t>
        </is>
      </c>
      <c r="C165" t="inlineStr">
        <is>
          <t>Sensitive-data compromise</t>
        </is>
      </c>
      <c r="D165" t="inlineStr">
        <is>
          <t>Exposure</t>
        </is>
      </c>
      <c r="E165" t="inlineStr">
        <is>
          <t>REGULATORY</t>
        </is>
      </c>
      <c r="F165" t="inlineStr">
        <is>
          <t>P50</t>
        </is>
      </c>
      <c r="G165" t="n">
        <v>1000000</v>
      </c>
      <c r="H165" t="b">
        <v>1</v>
      </c>
      <c r="I165" t="inlineStr">
        <is>
          <t>D</t>
        </is>
      </c>
      <c r="J165" t="inlineStr">
        <is>
          <t>SRC-10</t>
        </is>
      </c>
    </row>
    <row r="166">
      <c r="A166" t="inlineStr">
        <is>
          <t>Cybercriminal</t>
        </is>
      </c>
      <c r="B166" t="inlineStr">
        <is>
          <t>SC_DATA</t>
        </is>
      </c>
      <c r="C166" t="inlineStr">
        <is>
          <t>Sensitive-data compromise</t>
        </is>
      </c>
      <c r="D166" t="inlineStr">
        <is>
          <t>Exposure</t>
        </is>
      </c>
      <c r="E166" t="inlineStr">
        <is>
          <t>CUSTOMER_ATTRITION</t>
        </is>
      </c>
      <c r="F166" t="inlineStr">
        <is>
          <t>P50</t>
        </is>
      </c>
      <c r="G166" t="n">
        <v>2000000</v>
      </c>
      <c r="H166" t="b">
        <v>1</v>
      </c>
      <c r="I166" t="inlineStr">
        <is>
          <t>D</t>
        </is>
      </c>
      <c r="J166" t="inlineStr">
        <is>
          <t>SRC-10</t>
        </is>
      </c>
    </row>
    <row r="167">
      <c r="A167" t="inlineStr">
        <is>
          <t>Cybercriminal</t>
        </is>
      </c>
      <c r="B167" t="inlineStr">
        <is>
          <t>SC_DATA</t>
        </is>
      </c>
      <c r="C167" t="inlineStr">
        <is>
          <t>Sensitive-data compromise</t>
        </is>
      </c>
      <c r="D167" t="inlineStr">
        <is>
          <t>Direct</t>
        </is>
      </c>
      <c r="E167" t="inlineStr">
        <is>
          <t>FRAUD_NET_RECOVERY</t>
        </is>
      </c>
      <c r="F167" t="inlineStr">
        <is>
          <t>P50</t>
        </is>
      </c>
      <c r="G167" t="n">
        <v>0</v>
      </c>
      <c r="H167" t="b">
        <v>0</v>
      </c>
      <c r="I167" t="inlineStr">
        <is>
          <t>D</t>
        </is>
      </c>
      <c r="J167" t="inlineStr">
        <is>
          <t>SRC-10</t>
        </is>
      </c>
    </row>
    <row r="168">
      <c r="A168" t="inlineStr">
        <is>
          <t>Cybercriminal</t>
        </is>
      </c>
      <c r="B168" t="inlineStr">
        <is>
          <t>SC_DATA</t>
        </is>
      </c>
      <c r="C168" t="inlineStr">
        <is>
          <t>Sensitive-data compromise</t>
        </is>
      </c>
      <c r="D168" t="inlineStr">
        <is>
          <t>Direct</t>
        </is>
      </c>
      <c r="E168" t="inlineStr">
        <is>
          <t>EXTORTION</t>
        </is>
      </c>
      <c r="F168" t="inlineStr">
        <is>
          <t>P50</t>
        </is>
      </c>
      <c r="G168" t="n">
        <v>500000</v>
      </c>
      <c r="H168" t="b">
        <v>1</v>
      </c>
      <c r="I168" t="inlineStr">
        <is>
          <t>D</t>
        </is>
      </c>
      <c r="J168" t="inlineStr">
        <is>
          <t>SRC-10</t>
        </is>
      </c>
    </row>
    <row r="169">
      <c r="A169" t="inlineStr">
        <is>
          <t>Cybercriminal</t>
        </is>
      </c>
      <c r="B169" t="inlineStr">
        <is>
          <t>SC_DATA</t>
        </is>
      </c>
      <c r="C169" t="inlineStr">
        <is>
          <t>Sensitive-data compromise</t>
        </is>
      </c>
      <c r="D169" t="inlineStr">
        <is>
          <t>Direct</t>
        </is>
      </c>
      <c r="E169" t="inlineStr">
        <is>
          <t>POST_EVENT_UPLIFT</t>
        </is>
      </c>
      <c r="F169" t="inlineStr">
        <is>
          <t>P50</t>
        </is>
      </c>
      <c r="G169" t="n">
        <v>1000000</v>
      </c>
      <c r="H169" t="b">
        <v>1</v>
      </c>
      <c r="I169" t="inlineStr">
        <is>
          <t>D</t>
        </is>
      </c>
      <c r="J169" t="inlineStr">
        <is>
          <t>SRC-10</t>
        </is>
      </c>
    </row>
    <row r="170">
      <c r="A170" t="inlineStr">
        <is>
          <t>Cybercriminal</t>
        </is>
      </c>
      <c r="B170" t="inlineStr">
        <is>
          <t>SC_DATA</t>
        </is>
      </c>
      <c r="C170" t="inlineStr">
        <is>
          <t>Sensitive-data compromise</t>
        </is>
      </c>
      <c r="D170" t="inlineStr">
        <is>
          <t>Duration</t>
        </is>
      </c>
      <c r="E170" t="inlineStr">
        <is>
          <t>IR_FORENSICS</t>
        </is>
      </c>
      <c r="F170" t="inlineStr">
        <is>
          <t>P99</t>
        </is>
      </c>
      <c r="G170" t="n">
        <v>480000</v>
      </c>
      <c r="H170" t="b">
        <v>1</v>
      </c>
      <c r="I170" t="inlineStr">
        <is>
          <t>D</t>
        </is>
      </c>
      <c r="J170" t="inlineStr">
        <is>
          <t>SRC-10</t>
        </is>
      </c>
    </row>
    <row r="171">
      <c r="A171" t="inlineStr">
        <is>
          <t>Cybercriminal</t>
        </is>
      </c>
      <c r="B171" t="inlineStr">
        <is>
          <t>SC_DATA</t>
        </is>
      </c>
      <c r="C171" t="inlineStr">
        <is>
          <t>Sensitive-data compromise</t>
        </is>
      </c>
      <c r="D171" t="inlineStr">
        <is>
          <t>Duration</t>
        </is>
      </c>
      <c r="E171" t="inlineStr">
        <is>
          <t>EXTERNAL_RESPONSE</t>
        </is>
      </c>
      <c r="F171" t="inlineStr">
        <is>
          <t>P99</t>
        </is>
      </c>
      <c r="G171" t="n">
        <v>900000</v>
      </c>
      <c r="H171" t="b">
        <v>1</v>
      </c>
      <c r="I171" t="inlineStr">
        <is>
          <t>D</t>
        </is>
      </c>
      <c r="J171" t="inlineStr">
        <is>
          <t>SRC-10</t>
        </is>
      </c>
    </row>
    <row r="172">
      <c r="A172" t="inlineStr">
        <is>
          <t>Cybercriminal</t>
        </is>
      </c>
      <c r="B172" t="inlineStr">
        <is>
          <t>SC_DATA</t>
        </is>
      </c>
      <c r="C172" t="inlineStr">
        <is>
          <t>Sensitive-data compromise</t>
        </is>
      </c>
      <c r="D172" t="inlineStr">
        <is>
          <t>Duration</t>
        </is>
      </c>
      <c r="E172" t="inlineStr">
        <is>
          <t>LEGAL_RESPONSE</t>
        </is>
      </c>
      <c r="F172" t="inlineStr">
        <is>
          <t>P99</t>
        </is>
      </c>
      <c r="G172" t="n">
        <v>1800000</v>
      </c>
      <c r="H172" t="b">
        <v>1</v>
      </c>
      <c r="I172" t="inlineStr">
        <is>
          <t>D</t>
        </is>
      </c>
      <c r="J172" t="inlineStr">
        <is>
          <t>SRC-10</t>
        </is>
      </c>
    </row>
    <row r="173">
      <c r="A173" t="inlineStr">
        <is>
          <t>Cybercriminal</t>
        </is>
      </c>
      <c r="B173" t="inlineStr">
        <is>
          <t>SC_DATA</t>
        </is>
      </c>
      <c r="C173" t="inlineStr">
        <is>
          <t>Sensitive-data compromise</t>
        </is>
      </c>
      <c r="D173" t="inlineStr">
        <is>
          <t>Duration</t>
        </is>
      </c>
      <c r="E173" t="inlineStr">
        <is>
          <t>RESTORATION</t>
        </is>
      </c>
      <c r="F173" t="inlineStr">
        <is>
          <t>P99</t>
        </is>
      </c>
      <c r="G173" t="n">
        <v>480000</v>
      </c>
      <c r="H173" t="b">
        <v>1</v>
      </c>
      <c r="I173" t="inlineStr">
        <is>
          <t>D</t>
        </is>
      </c>
      <c r="J173" t="inlineStr">
        <is>
          <t>SRC-10</t>
        </is>
      </c>
    </row>
    <row r="174">
      <c r="A174" t="inlineStr">
        <is>
          <t>Cybercriminal</t>
        </is>
      </c>
      <c r="B174" t="inlineStr">
        <is>
          <t>SC_DATA</t>
        </is>
      </c>
      <c r="C174" t="inlineStr">
        <is>
          <t>Sensitive-data compromise</t>
        </is>
      </c>
      <c r="D174" t="inlineStr">
        <is>
          <t>Duration</t>
        </is>
      </c>
      <c r="E174" t="inlineStr">
        <is>
          <t>BUSINESS_INTERRUPTION</t>
        </is>
      </c>
      <c r="F174" t="inlineStr">
        <is>
          <t>P99</t>
        </is>
      </c>
      <c r="G174" t="n">
        <v>10958904.10958904</v>
      </c>
      <c r="H174" t="b">
        <v>1</v>
      </c>
      <c r="I174" t="inlineStr">
        <is>
          <t>D</t>
        </is>
      </c>
      <c r="J174" t="inlineStr">
        <is>
          <t>SRC-10</t>
        </is>
      </c>
    </row>
    <row r="175">
      <c r="A175" t="inlineStr">
        <is>
          <t>Cybercriminal</t>
        </is>
      </c>
      <c r="B175" t="inlineStr">
        <is>
          <t>SC_DATA</t>
        </is>
      </c>
      <c r="C175" t="inlineStr">
        <is>
          <t>Sensitive-data compromise</t>
        </is>
      </c>
      <c r="D175" t="inlineStr">
        <is>
          <t>Duration</t>
        </is>
      </c>
      <c r="E175" t="inlineStr">
        <is>
          <t>ENDPOINT_RECOVERY</t>
        </is>
      </c>
      <c r="F175" t="inlineStr">
        <is>
          <t>P99</t>
        </is>
      </c>
      <c r="G175" t="n">
        <v>750000</v>
      </c>
      <c r="H175" t="b">
        <v>1</v>
      </c>
      <c r="I175" t="inlineStr">
        <is>
          <t>D</t>
        </is>
      </c>
      <c r="J175" t="inlineStr">
        <is>
          <t>SRC-10</t>
        </is>
      </c>
    </row>
    <row r="176">
      <c r="A176" t="inlineStr">
        <is>
          <t>Cybercriminal</t>
        </is>
      </c>
      <c r="B176" t="inlineStr">
        <is>
          <t>SC_DATA</t>
        </is>
      </c>
      <c r="C176" t="inlineStr">
        <is>
          <t>Sensitive-data compromise</t>
        </is>
      </c>
      <c r="D176" t="inlineStr">
        <is>
          <t>Duration</t>
        </is>
      </c>
      <c r="E176" t="inlineStr">
        <is>
          <t>SERVER_RECOVERY</t>
        </is>
      </c>
      <c r="F176" t="inlineStr">
        <is>
          <t>P99</t>
        </is>
      </c>
      <c r="G176" t="n">
        <v>1000000</v>
      </c>
      <c r="H176" t="b">
        <v>1</v>
      </c>
      <c r="I176" t="inlineStr">
        <is>
          <t>D</t>
        </is>
      </c>
      <c r="J176" t="inlineStr">
        <is>
          <t>SRC-10</t>
        </is>
      </c>
    </row>
    <row r="177">
      <c r="A177" t="inlineStr">
        <is>
          <t>Cybercriminal</t>
        </is>
      </c>
      <c r="B177" t="inlineStr">
        <is>
          <t>SC_DATA</t>
        </is>
      </c>
      <c r="C177" t="inlineStr">
        <is>
          <t>Sensitive-data compromise</t>
        </is>
      </c>
      <c r="D177" t="inlineStr">
        <is>
          <t>Exposure</t>
        </is>
      </c>
      <c r="E177" t="inlineStr">
        <is>
          <t>NOTIFICATION</t>
        </is>
      </c>
      <c r="F177" t="inlineStr">
        <is>
          <t>P99</t>
        </is>
      </c>
      <c r="G177" t="n">
        <v>4000000</v>
      </c>
      <c r="H177" t="b">
        <v>1</v>
      </c>
      <c r="I177" t="inlineStr">
        <is>
          <t>D</t>
        </is>
      </c>
      <c r="J177" t="inlineStr">
        <is>
          <t>SRC-10</t>
        </is>
      </c>
    </row>
    <row r="178">
      <c r="A178" t="inlineStr">
        <is>
          <t>Cybercriminal</t>
        </is>
      </c>
      <c r="B178" t="inlineStr">
        <is>
          <t>SC_DATA</t>
        </is>
      </c>
      <c r="C178" t="inlineStr">
        <is>
          <t>Sensitive-data compromise</t>
        </is>
      </c>
      <c r="D178" t="inlineStr">
        <is>
          <t>Exposure</t>
        </is>
      </c>
      <c r="E178" t="inlineStr">
        <is>
          <t>CREDIT_MONITORING</t>
        </is>
      </c>
      <c r="F178" t="inlineStr">
        <is>
          <t>P99</t>
        </is>
      </c>
      <c r="G178" t="n">
        <v>20000000</v>
      </c>
      <c r="H178" t="b">
        <v>1</v>
      </c>
      <c r="I178" t="inlineStr">
        <is>
          <t>D</t>
        </is>
      </c>
      <c r="J178" t="inlineStr">
        <is>
          <t>SRC-10</t>
        </is>
      </c>
    </row>
    <row r="179">
      <c r="A179" t="inlineStr">
        <is>
          <t>Cybercriminal</t>
        </is>
      </c>
      <c r="B179" t="inlineStr">
        <is>
          <t>SC_DATA</t>
        </is>
      </c>
      <c r="C179" t="inlineStr">
        <is>
          <t>Sensitive-data compromise</t>
        </is>
      </c>
      <c r="D179" t="inlineStr">
        <is>
          <t>Exposure</t>
        </is>
      </c>
      <c r="E179" t="inlineStr">
        <is>
          <t>REGULATORY</t>
        </is>
      </c>
      <c r="F179" t="inlineStr">
        <is>
          <t>P99</t>
        </is>
      </c>
      <c r="G179" t="n">
        <v>10000000</v>
      </c>
      <c r="H179" t="b">
        <v>1</v>
      </c>
      <c r="I179" t="inlineStr">
        <is>
          <t>D</t>
        </is>
      </c>
      <c r="J179" t="inlineStr">
        <is>
          <t>SRC-10</t>
        </is>
      </c>
    </row>
    <row r="180">
      <c r="A180" t="inlineStr">
        <is>
          <t>Cybercriminal</t>
        </is>
      </c>
      <c r="B180" t="inlineStr">
        <is>
          <t>SC_DATA</t>
        </is>
      </c>
      <c r="C180" t="inlineStr">
        <is>
          <t>Sensitive-data compromise</t>
        </is>
      </c>
      <c r="D180" t="inlineStr">
        <is>
          <t>Exposure</t>
        </is>
      </c>
      <c r="E180" t="inlineStr">
        <is>
          <t>CUSTOMER_ATTRITION</t>
        </is>
      </c>
      <c r="F180" t="inlineStr">
        <is>
          <t>P99</t>
        </is>
      </c>
      <c r="G180" t="n">
        <v>30000000</v>
      </c>
      <c r="H180" t="b">
        <v>1</v>
      </c>
      <c r="I180" t="inlineStr">
        <is>
          <t>D</t>
        </is>
      </c>
      <c r="J180" t="inlineStr">
        <is>
          <t>SRC-10</t>
        </is>
      </c>
    </row>
    <row r="181">
      <c r="A181" t="inlineStr">
        <is>
          <t>Cybercriminal</t>
        </is>
      </c>
      <c r="B181" t="inlineStr">
        <is>
          <t>SC_DATA</t>
        </is>
      </c>
      <c r="C181" t="inlineStr">
        <is>
          <t>Sensitive-data compromise</t>
        </is>
      </c>
      <c r="D181" t="inlineStr">
        <is>
          <t>Direct</t>
        </is>
      </c>
      <c r="E181" t="inlineStr">
        <is>
          <t>FRAUD_NET_RECOVERY</t>
        </is>
      </c>
      <c r="F181" t="inlineStr">
        <is>
          <t>P99</t>
        </is>
      </c>
      <c r="G181" t="n">
        <v>0</v>
      </c>
      <c r="H181" t="b">
        <v>0</v>
      </c>
      <c r="I181" t="inlineStr">
        <is>
          <t>D</t>
        </is>
      </c>
      <c r="J181" t="inlineStr">
        <is>
          <t>SRC-10</t>
        </is>
      </c>
    </row>
    <row r="182">
      <c r="A182" t="inlineStr">
        <is>
          <t>Cybercriminal</t>
        </is>
      </c>
      <c r="B182" t="inlineStr">
        <is>
          <t>SC_DATA</t>
        </is>
      </c>
      <c r="C182" t="inlineStr">
        <is>
          <t>Sensitive-data compromise</t>
        </is>
      </c>
      <c r="D182" t="inlineStr">
        <is>
          <t>Direct</t>
        </is>
      </c>
      <c r="E182" t="inlineStr">
        <is>
          <t>EXTORTION</t>
        </is>
      </c>
      <c r="F182" t="inlineStr">
        <is>
          <t>P99</t>
        </is>
      </c>
      <c r="G182" t="n">
        <v>10000000</v>
      </c>
      <c r="H182" t="b">
        <v>1</v>
      </c>
      <c r="I182" t="inlineStr">
        <is>
          <t>D</t>
        </is>
      </c>
      <c r="J182" t="inlineStr">
        <is>
          <t>SRC-10</t>
        </is>
      </c>
    </row>
    <row r="183">
      <c r="A183" t="inlineStr">
        <is>
          <t>Cybercriminal</t>
        </is>
      </c>
      <c r="B183" t="inlineStr">
        <is>
          <t>SC_DATA</t>
        </is>
      </c>
      <c r="C183" t="inlineStr">
        <is>
          <t>Sensitive-data compromise</t>
        </is>
      </c>
      <c r="D183" t="inlineStr">
        <is>
          <t>Direct</t>
        </is>
      </c>
      <c r="E183" t="inlineStr">
        <is>
          <t>POST_EVENT_UPLIFT</t>
        </is>
      </c>
      <c r="F183" t="inlineStr">
        <is>
          <t>P99</t>
        </is>
      </c>
      <c r="G183" t="n">
        <v>8000000</v>
      </c>
      <c r="H183" t="b">
        <v>1</v>
      </c>
      <c r="I183" t="inlineStr">
        <is>
          <t>D</t>
        </is>
      </c>
      <c r="J183" t="inlineStr">
        <is>
          <t>SRC-10</t>
        </is>
      </c>
    </row>
    <row r="184">
      <c r="A184" t="inlineStr">
        <is>
          <t>Cybercriminal</t>
        </is>
      </c>
      <c r="B184" t="inlineStr">
        <is>
          <t>SC_INT</t>
        </is>
      </c>
      <c r="C184" t="inlineStr">
        <is>
          <t>Data or transaction-integrity compromise</t>
        </is>
      </c>
      <c r="D184" t="inlineStr">
        <is>
          <t>Duration</t>
        </is>
      </c>
      <c r="E184" t="inlineStr">
        <is>
          <t>IR_FORENSICS</t>
        </is>
      </c>
      <c r="F184" t="inlineStr">
        <is>
          <t>P50</t>
        </is>
      </c>
      <c r="G184" t="n">
        <v>30000</v>
      </c>
      <c r="H184" t="b">
        <v>1</v>
      </c>
      <c r="I184" t="inlineStr">
        <is>
          <t>D</t>
        </is>
      </c>
      <c r="J184" t="inlineStr">
        <is>
          <t>SRC-10</t>
        </is>
      </c>
    </row>
    <row r="185">
      <c r="A185" t="inlineStr">
        <is>
          <t>Cybercriminal</t>
        </is>
      </c>
      <c r="B185" t="inlineStr">
        <is>
          <t>SC_INT</t>
        </is>
      </c>
      <c r="C185" t="inlineStr">
        <is>
          <t>Data or transaction-integrity compromise</t>
        </is>
      </c>
      <c r="D185" t="inlineStr">
        <is>
          <t>Duration</t>
        </is>
      </c>
      <c r="E185" t="inlineStr">
        <is>
          <t>EXTERNAL_RESPONSE</t>
        </is>
      </c>
      <c r="F185" t="inlineStr">
        <is>
          <t>P50</t>
        </is>
      </c>
      <c r="G185" t="n">
        <v>60000</v>
      </c>
      <c r="H185" t="b">
        <v>1</v>
      </c>
      <c r="I185" t="inlineStr">
        <is>
          <t>D</t>
        </is>
      </c>
      <c r="J185" t="inlineStr">
        <is>
          <t>SRC-10</t>
        </is>
      </c>
    </row>
    <row r="186">
      <c r="A186" t="inlineStr">
        <is>
          <t>Cybercriminal</t>
        </is>
      </c>
      <c r="B186" t="inlineStr">
        <is>
          <t>SC_INT</t>
        </is>
      </c>
      <c r="C186" t="inlineStr">
        <is>
          <t>Data or transaction-integrity compromise</t>
        </is>
      </c>
      <c r="D186" t="inlineStr">
        <is>
          <t>Duration</t>
        </is>
      </c>
      <c r="E186" t="inlineStr">
        <is>
          <t>LEGAL_RESPONSE</t>
        </is>
      </c>
      <c r="F186" t="inlineStr">
        <is>
          <t>P50</t>
        </is>
      </c>
      <c r="G186" t="n">
        <v>100000</v>
      </c>
      <c r="H186" t="b">
        <v>1</v>
      </c>
      <c r="I186" t="inlineStr">
        <is>
          <t>D</t>
        </is>
      </c>
      <c r="J186" t="inlineStr">
        <is>
          <t>SRC-10</t>
        </is>
      </c>
    </row>
    <row r="187">
      <c r="A187" t="inlineStr">
        <is>
          <t>Cybercriminal</t>
        </is>
      </c>
      <c r="B187" t="inlineStr">
        <is>
          <t>SC_INT</t>
        </is>
      </c>
      <c r="C187" t="inlineStr">
        <is>
          <t>Data or transaction-integrity compromise</t>
        </is>
      </c>
      <c r="D187" t="inlineStr">
        <is>
          <t>Duration</t>
        </is>
      </c>
      <c r="E187" t="inlineStr">
        <is>
          <t>RESTORATION</t>
        </is>
      </c>
      <c r="F187" t="inlineStr">
        <is>
          <t>P50</t>
        </is>
      </c>
      <c r="G187" t="n">
        <v>40000</v>
      </c>
      <c r="H187" t="b">
        <v>1</v>
      </c>
      <c r="I187" t="inlineStr">
        <is>
          <t>D</t>
        </is>
      </c>
      <c r="J187" t="inlineStr">
        <is>
          <t>SRC-10</t>
        </is>
      </c>
    </row>
    <row r="188">
      <c r="A188" t="inlineStr">
        <is>
          <t>Cybercriminal</t>
        </is>
      </c>
      <c r="B188" t="inlineStr">
        <is>
          <t>SC_INT</t>
        </is>
      </c>
      <c r="C188" t="inlineStr">
        <is>
          <t>Data or transaction-integrity compromise</t>
        </is>
      </c>
      <c r="D188" t="inlineStr">
        <is>
          <t>Duration</t>
        </is>
      </c>
      <c r="E188" t="inlineStr">
        <is>
          <t>BUSINESS_INTERRUPTION</t>
        </is>
      </c>
      <c r="F188" t="inlineStr">
        <is>
          <t>P50</t>
        </is>
      </c>
      <c r="G188" t="n">
        <v>1095890.410958904</v>
      </c>
      <c r="H188" t="b">
        <v>1</v>
      </c>
      <c r="I188" t="inlineStr">
        <is>
          <t>D</t>
        </is>
      </c>
      <c r="J188" t="inlineStr">
        <is>
          <t>SRC-10</t>
        </is>
      </c>
    </row>
    <row r="189">
      <c r="A189" t="inlineStr">
        <is>
          <t>Cybercriminal</t>
        </is>
      </c>
      <c r="B189" t="inlineStr">
        <is>
          <t>SC_INT</t>
        </is>
      </c>
      <c r="C189" t="inlineStr">
        <is>
          <t>Data or transaction-integrity compromise</t>
        </is>
      </c>
      <c r="D189" t="inlineStr">
        <is>
          <t>Duration</t>
        </is>
      </c>
      <c r="E189" t="inlineStr">
        <is>
          <t>ENDPOINT_RECOVERY</t>
        </is>
      </c>
      <c r="F189" t="inlineStr">
        <is>
          <t>P50</t>
        </is>
      </c>
      <c r="G189" t="n">
        <v>100000</v>
      </c>
      <c r="H189" t="b">
        <v>1</v>
      </c>
      <c r="I189" t="inlineStr">
        <is>
          <t>D</t>
        </is>
      </c>
      <c r="J189" t="inlineStr">
        <is>
          <t>SRC-10</t>
        </is>
      </c>
    </row>
    <row r="190">
      <c r="A190" t="inlineStr">
        <is>
          <t>Cybercriminal</t>
        </is>
      </c>
      <c r="B190" t="inlineStr">
        <is>
          <t>SC_INT</t>
        </is>
      </c>
      <c r="C190" t="inlineStr">
        <is>
          <t>Data or transaction-integrity compromise</t>
        </is>
      </c>
      <c r="D190" t="inlineStr">
        <is>
          <t>Duration</t>
        </is>
      </c>
      <c r="E190" t="inlineStr">
        <is>
          <t>SERVER_RECOVERY</t>
        </is>
      </c>
      <c r="F190" t="inlineStr">
        <is>
          <t>P50</t>
        </is>
      </c>
      <c r="G190" t="n">
        <v>250000</v>
      </c>
      <c r="H190" t="b">
        <v>1</v>
      </c>
      <c r="I190" t="inlineStr">
        <is>
          <t>D</t>
        </is>
      </c>
      <c r="J190" t="inlineStr">
        <is>
          <t>SRC-10</t>
        </is>
      </c>
    </row>
    <row r="191">
      <c r="A191" t="inlineStr">
        <is>
          <t>Cybercriminal</t>
        </is>
      </c>
      <c r="B191" t="inlineStr">
        <is>
          <t>SC_INT</t>
        </is>
      </c>
      <c r="C191" t="inlineStr">
        <is>
          <t>Data or transaction-integrity compromise</t>
        </is>
      </c>
      <c r="D191" t="inlineStr">
        <is>
          <t>Exposure</t>
        </is>
      </c>
      <c r="E191" t="inlineStr">
        <is>
          <t>NOTIFICATION</t>
        </is>
      </c>
      <c r="F191" t="inlineStr">
        <is>
          <t>P50</t>
        </is>
      </c>
      <c r="G191" t="n">
        <v>0</v>
      </c>
      <c r="H191" t="b">
        <v>0</v>
      </c>
      <c r="I191" t="inlineStr">
        <is>
          <t>D</t>
        </is>
      </c>
      <c r="J191" t="inlineStr">
        <is>
          <t>SRC-10</t>
        </is>
      </c>
    </row>
    <row r="192">
      <c r="A192" t="inlineStr">
        <is>
          <t>Cybercriminal</t>
        </is>
      </c>
      <c r="B192" t="inlineStr">
        <is>
          <t>SC_INT</t>
        </is>
      </c>
      <c r="C192" t="inlineStr">
        <is>
          <t>Data or transaction-integrity compromise</t>
        </is>
      </c>
      <c r="D192" t="inlineStr">
        <is>
          <t>Exposure</t>
        </is>
      </c>
      <c r="E192" t="inlineStr">
        <is>
          <t>CREDIT_MONITORING</t>
        </is>
      </c>
      <c r="F192" t="inlineStr">
        <is>
          <t>P50</t>
        </is>
      </c>
      <c r="G192" t="n">
        <v>0</v>
      </c>
      <c r="H192" t="b">
        <v>0</v>
      </c>
      <c r="I192" t="inlineStr">
        <is>
          <t>D</t>
        </is>
      </c>
      <c r="J192" t="inlineStr">
        <is>
          <t>SRC-10</t>
        </is>
      </c>
    </row>
    <row r="193">
      <c r="A193" t="inlineStr">
        <is>
          <t>Cybercriminal</t>
        </is>
      </c>
      <c r="B193" t="inlineStr">
        <is>
          <t>SC_INT</t>
        </is>
      </c>
      <c r="C193" t="inlineStr">
        <is>
          <t>Data or transaction-integrity compromise</t>
        </is>
      </c>
      <c r="D193" t="inlineStr">
        <is>
          <t>Exposure</t>
        </is>
      </c>
      <c r="E193" t="inlineStr">
        <is>
          <t>REGULATORY</t>
        </is>
      </c>
      <c r="F193" t="inlineStr">
        <is>
          <t>P50</t>
        </is>
      </c>
      <c r="G193" t="n">
        <v>500000</v>
      </c>
      <c r="H193" t="b">
        <v>1</v>
      </c>
      <c r="I193" t="inlineStr">
        <is>
          <t>D</t>
        </is>
      </c>
      <c r="J193" t="inlineStr">
        <is>
          <t>SRC-10</t>
        </is>
      </c>
    </row>
    <row r="194">
      <c r="A194" t="inlineStr">
        <is>
          <t>Cybercriminal</t>
        </is>
      </c>
      <c r="B194" t="inlineStr">
        <is>
          <t>SC_INT</t>
        </is>
      </c>
      <c r="C194" t="inlineStr">
        <is>
          <t>Data or transaction-integrity compromise</t>
        </is>
      </c>
      <c r="D194" t="inlineStr">
        <is>
          <t>Exposure</t>
        </is>
      </c>
      <c r="E194" t="inlineStr">
        <is>
          <t>CUSTOMER_ATTRITION</t>
        </is>
      </c>
      <c r="F194" t="inlineStr">
        <is>
          <t>P50</t>
        </is>
      </c>
      <c r="G194" t="n">
        <v>1000000</v>
      </c>
      <c r="H194" t="b">
        <v>1</v>
      </c>
      <c r="I194" t="inlineStr">
        <is>
          <t>D</t>
        </is>
      </c>
      <c r="J194" t="inlineStr">
        <is>
          <t>SRC-10</t>
        </is>
      </c>
    </row>
    <row r="195">
      <c r="A195" t="inlineStr">
        <is>
          <t>Cybercriminal</t>
        </is>
      </c>
      <c r="B195" t="inlineStr">
        <is>
          <t>SC_INT</t>
        </is>
      </c>
      <c r="C195" t="inlineStr">
        <is>
          <t>Data or transaction-integrity compromise</t>
        </is>
      </c>
      <c r="D195" t="inlineStr">
        <is>
          <t>Direct</t>
        </is>
      </c>
      <c r="E195" t="inlineStr">
        <is>
          <t>FRAUD_NET_RECOVERY</t>
        </is>
      </c>
      <c r="F195" t="inlineStr">
        <is>
          <t>P50</t>
        </is>
      </c>
      <c r="G195" t="n">
        <v>27397.2602739726</v>
      </c>
      <c r="H195" t="b">
        <v>1</v>
      </c>
      <c r="I195" t="inlineStr">
        <is>
          <t>D</t>
        </is>
      </c>
      <c r="J195" t="inlineStr">
        <is>
          <t>SRC-10</t>
        </is>
      </c>
    </row>
    <row r="196">
      <c r="A196" t="inlineStr">
        <is>
          <t>Cybercriminal</t>
        </is>
      </c>
      <c r="B196" t="inlineStr">
        <is>
          <t>SC_INT</t>
        </is>
      </c>
      <c r="C196" t="inlineStr">
        <is>
          <t>Data or transaction-integrity compromise</t>
        </is>
      </c>
      <c r="D196" t="inlineStr">
        <is>
          <t>Direct</t>
        </is>
      </c>
      <c r="E196" t="inlineStr">
        <is>
          <t>EXTORTION</t>
        </is>
      </c>
      <c r="F196" t="inlineStr">
        <is>
          <t>P50</t>
        </is>
      </c>
      <c r="G196" t="n">
        <v>0</v>
      </c>
      <c r="H196" t="b">
        <v>0</v>
      </c>
      <c r="I196" t="inlineStr">
        <is>
          <t>D</t>
        </is>
      </c>
      <c r="J196" t="inlineStr">
        <is>
          <t>SRC-10</t>
        </is>
      </c>
    </row>
    <row r="197">
      <c r="A197" t="inlineStr">
        <is>
          <t>Cybercriminal</t>
        </is>
      </c>
      <c r="B197" t="inlineStr">
        <is>
          <t>SC_INT</t>
        </is>
      </c>
      <c r="C197" t="inlineStr">
        <is>
          <t>Data or transaction-integrity compromise</t>
        </is>
      </c>
      <c r="D197" t="inlineStr">
        <is>
          <t>Direct</t>
        </is>
      </c>
      <c r="E197" t="inlineStr">
        <is>
          <t>POST_EVENT_UPLIFT</t>
        </is>
      </c>
      <c r="F197" t="inlineStr">
        <is>
          <t>P50</t>
        </is>
      </c>
      <c r="G197" t="n">
        <v>1000000</v>
      </c>
      <c r="H197" t="b">
        <v>1</v>
      </c>
      <c r="I197" t="inlineStr">
        <is>
          <t>D</t>
        </is>
      </c>
      <c r="J197" t="inlineStr">
        <is>
          <t>SRC-10</t>
        </is>
      </c>
    </row>
    <row r="198">
      <c r="A198" t="inlineStr">
        <is>
          <t>Cybercriminal</t>
        </is>
      </c>
      <c r="B198" t="inlineStr">
        <is>
          <t>SC_INT</t>
        </is>
      </c>
      <c r="C198" t="inlineStr">
        <is>
          <t>Data or transaction-integrity compromise</t>
        </is>
      </c>
      <c r="D198" t="inlineStr">
        <is>
          <t>Duration</t>
        </is>
      </c>
      <c r="E198" t="inlineStr">
        <is>
          <t>IR_FORENSICS</t>
        </is>
      </c>
      <c r="F198" t="inlineStr">
        <is>
          <t>P99</t>
        </is>
      </c>
      <c r="G198" t="n">
        <v>360000</v>
      </c>
      <c r="H198" t="b">
        <v>1</v>
      </c>
      <c r="I198" t="inlineStr">
        <is>
          <t>D</t>
        </is>
      </c>
      <c r="J198" t="inlineStr">
        <is>
          <t>SRC-10</t>
        </is>
      </c>
    </row>
    <row r="199">
      <c r="A199" t="inlineStr">
        <is>
          <t>Cybercriminal</t>
        </is>
      </c>
      <c r="B199" t="inlineStr">
        <is>
          <t>SC_INT</t>
        </is>
      </c>
      <c r="C199" t="inlineStr">
        <is>
          <t>Data or transaction-integrity compromise</t>
        </is>
      </c>
      <c r="D199" t="inlineStr">
        <is>
          <t>Duration</t>
        </is>
      </c>
      <c r="E199" t="inlineStr">
        <is>
          <t>EXTERNAL_RESPONSE</t>
        </is>
      </c>
      <c r="F199" t="inlineStr">
        <is>
          <t>P99</t>
        </is>
      </c>
      <c r="G199" t="n">
        <v>750000</v>
      </c>
      <c r="H199" t="b">
        <v>1</v>
      </c>
      <c r="I199" t="inlineStr">
        <is>
          <t>D</t>
        </is>
      </c>
      <c r="J199" t="inlineStr">
        <is>
          <t>SRC-10</t>
        </is>
      </c>
    </row>
    <row r="200">
      <c r="A200" t="inlineStr">
        <is>
          <t>Cybercriminal</t>
        </is>
      </c>
      <c r="B200" t="inlineStr">
        <is>
          <t>SC_INT</t>
        </is>
      </c>
      <c r="C200" t="inlineStr">
        <is>
          <t>Data or transaction-integrity compromise</t>
        </is>
      </c>
      <c r="D200" t="inlineStr">
        <is>
          <t>Duration</t>
        </is>
      </c>
      <c r="E200" t="inlineStr">
        <is>
          <t>LEGAL_RESPONSE</t>
        </is>
      </c>
      <c r="F200" t="inlineStr">
        <is>
          <t>P99</t>
        </is>
      </c>
      <c r="G200" t="n">
        <v>1200000</v>
      </c>
      <c r="H200" t="b">
        <v>1</v>
      </c>
      <c r="I200" t="inlineStr">
        <is>
          <t>D</t>
        </is>
      </c>
      <c r="J200" t="inlineStr">
        <is>
          <t>SRC-10</t>
        </is>
      </c>
    </row>
    <row r="201">
      <c r="A201" t="inlineStr">
        <is>
          <t>Cybercriminal</t>
        </is>
      </c>
      <c r="B201" t="inlineStr">
        <is>
          <t>SC_INT</t>
        </is>
      </c>
      <c r="C201" t="inlineStr">
        <is>
          <t>Data or transaction-integrity compromise</t>
        </is>
      </c>
      <c r="D201" t="inlineStr">
        <is>
          <t>Duration</t>
        </is>
      </c>
      <c r="E201" t="inlineStr">
        <is>
          <t>RESTORATION</t>
        </is>
      </c>
      <c r="F201" t="inlineStr">
        <is>
          <t>P99</t>
        </is>
      </c>
      <c r="G201" t="n">
        <v>600000</v>
      </c>
      <c r="H201" t="b">
        <v>1</v>
      </c>
      <c r="I201" t="inlineStr">
        <is>
          <t>D</t>
        </is>
      </c>
      <c r="J201" t="inlineStr">
        <is>
          <t>SRC-10</t>
        </is>
      </c>
    </row>
    <row r="202">
      <c r="A202" t="inlineStr">
        <is>
          <t>Cybercriminal</t>
        </is>
      </c>
      <c r="B202" t="inlineStr">
        <is>
          <t>SC_INT</t>
        </is>
      </c>
      <c r="C202" t="inlineStr">
        <is>
          <t>Data or transaction-integrity compromise</t>
        </is>
      </c>
      <c r="D202" t="inlineStr">
        <is>
          <t>Duration</t>
        </is>
      </c>
      <c r="E202" t="inlineStr">
        <is>
          <t>BUSINESS_INTERRUPTION</t>
        </is>
      </c>
      <c r="F202" t="inlineStr">
        <is>
          <t>P99</t>
        </is>
      </c>
      <c r="G202" t="n">
        <v>38356164.38356164</v>
      </c>
      <c r="H202" t="b">
        <v>1</v>
      </c>
      <c r="I202" t="inlineStr">
        <is>
          <t>D</t>
        </is>
      </c>
      <c r="J202" t="inlineStr">
        <is>
          <t>SRC-10</t>
        </is>
      </c>
    </row>
    <row r="203">
      <c r="A203" t="inlineStr">
        <is>
          <t>Cybercriminal</t>
        </is>
      </c>
      <c r="B203" t="inlineStr">
        <is>
          <t>SC_INT</t>
        </is>
      </c>
      <c r="C203" t="inlineStr">
        <is>
          <t>Data or transaction-integrity compromise</t>
        </is>
      </c>
      <c r="D203" t="inlineStr">
        <is>
          <t>Duration</t>
        </is>
      </c>
      <c r="E203" t="inlineStr">
        <is>
          <t>ENDPOINT_RECOVERY</t>
        </is>
      </c>
      <c r="F203" t="inlineStr">
        <is>
          <t>P99</t>
        </is>
      </c>
      <c r="G203" t="n">
        <v>1000000</v>
      </c>
      <c r="H203" t="b">
        <v>1</v>
      </c>
      <c r="I203" t="inlineStr">
        <is>
          <t>D</t>
        </is>
      </c>
      <c r="J203" t="inlineStr">
        <is>
          <t>SRC-10</t>
        </is>
      </c>
    </row>
    <row r="204">
      <c r="A204" t="inlineStr">
        <is>
          <t>Cybercriminal</t>
        </is>
      </c>
      <c r="B204" t="inlineStr">
        <is>
          <t>SC_INT</t>
        </is>
      </c>
      <c r="C204" t="inlineStr">
        <is>
          <t>Data or transaction-integrity compromise</t>
        </is>
      </c>
      <c r="D204" t="inlineStr">
        <is>
          <t>Duration</t>
        </is>
      </c>
      <c r="E204" t="inlineStr">
        <is>
          <t>SERVER_RECOVERY</t>
        </is>
      </c>
      <c r="F204" t="inlineStr">
        <is>
          <t>P99</t>
        </is>
      </c>
      <c r="G204" t="n">
        <v>2000000</v>
      </c>
      <c r="H204" t="b">
        <v>1</v>
      </c>
      <c r="I204" t="inlineStr">
        <is>
          <t>D</t>
        </is>
      </c>
      <c r="J204" t="inlineStr">
        <is>
          <t>SRC-10</t>
        </is>
      </c>
    </row>
    <row r="205">
      <c r="A205" t="inlineStr">
        <is>
          <t>Cybercriminal</t>
        </is>
      </c>
      <c r="B205" t="inlineStr">
        <is>
          <t>SC_INT</t>
        </is>
      </c>
      <c r="C205" t="inlineStr">
        <is>
          <t>Data or transaction-integrity compromise</t>
        </is>
      </c>
      <c r="D205" t="inlineStr">
        <is>
          <t>Exposure</t>
        </is>
      </c>
      <c r="E205" t="inlineStr">
        <is>
          <t>NOTIFICATION</t>
        </is>
      </c>
      <c r="F205" t="inlineStr">
        <is>
          <t>P99</t>
        </is>
      </c>
      <c r="G205" t="n">
        <v>0</v>
      </c>
      <c r="H205" t="b">
        <v>0</v>
      </c>
      <c r="I205" t="inlineStr">
        <is>
          <t>D</t>
        </is>
      </c>
      <c r="J205" t="inlineStr">
        <is>
          <t>SRC-10</t>
        </is>
      </c>
    </row>
    <row r="206">
      <c r="A206" t="inlineStr">
        <is>
          <t>Cybercriminal</t>
        </is>
      </c>
      <c r="B206" t="inlineStr">
        <is>
          <t>SC_INT</t>
        </is>
      </c>
      <c r="C206" t="inlineStr">
        <is>
          <t>Data or transaction-integrity compromise</t>
        </is>
      </c>
      <c r="D206" t="inlineStr">
        <is>
          <t>Exposure</t>
        </is>
      </c>
      <c r="E206" t="inlineStr">
        <is>
          <t>CREDIT_MONITORING</t>
        </is>
      </c>
      <c r="F206" t="inlineStr">
        <is>
          <t>P99</t>
        </is>
      </c>
      <c r="G206" t="n">
        <v>0</v>
      </c>
      <c r="H206" t="b">
        <v>0</v>
      </c>
      <c r="I206" t="inlineStr">
        <is>
          <t>D</t>
        </is>
      </c>
      <c r="J206" t="inlineStr">
        <is>
          <t>SRC-10</t>
        </is>
      </c>
    </row>
    <row r="207">
      <c r="A207" t="inlineStr">
        <is>
          <t>Cybercriminal</t>
        </is>
      </c>
      <c r="B207" t="inlineStr">
        <is>
          <t>SC_INT</t>
        </is>
      </c>
      <c r="C207" t="inlineStr">
        <is>
          <t>Data or transaction-integrity compromise</t>
        </is>
      </c>
      <c r="D207" t="inlineStr">
        <is>
          <t>Exposure</t>
        </is>
      </c>
      <c r="E207" t="inlineStr">
        <is>
          <t>REGULATORY</t>
        </is>
      </c>
      <c r="F207" t="inlineStr">
        <is>
          <t>P99</t>
        </is>
      </c>
      <c r="G207" t="n">
        <v>6000000</v>
      </c>
      <c r="H207" t="b">
        <v>1</v>
      </c>
      <c r="I207" t="inlineStr">
        <is>
          <t>D</t>
        </is>
      </c>
      <c r="J207" t="inlineStr">
        <is>
          <t>SRC-10</t>
        </is>
      </c>
    </row>
    <row r="208">
      <c r="A208" t="inlineStr">
        <is>
          <t>Cybercriminal</t>
        </is>
      </c>
      <c r="B208" t="inlineStr">
        <is>
          <t>SC_INT</t>
        </is>
      </c>
      <c r="C208" t="inlineStr">
        <is>
          <t>Data or transaction-integrity compromise</t>
        </is>
      </c>
      <c r="D208" t="inlineStr">
        <is>
          <t>Exposure</t>
        </is>
      </c>
      <c r="E208" t="inlineStr">
        <is>
          <t>CUSTOMER_ATTRITION</t>
        </is>
      </c>
      <c r="F208" t="inlineStr">
        <is>
          <t>P99</t>
        </is>
      </c>
      <c r="G208" t="n">
        <v>20000000</v>
      </c>
      <c r="H208" t="b">
        <v>1</v>
      </c>
      <c r="I208" t="inlineStr">
        <is>
          <t>D</t>
        </is>
      </c>
      <c r="J208" t="inlineStr">
        <is>
          <t>SRC-10</t>
        </is>
      </c>
    </row>
    <row r="209">
      <c r="A209" t="inlineStr">
        <is>
          <t>Cybercriminal</t>
        </is>
      </c>
      <c r="B209" t="inlineStr">
        <is>
          <t>SC_INT</t>
        </is>
      </c>
      <c r="C209" t="inlineStr">
        <is>
          <t>Data or transaction-integrity compromise</t>
        </is>
      </c>
      <c r="D209" t="inlineStr">
        <is>
          <t>Direct</t>
        </is>
      </c>
      <c r="E209" t="inlineStr">
        <is>
          <t>FRAUD_NET_RECOVERY</t>
        </is>
      </c>
      <c r="F209" t="inlineStr">
        <is>
          <t>P99</t>
        </is>
      </c>
      <c r="G209" t="n">
        <v>4794520.547945206</v>
      </c>
      <c r="H209" t="b">
        <v>1</v>
      </c>
      <c r="I209" t="inlineStr">
        <is>
          <t>D</t>
        </is>
      </c>
      <c r="J209" t="inlineStr">
        <is>
          <t>SRC-10</t>
        </is>
      </c>
    </row>
    <row r="210">
      <c r="A210" t="inlineStr">
        <is>
          <t>Cybercriminal</t>
        </is>
      </c>
      <c r="B210" t="inlineStr">
        <is>
          <t>SC_INT</t>
        </is>
      </c>
      <c r="C210" t="inlineStr">
        <is>
          <t>Data or transaction-integrity compromise</t>
        </is>
      </c>
      <c r="D210" t="inlineStr">
        <is>
          <t>Direct</t>
        </is>
      </c>
      <c r="E210" t="inlineStr">
        <is>
          <t>EXTORTION</t>
        </is>
      </c>
      <c r="F210" t="inlineStr">
        <is>
          <t>P99</t>
        </is>
      </c>
      <c r="G210" t="n">
        <v>0</v>
      </c>
      <c r="H210" t="b">
        <v>0</v>
      </c>
      <c r="I210" t="inlineStr">
        <is>
          <t>D</t>
        </is>
      </c>
      <c r="J210" t="inlineStr">
        <is>
          <t>SRC-10</t>
        </is>
      </c>
    </row>
    <row r="211">
      <c r="A211" t="inlineStr">
        <is>
          <t>Cybercriminal</t>
        </is>
      </c>
      <c r="B211" t="inlineStr">
        <is>
          <t>SC_INT</t>
        </is>
      </c>
      <c r="C211" t="inlineStr">
        <is>
          <t>Data or transaction-integrity compromise</t>
        </is>
      </c>
      <c r="D211" t="inlineStr">
        <is>
          <t>Direct</t>
        </is>
      </c>
      <c r="E211" t="inlineStr">
        <is>
          <t>POST_EVENT_UPLIFT</t>
        </is>
      </c>
      <c r="F211" t="inlineStr">
        <is>
          <t>P99</t>
        </is>
      </c>
      <c r="G211" t="n">
        <v>8000000</v>
      </c>
      <c r="H211" t="b">
        <v>1</v>
      </c>
      <c r="I211" t="inlineStr">
        <is>
          <t>D</t>
        </is>
      </c>
      <c r="J211" t="inlineStr">
        <is>
          <t>SRC-10</t>
        </is>
      </c>
    </row>
    <row r="212">
      <c r="A212" t="inlineStr">
        <is>
          <t>Cybercriminal</t>
        </is>
      </c>
      <c r="B212" t="inlineStr">
        <is>
          <t>SC_FRAUD</t>
        </is>
      </c>
      <c r="C212" t="inlineStr">
        <is>
          <t>Cyber-enabled theft or fraud</t>
        </is>
      </c>
      <c r="D212" t="inlineStr">
        <is>
          <t>Duration</t>
        </is>
      </c>
      <c r="E212" t="inlineStr">
        <is>
          <t>IR_FORENSICS</t>
        </is>
      </c>
      <c r="F212" t="inlineStr">
        <is>
          <t>P50</t>
        </is>
      </c>
      <c r="G212" t="n">
        <v>20000</v>
      </c>
      <c r="H212" t="b">
        <v>1</v>
      </c>
      <c r="I212" t="inlineStr">
        <is>
          <t>D</t>
        </is>
      </c>
      <c r="J212" t="inlineStr">
        <is>
          <t>SRC-10</t>
        </is>
      </c>
    </row>
    <row r="213">
      <c r="A213" t="inlineStr">
        <is>
          <t>Cybercriminal</t>
        </is>
      </c>
      <c r="B213" t="inlineStr">
        <is>
          <t>SC_FRAUD</t>
        </is>
      </c>
      <c r="C213" t="inlineStr">
        <is>
          <t>Cyber-enabled theft or fraud</t>
        </is>
      </c>
      <c r="D213" t="inlineStr">
        <is>
          <t>Duration</t>
        </is>
      </c>
      <c r="E213" t="inlineStr">
        <is>
          <t>EXTERNAL_RESPONSE</t>
        </is>
      </c>
      <c r="F213" t="inlineStr">
        <is>
          <t>P50</t>
        </is>
      </c>
      <c r="G213" t="n">
        <v>30000</v>
      </c>
      <c r="H213" t="b">
        <v>1</v>
      </c>
      <c r="I213" t="inlineStr">
        <is>
          <t>D</t>
        </is>
      </c>
      <c r="J213" t="inlineStr">
        <is>
          <t>SRC-10</t>
        </is>
      </c>
    </row>
    <row r="214">
      <c r="A214" t="inlineStr">
        <is>
          <t>Cybercriminal</t>
        </is>
      </c>
      <c r="B214" t="inlineStr">
        <is>
          <t>SC_FRAUD</t>
        </is>
      </c>
      <c r="C214" t="inlineStr">
        <is>
          <t>Cyber-enabled theft or fraud</t>
        </is>
      </c>
      <c r="D214" t="inlineStr">
        <is>
          <t>Duration</t>
        </is>
      </c>
      <c r="E214" t="inlineStr">
        <is>
          <t>LEGAL_RESPONSE</t>
        </is>
      </c>
      <c r="F214" t="inlineStr">
        <is>
          <t>P50</t>
        </is>
      </c>
      <c r="G214" t="n">
        <v>75000</v>
      </c>
      <c r="H214" t="b">
        <v>1</v>
      </c>
      <c r="I214" t="inlineStr">
        <is>
          <t>D</t>
        </is>
      </c>
      <c r="J214" t="inlineStr">
        <is>
          <t>SRC-10</t>
        </is>
      </c>
    </row>
    <row r="215">
      <c r="A215" t="inlineStr">
        <is>
          <t>Cybercriminal</t>
        </is>
      </c>
      <c r="B215" t="inlineStr">
        <is>
          <t>SC_FRAUD</t>
        </is>
      </c>
      <c r="C215" t="inlineStr">
        <is>
          <t>Cyber-enabled theft or fraud</t>
        </is>
      </c>
      <c r="D215" t="inlineStr">
        <is>
          <t>Duration</t>
        </is>
      </c>
      <c r="E215" t="inlineStr">
        <is>
          <t>RESTORATION</t>
        </is>
      </c>
      <c r="F215" t="inlineStr">
        <is>
          <t>P50</t>
        </is>
      </c>
      <c r="G215" t="n">
        <v>10000</v>
      </c>
      <c r="H215" t="b">
        <v>1</v>
      </c>
      <c r="I215" t="inlineStr">
        <is>
          <t>D</t>
        </is>
      </c>
      <c r="J215" t="inlineStr">
        <is>
          <t>SRC-10</t>
        </is>
      </c>
    </row>
    <row r="216">
      <c r="A216" t="inlineStr">
        <is>
          <t>Cybercriminal</t>
        </is>
      </c>
      <c r="B216" t="inlineStr">
        <is>
          <t>SC_FRAUD</t>
        </is>
      </c>
      <c r="C216" t="inlineStr">
        <is>
          <t>Cyber-enabled theft or fraud</t>
        </is>
      </c>
      <c r="D216" t="inlineStr">
        <is>
          <t>Duration</t>
        </is>
      </c>
      <c r="E216" t="inlineStr">
        <is>
          <t>BUSINESS_INTERRUPTION</t>
        </is>
      </c>
      <c r="F216" t="inlineStr">
        <is>
          <t>P50</t>
        </is>
      </c>
      <c r="G216" t="n">
        <v>0</v>
      </c>
      <c r="H216" t="b">
        <v>0</v>
      </c>
      <c r="I216" t="inlineStr">
        <is>
          <t>D</t>
        </is>
      </c>
      <c r="J216" t="inlineStr">
        <is>
          <t>SRC-10</t>
        </is>
      </c>
    </row>
    <row r="217">
      <c r="A217" t="inlineStr">
        <is>
          <t>Cybercriminal</t>
        </is>
      </c>
      <c r="B217" t="inlineStr">
        <is>
          <t>SC_FRAUD</t>
        </is>
      </c>
      <c r="C217" t="inlineStr">
        <is>
          <t>Cyber-enabled theft or fraud</t>
        </is>
      </c>
      <c r="D217" t="inlineStr">
        <is>
          <t>Duration</t>
        </is>
      </c>
      <c r="E217" t="inlineStr">
        <is>
          <t>ENDPOINT_RECOVERY</t>
        </is>
      </c>
      <c r="F217" t="inlineStr">
        <is>
          <t>P50</t>
        </is>
      </c>
      <c r="G217" t="n">
        <v>0</v>
      </c>
      <c r="H217" t="b">
        <v>0</v>
      </c>
      <c r="I217" t="inlineStr">
        <is>
          <t>D</t>
        </is>
      </c>
      <c r="J217" t="inlineStr">
        <is>
          <t>SRC-10</t>
        </is>
      </c>
    </row>
    <row r="218">
      <c r="A218" t="inlineStr">
        <is>
          <t>Cybercriminal</t>
        </is>
      </c>
      <c r="B218" t="inlineStr">
        <is>
          <t>SC_FRAUD</t>
        </is>
      </c>
      <c r="C218" t="inlineStr">
        <is>
          <t>Cyber-enabled theft or fraud</t>
        </is>
      </c>
      <c r="D218" t="inlineStr">
        <is>
          <t>Duration</t>
        </is>
      </c>
      <c r="E218" t="inlineStr">
        <is>
          <t>SERVER_RECOVERY</t>
        </is>
      </c>
      <c r="F218" t="inlineStr">
        <is>
          <t>P50</t>
        </is>
      </c>
      <c r="G218" t="n">
        <v>0</v>
      </c>
      <c r="H218" t="b">
        <v>0</v>
      </c>
      <c r="I218" t="inlineStr">
        <is>
          <t>D</t>
        </is>
      </c>
      <c r="J218" t="inlineStr">
        <is>
          <t>SRC-10</t>
        </is>
      </c>
    </row>
    <row r="219">
      <c r="A219" t="inlineStr">
        <is>
          <t>Cybercriminal</t>
        </is>
      </c>
      <c r="B219" t="inlineStr">
        <is>
          <t>SC_FRAUD</t>
        </is>
      </c>
      <c r="C219" t="inlineStr">
        <is>
          <t>Cyber-enabled theft or fraud</t>
        </is>
      </c>
      <c r="D219" t="inlineStr">
        <is>
          <t>Exposure</t>
        </is>
      </c>
      <c r="E219" t="inlineStr">
        <is>
          <t>NOTIFICATION</t>
        </is>
      </c>
      <c r="F219" t="inlineStr">
        <is>
          <t>P50</t>
        </is>
      </c>
      <c r="G219" t="n">
        <v>0</v>
      </c>
      <c r="H219" t="b">
        <v>0</v>
      </c>
      <c r="I219" t="inlineStr">
        <is>
          <t>D</t>
        </is>
      </c>
      <c r="J219" t="inlineStr">
        <is>
          <t>SRC-10</t>
        </is>
      </c>
    </row>
    <row r="220">
      <c r="A220" t="inlineStr">
        <is>
          <t>Cybercriminal</t>
        </is>
      </c>
      <c r="B220" t="inlineStr">
        <is>
          <t>SC_FRAUD</t>
        </is>
      </c>
      <c r="C220" t="inlineStr">
        <is>
          <t>Cyber-enabled theft or fraud</t>
        </is>
      </c>
      <c r="D220" t="inlineStr">
        <is>
          <t>Exposure</t>
        </is>
      </c>
      <c r="E220" t="inlineStr">
        <is>
          <t>CREDIT_MONITORING</t>
        </is>
      </c>
      <c r="F220" t="inlineStr">
        <is>
          <t>P50</t>
        </is>
      </c>
      <c r="G220" t="n">
        <v>0</v>
      </c>
      <c r="H220" t="b">
        <v>0</v>
      </c>
      <c r="I220" t="inlineStr">
        <is>
          <t>D</t>
        </is>
      </c>
      <c r="J220" t="inlineStr">
        <is>
          <t>SRC-10</t>
        </is>
      </c>
    </row>
    <row r="221">
      <c r="A221" t="inlineStr">
        <is>
          <t>Cybercriminal</t>
        </is>
      </c>
      <c r="B221" t="inlineStr">
        <is>
          <t>SC_FRAUD</t>
        </is>
      </c>
      <c r="C221" t="inlineStr">
        <is>
          <t>Cyber-enabled theft or fraud</t>
        </is>
      </c>
      <c r="D221" t="inlineStr">
        <is>
          <t>Exposure</t>
        </is>
      </c>
      <c r="E221" t="inlineStr">
        <is>
          <t>REGULATORY</t>
        </is>
      </c>
      <c r="F221" t="inlineStr">
        <is>
          <t>P50</t>
        </is>
      </c>
      <c r="G221" t="n">
        <v>200000</v>
      </c>
      <c r="H221" t="b">
        <v>1</v>
      </c>
      <c r="I221" t="inlineStr">
        <is>
          <t>D</t>
        </is>
      </c>
      <c r="J221" t="inlineStr">
        <is>
          <t>SRC-10</t>
        </is>
      </c>
    </row>
    <row r="222">
      <c r="A222" t="inlineStr">
        <is>
          <t>Cybercriminal</t>
        </is>
      </c>
      <c r="B222" t="inlineStr">
        <is>
          <t>SC_FRAUD</t>
        </is>
      </c>
      <c r="C222" t="inlineStr">
        <is>
          <t>Cyber-enabled theft or fraud</t>
        </is>
      </c>
      <c r="D222" t="inlineStr">
        <is>
          <t>Exposure</t>
        </is>
      </c>
      <c r="E222" t="inlineStr">
        <is>
          <t>CUSTOMER_ATTRITION</t>
        </is>
      </c>
      <c r="F222" t="inlineStr">
        <is>
          <t>P50</t>
        </is>
      </c>
      <c r="G222" t="n">
        <v>1000000</v>
      </c>
      <c r="H222" t="b">
        <v>1</v>
      </c>
      <c r="I222" t="inlineStr">
        <is>
          <t>D</t>
        </is>
      </c>
      <c r="J222" t="inlineStr">
        <is>
          <t>SRC-10</t>
        </is>
      </c>
    </row>
    <row r="223">
      <c r="A223" t="inlineStr">
        <is>
          <t>Cybercriminal</t>
        </is>
      </c>
      <c r="B223" t="inlineStr">
        <is>
          <t>SC_FRAUD</t>
        </is>
      </c>
      <c r="C223" t="inlineStr">
        <is>
          <t>Cyber-enabled theft or fraud</t>
        </is>
      </c>
      <c r="D223" t="inlineStr">
        <is>
          <t>Direct</t>
        </is>
      </c>
      <c r="E223" t="inlineStr">
        <is>
          <t>FRAUD_NET_RECOVERY</t>
        </is>
      </c>
      <c r="F223" t="inlineStr">
        <is>
          <t>P50</t>
        </is>
      </c>
      <c r="G223" t="n">
        <v>54794.52054794521</v>
      </c>
      <c r="H223" t="b">
        <v>1</v>
      </c>
      <c r="I223" t="inlineStr">
        <is>
          <t>D</t>
        </is>
      </c>
      <c r="J223" t="inlineStr">
        <is>
          <t>SRC-10</t>
        </is>
      </c>
    </row>
    <row r="224">
      <c r="A224" t="inlineStr">
        <is>
          <t>Cybercriminal</t>
        </is>
      </c>
      <c r="B224" t="inlineStr">
        <is>
          <t>SC_FRAUD</t>
        </is>
      </c>
      <c r="C224" t="inlineStr">
        <is>
          <t>Cyber-enabled theft or fraud</t>
        </is>
      </c>
      <c r="D224" t="inlineStr">
        <is>
          <t>Direct</t>
        </is>
      </c>
      <c r="E224" t="inlineStr">
        <is>
          <t>EXTORTION</t>
        </is>
      </c>
      <c r="F224" t="inlineStr">
        <is>
          <t>P50</t>
        </is>
      </c>
      <c r="G224" t="n">
        <v>0</v>
      </c>
      <c r="H224" t="b">
        <v>0</v>
      </c>
      <c r="I224" t="inlineStr">
        <is>
          <t>D</t>
        </is>
      </c>
      <c r="J224" t="inlineStr">
        <is>
          <t>SRC-10</t>
        </is>
      </c>
    </row>
    <row r="225">
      <c r="A225" t="inlineStr">
        <is>
          <t>Cybercriminal</t>
        </is>
      </c>
      <c r="B225" t="inlineStr">
        <is>
          <t>SC_FRAUD</t>
        </is>
      </c>
      <c r="C225" t="inlineStr">
        <is>
          <t>Cyber-enabled theft or fraud</t>
        </is>
      </c>
      <c r="D225" t="inlineStr">
        <is>
          <t>Direct</t>
        </is>
      </c>
      <c r="E225" t="inlineStr">
        <is>
          <t>POST_EVENT_UPLIFT</t>
        </is>
      </c>
      <c r="F225" t="inlineStr">
        <is>
          <t>P50</t>
        </is>
      </c>
      <c r="G225" t="n">
        <v>500000</v>
      </c>
      <c r="H225" t="b">
        <v>1</v>
      </c>
      <c r="I225" t="inlineStr">
        <is>
          <t>D</t>
        </is>
      </c>
      <c r="J225" t="inlineStr">
        <is>
          <t>SRC-10</t>
        </is>
      </c>
    </row>
    <row r="226">
      <c r="A226" t="inlineStr">
        <is>
          <t>Cybercriminal</t>
        </is>
      </c>
      <c r="B226" t="inlineStr">
        <is>
          <t>SC_FRAUD</t>
        </is>
      </c>
      <c r="C226" t="inlineStr">
        <is>
          <t>Cyber-enabled theft or fraud</t>
        </is>
      </c>
      <c r="D226" t="inlineStr">
        <is>
          <t>Duration</t>
        </is>
      </c>
      <c r="E226" t="inlineStr">
        <is>
          <t>IR_FORENSICS</t>
        </is>
      </c>
      <c r="F226" t="inlineStr">
        <is>
          <t>P99</t>
        </is>
      </c>
      <c r="G226" t="n">
        <v>240000</v>
      </c>
      <c r="H226" t="b">
        <v>1</v>
      </c>
      <c r="I226" t="inlineStr">
        <is>
          <t>D</t>
        </is>
      </c>
      <c r="J226" t="inlineStr">
        <is>
          <t>SRC-10</t>
        </is>
      </c>
    </row>
    <row r="227">
      <c r="A227" t="inlineStr">
        <is>
          <t>Cybercriminal</t>
        </is>
      </c>
      <c r="B227" t="inlineStr">
        <is>
          <t>SC_FRAUD</t>
        </is>
      </c>
      <c r="C227" t="inlineStr">
        <is>
          <t>Cyber-enabled theft or fraud</t>
        </is>
      </c>
      <c r="D227" t="inlineStr">
        <is>
          <t>Duration</t>
        </is>
      </c>
      <c r="E227" t="inlineStr">
        <is>
          <t>EXTERNAL_RESPONSE</t>
        </is>
      </c>
      <c r="F227" t="inlineStr">
        <is>
          <t>P99</t>
        </is>
      </c>
      <c r="G227" t="n">
        <v>450000</v>
      </c>
      <c r="H227" t="b">
        <v>1</v>
      </c>
      <c r="I227" t="inlineStr">
        <is>
          <t>D</t>
        </is>
      </c>
      <c r="J227" t="inlineStr">
        <is>
          <t>SRC-10</t>
        </is>
      </c>
    </row>
    <row r="228">
      <c r="A228" t="inlineStr">
        <is>
          <t>Cybercriminal</t>
        </is>
      </c>
      <c r="B228" t="inlineStr">
        <is>
          <t>SC_FRAUD</t>
        </is>
      </c>
      <c r="C228" t="inlineStr">
        <is>
          <t>Cyber-enabled theft or fraud</t>
        </is>
      </c>
      <c r="D228" t="inlineStr">
        <is>
          <t>Duration</t>
        </is>
      </c>
      <c r="E228" t="inlineStr">
        <is>
          <t>LEGAL_RESPONSE</t>
        </is>
      </c>
      <c r="F228" t="inlineStr">
        <is>
          <t>P99</t>
        </is>
      </c>
      <c r="G228" t="n">
        <v>900000</v>
      </c>
      <c r="H228" t="b">
        <v>1</v>
      </c>
      <c r="I228" t="inlineStr">
        <is>
          <t>D</t>
        </is>
      </c>
      <c r="J228" t="inlineStr">
        <is>
          <t>SRC-10</t>
        </is>
      </c>
    </row>
    <row r="229">
      <c r="A229" t="inlineStr">
        <is>
          <t>Cybercriminal</t>
        </is>
      </c>
      <c r="B229" t="inlineStr">
        <is>
          <t>SC_FRAUD</t>
        </is>
      </c>
      <c r="C229" t="inlineStr">
        <is>
          <t>Cyber-enabled theft or fraud</t>
        </is>
      </c>
      <c r="D229" t="inlineStr">
        <is>
          <t>Duration</t>
        </is>
      </c>
      <c r="E229" t="inlineStr">
        <is>
          <t>RESTORATION</t>
        </is>
      </c>
      <c r="F229" t="inlineStr">
        <is>
          <t>P99</t>
        </is>
      </c>
      <c r="G229" t="n">
        <v>240000</v>
      </c>
      <c r="H229" t="b">
        <v>1</v>
      </c>
      <c r="I229" t="inlineStr">
        <is>
          <t>D</t>
        </is>
      </c>
      <c r="J229" t="inlineStr">
        <is>
          <t>SRC-10</t>
        </is>
      </c>
    </row>
    <row r="230">
      <c r="A230" t="inlineStr">
        <is>
          <t>Cybercriminal</t>
        </is>
      </c>
      <c r="B230" t="inlineStr">
        <is>
          <t>SC_FRAUD</t>
        </is>
      </c>
      <c r="C230" t="inlineStr">
        <is>
          <t>Cyber-enabled theft or fraud</t>
        </is>
      </c>
      <c r="D230" t="inlineStr">
        <is>
          <t>Duration</t>
        </is>
      </c>
      <c r="E230" t="inlineStr">
        <is>
          <t>BUSINESS_INTERRUPTION</t>
        </is>
      </c>
      <c r="F230" t="inlineStr">
        <is>
          <t>P99</t>
        </is>
      </c>
      <c r="G230" t="n">
        <v>0</v>
      </c>
      <c r="H230" t="b">
        <v>0</v>
      </c>
      <c r="I230" t="inlineStr">
        <is>
          <t>D</t>
        </is>
      </c>
      <c r="J230" t="inlineStr">
        <is>
          <t>SRC-10</t>
        </is>
      </c>
    </row>
    <row r="231">
      <c r="A231" t="inlineStr">
        <is>
          <t>Cybercriminal</t>
        </is>
      </c>
      <c r="B231" t="inlineStr">
        <is>
          <t>SC_FRAUD</t>
        </is>
      </c>
      <c r="C231" t="inlineStr">
        <is>
          <t>Cyber-enabled theft or fraud</t>
        </is>
      </c>
      <c r="D231" t="inlineStr">
        <is>
          <t>Duration</t>
        </is>
      </c>
      <c r="E231" t="inlineStr">
        <is>
          <t>ENDPOINT_RECOVERY</t>
        </is>
      </c>
      <c r="F231" t="inlineStr">
        <is>
          <t>P99</t>
        </is>
      </c>
      <c r="G231" t="n">
        <v>0</v>
      </c>
      <c r="H231" t="b">
        <v>0</v>
      </c>
      <c r="I231" t="inlineStr">
        <is>
          <t>D</t>
        </is>
      </c>
      <c r="J231" t="inlineStr">
        <is>
          <t>SRC-10</t>
        </is>
      </c>
    </row>
    <row r="232">
      <c r="A232" t="inlineStr">
        <is>
          <t>Cybercriminal</t>
        </is>
      </c>
      <c r="B232" t="inlineStr">
        <is>
          <t>SC_FRAUD</t>
        </is>
      </c>
      <c r="C232" t="inlineStr">
        <is>
          <t>Cyber-enabled theft or fraud</t>
        </is>
      </c>
      <c r="D232" t="inlineStr">
        <is>
          <t>Duration</t>
        </is>
      </c>
      <c r="E232" t="inlineStr">
        <is>
          <t>SERVER_RECOVERY</t>
        </is>
      </c>
      <c r="F232" t="inlineStr">
        <is>
          <t>P99</t>
        </is>
      </c>
      <c r="G232" t="n">
        <v>0</v>
      </c>
      <c r="H232" t="b">
        <v>0</v>
      </c>
      <c r="I232" t="inlineStr">
        <is>
          <t>D</t>
        </is>
      </c>
      <c r="J232" t="inlineStr">
        <is>
          <t>SRC-10</t>
        </is>
      </c>
    </row>
    <row r="233">
      <c r="A233" t="inlineStr">
        <is>
          <t>Cybercriminal</t>
        </is>
      </c>
      <c r="B233" t="inlineStr">
        <is>
          <t>SC_FRAUD</t>
        </is>
      </c>
      <c r="C233" t="inlineStr">
        <is>
          <t>Cyber-enabled theft or fraud</t>
        </is>
      </c>
      <c r="D233" t="inlineStr">
        <is>
          <t>Exposure</t>
        </is>
      </c>
      <c r="E233" t="inlineStr">
        <is>
          <t>NOTIFICATION</t>
        </is>
      </c>
      <c r="F233" t="inlineStr">
        <is>
          <t>P99</t>
        </is>
      </c>
      <c r="G233" t="n">
        <v>0</v>
      </c>
      <c r="H233" t="b">
        <v>0</v>
      </c>
      <c r="I233" t="inlineStr">
        <is>
          <t>D</t>
        </is>
      </c>
      <c r="J233" t="inlineStr">
        <is>
          <t>SRC-10</t>
        </is>
      </c>
    </row>
    <row r="234">
      <c r="A234" t="inlineStr">
        <is>
          <t>Cybercriminal</t>
        </is>
      </c>
      <c r="B234" t="inlineStr">
        <is>
          <t>SC_FRAUD</t>
        </is>
      </c>
      <c r="C234" t="inlineStr">
        <is>
          <t>Cyber-enabled theft or fraud</t>
        </is>
      </c>
      <c r="D234" t="inlineStr">
        <is>
          <t>Exposure</t>
        </is>
      </c>
      <c r="E234" t="inlineStr">
        <is>
          <t>CREDIT_MONITORING</t>
        </is>
      </c>
      <c r="F234" t="inlineStr">
        <is>
          <t>P99</t>
        </is>
      </c>
      <c r="G234" t="n">
        <v>0</v>
      </c>
      <c r="H234" t="b">
        <v>0</v>
      </c>
      <c r="I234" t="inlineStr">
        <is>
          <t>D</t>
        </is>
      </c>
      <c r="J234" t="inlineStr">
        <is>
          <t>SRC-10</t>
        </is>
      </c>
    </row>
    <row r="235">
      <c r="A235" t="inlineStr">
        <is>
          <t>Cybercriminal</t>
        </is>
      </c>
      <c r="B235" t="inlineStr">
        <is>
          <t>SC_FRAUD</t>
        </is>
      </c>
      <c r="C235" t="inlineStr">
        <is>
          <t>Cyber-enabled theft or fraud</t>
        </is>
      </c>
      <c r="D235" t="inlineStr">
        <is>
          <t>Exposure</t>
        </is>
      </c>
      <c r="E235" t="inlineStr">
        <is>
          <t>REGULATORY</t>
        </is>
      </c>
      <c r="F235" t="inlineStr">
        <is>
          <t>P99</t>
        </is>
      </c>
      <c r="G235" t="n">
        <v>3000000</v>
      </c>
      <c r="H235" t="b">
        <v>1</v>
      </c>
      <c r="I235" t="inlineStr">
        <is>
          <t>D</t>
        </is>
      </c>
      <c r="J235" t="inlineStr">
        <is>
          <t>SRC-10</t>
        </is>
      </c>
    </row>
    <row r="236">
      <c r="A236" t="inlineStr">
        <is>
          <t>Cybercriminal</t>
        </is>
      </c>
      <c r="B236" t="inlineStr">
        <is>
          <t>SC_FRAUD</t>
        </is>
      </c>
      <c r="C236" t="inlineStr">
        <is>
          <t>Cyber-enabled theft or fraud</t>
        </is>
      </c>
      <c r="D236" t="inlineStr">
        <is>
          <t>Exposure</t>
        </is>
      </c>
      <c r="E236" t="inlineStr">
        <is>
          <t>CUSTOMER_ATTRITION</t>
        </is>
      </c>
      <c r="F236" t="inlineStr">
        <is>
          <t>P99</t>
        </is>
      </c>
      <c r="G236" t="n">
        <v>20000000</v>
      </c>
      <c r="H236" t="b">
        <v>1</v>
      </c>
      <c r="I236" t="inlineStr">
        <is>
          <t>D</t>
        </is>
      </c>
      <c r="J236" t="inlineStr">
        <is>
          <t>SRC-10</t>
        </is>
      </c>
    </row>
    <row r="237">
      <c r="A237" t="inlineStr">
        <is>
          <t>Cybercriminal</t>
        </is>
      </c>
      <c r="B237" t="inlineStr">
        <is>
          <t>SC_FRAUD</t>
        </is>
      </c>
      <c r="C237" t="inlineStr">
        <is>
          <t>Cyber-enabled theft or fraud</t>
        </is>
      </c>
      <c r="D237" t="inlineStr">
        <is>
          <t>Direct</t>
        </is>
      </c>
      <c r="E237" t="inlineStr">
        <is>
          <t>FRAUD_NET_RECOVERY</t>
        </is>
      </c>
      <c r="F237" t="inlineStr">
        <is>
          <t>P99</t>
        </is>
      </c>
      <c r="G237" t="n">
        <v>16438356.16438356</v>
      </c>
      <c r="H237" t="b">
        <v>1</v>
      </c>
      <c r="I237" t="inlineStr">
        <is>
          <t>D</t>
        </is>
      </c>
      <c r="J237" t="inlineStr">
        <is>
          <t>SRC-10</t>
        </is>
      </c>
    </row>
    <row r="238">
      <c r="A238" t="inlineStr">
        <is>
          <t>Cybercriminal</t>
        </is>
      </c>
      <c r="B238" t="inlineStr">
        <is>
          <t>SC_FRAUD</t>
        </is>
      </c>
      <c r="C238" t="inlineStr">
        <is>
          <t>Cyber-enabled theft or fraud</t>
        </is>
      </c>
      <c r="D238" t="inlineStr">
        <is>
          <t>Direct</t>
        </is>
      </c>
      <c r="E238" t="inlineStr">
        <is>
          <t>EXTORTION</t>
        </is>
      </c>
      <c r="F238" t="inlineStr">
        <is>
          <t>P99</t>
        </is>
      </c>
      <c r="G238" t="n">
        <v>0</v>
      </c>
      <c r="H238" t="b">
        <v>0</v>
      </c>
      <c r="I238" t="inlineStr">
        <is>
          <t>D</t>
        </is>
      </c>
      <c r="J238" t="inlineStr">
        <is>
          <t>SRC-10</t>
        </is>
      </c>
    </row>
    <row r="239">
      <c r="A239" t="inlineStr">
        <is>
          <t>Cybercriminal</t>
        </is>
      </c>
      <c r="B239" t="inlineStr">
        <is>
          <t>SC_FRAUD</t>
        </is>
      </c>
      <c r="C239" t="inlineStr">
        <is>
          <t>Cyber-enabled theft or fraud</t>
        </is>
      </c>
      <c r="D239" t="inlineStr">
        <is>
          <t>Direct</t>
        </is>
      </c>
      <c r="E239" t="inlineStr">
        <is>
          <t>POST_EVENT_UPLIFT</t>
        </is>
      </c>
      <c r="F239" t="inlineStr">
        <is>
          <t>P99</t>
        </is>
      </c>
      <c r="G239" t="n">
        <v>5000000</v>
      </c>
      <c r="H239" t="b">
        <v>1</v>
      </c>
      <c r="I239" t="inlineStr">
        <is>
          <t>D</t>
        </is>
      </c>
      <c r="J239" t="inlineStr">
        <is>
          <t>SRC-10</t>
        </is>
      </c>
    </row>
    <row r="240">
      <c r="A240" t="inlineStr">
        <is>
          <t>Malicious insider</t>
        </is>
      </c>
      <c r="B240" t="inlineStr">
        <is>
          <t>SC_DISR</t>
        </is>
      </c>
      <c r="C240" t="inlineStr">
        <is>
          <t>Critical business-service disruption</t>
        </is>
      </c>
      <c r="D240" t="inlineStr">
        <is>
          <t>Duration</t>
        </is>
      </c>
      <c r="E240" t="inlineStr">
        <is>
          <t>IR_FORENSICS</t>
        </is>
      </c>
      <c r="F240" t="inlineStr">
        <is>
          <t>P50</t>
        </is>
      </c>
      <c r="G240" t="n">
        <v>20000</v>
      </c>
      <c r="H240" t="b">
        <v>1</v>
      </c>
      <c r="I240" t="inlineStr">
        <is>
          <t>D</t>
        </is>
      </c>
      <c r="J240" t="inlineStr">
        <is>
          <t>SRC-10</t>
        </is>
      </c>
    </row>
    <row r="241">
      <c r="A241" t="inlineStr">
        <is>
          <t>Malicious insider</t>
        </is>
      </c>
      <c r="B241" t="inlineStr">
        <is>
          <t>SC_DISR</t>
        </is>
      </c>
      <c r="C241" t="inlineStr">
        <is>
          <t>Critical business-service disruption</t>
        </is>
      </c>
      <c r="D241" t="inlineStr">
        <is>
          <t>Duration</t>
        </is>
      </c>
      <c r="E241" t="inlineStr">
        <is>
          <t>EXTERNAL_RESPONSE</t>
        </is>
      </c>
      <c r="F241" t="inlineStr">
        <is>
          <t>P50</t>
        </is>
      </c>
      <c r="G241" t="n">
        <v>30000</v>
      </c>
      <c r="H241" t="b">
        <v>1</v>
      </c>
      <c r="I241" t="inlineStr">
        <is>
          <t>D</t>
        </is>
      </c>
      <c r="J241" t="inlineStr">
        <is>
          <t>SRC-10</t>
        </is>
      </c>
    </row>
    <row r="242">
      <c r="A242" t="inlineStr">
        <is>
          <t>Malicious insider</t>
        </is>
      </c>
      <c r="B242" t="inlineStr">
        <is>
          <t>SC_DISR</t>
        </is>
      </c>
      <c r="C242" t="inlineStr">
        <is>
          <t>Critical business-service disruption</t>
        </is>
      </c>
      <c r="D242" t="inlineStr">
        <is>
          <t>Duration</t>
        </is>
      </c>
      <c r="E242" t="inlineStr">
        <is>
          <t>LEGAL_RESPONSE</t>
        </is>
      </c>
      <c r="F242" t="inlineStr">
        <is>
          <t>P50</t>
        </is>
      </c>
      <c r="G242" t="n">
        <v>25000</v>
      </c>
      <c r="H242" t="b">
        <v>1</v>
      </c>
      <c r="I242" t="inlineStr">
        <is>
          <t>D</t>
        </is>
      </c>
      <c r="J242" t="inlineStr">
        <is>
          <t>SRC-10</t>
        </is>
      </c>
    </row>
    <row r="243">
      <c r="A243" t="inlineStr">
        <is>
          <t>Malicious insider</t>
        </is>
      </c>
      <c r="B243" t="inlineStr">
        <is>
          <t>SC_DISR</t>
        </is>
      </c>
      <c r="C243" t="inlineStr">
        <is>
          <t>Critical business-service disruption</t>
        </is>
      </c>
      <c r="D243" t="inlineStr">
        <is>
          <t>Duration</t>
        </is>
      </c>
      <c r="E243" t="inlineStr">
        <is>
          <t>RESTORATION</t>
        </is>
      </c>
      <c r="F243" t="inlineStr">
        <is>
          <t>P50</t>
        </is>
      </c>
      <c r="G243" t="n">
        <v>30000</v>
      </c>
      <c r="H243" t="b">
        <v>1</v>
      </c>
      <c r="I243" t="inlineStr">
        <is>
          <t>D</t>
        </is>
      </c>
      <c r="J243" t="inlineStr">
        <is>
          <t>SRC-10</t>
        </is>
      </c>
    </row>
    <row r="244">
      <c r="A244" t="inlineStr">
        <is>
          <t>Malicious insider</t>
        </is>
      </c>
      <c r="B244" t="inlineStr">
        <is>
          <t>SC_DISR</t>
        </is>
      </c>
      <c r="C244" t="inlineStr">
        <is>
          <t>Critical business-service disruption</t>
        </is>
      </c>
      <c r="D244" t="inlineStr">
        <is>
          <t>Duration</t>
        </is>
      </c>
      <c r="E244" t="inlineStr">
        <is>
          <t>BUSINESS_INTERRUPTION</t>
        </is>
      </c>
      <c r="F244" t="inlineStr">
        <is>
          <t>P50</t>
        </is>
      </c>
      <c r="G244" t="n">
        <v>2465753.424657534</v>
      </c>
      <c r="H244" t="b">
        <v>1</v>
      </c>
      <c r="I244" t="inlineStr">
        <is>
          <t>D</t>
        </is>
      </c>
      <c r="J244" t="inlineStr">
        <is>
          <t>SRC-10</t>
        </is>
      </c>
    </row>
    <row r="245">
      <c r="A245" t="inlineStr">
        <is>
          <t>Malicious insider</t>
        </is>
      </c>
      <c r="B245" t="inlineStr">
        <is>
          <t>SC_DISR</t>
        </is>
      </c>
      <c r="C245" t="inlineStr">
        <is>
          <t>Critical business-service disruption</t>
        </is>
      </c>
      <c r="D245" t="inlineStr">
        <is>
          <t>Duration</t>
        </is>
      </c>
      <c r="E245" t="inlineStr">
        <is>
          <t>ENDPOINT_RECOVERY</t>
        </is>
      </c>
      <c r="F245" t="inlineStr">
        <is>
          <t>P50</t>
        </is>
      </c>
      <c r="G245" t="n">
        <v>100000</v>
      </c>
      <c r="H245" t="b">
        <v>1</v>
      </c>
      <c r="I245" t="inlineStr">
        <is>
          <t>D</t>
        </is>
      </c>
      <c r="J245" t="inlineStr">
        <is>
          <t>SRC-10</t>
        </is>
      </c>
    </row>
    <row r="246">
      <c r="A246" t="inlineStr">
        <is>
          <t>Malicious insider</t>
        </is>
      </c>
      <c r="B246" t="inlineStr">
        <is>
          <t>SC_DISR</t>
        </is>
      </c>
      <c r="C246" t="inlineStr">
        <is>
          <t>Critical business-service disruption</t>
        </is>
      </c>
      <c r="D246" t="inlineStr">
        <is>
          <t>Duration</t>
        </is>
      </c>
      <c r="E246" t="inlineStr">
        <is>
          <t>SERVER_RECOVERY</t>
        </is>
      </c>
      <c r="F246" t="inlineStr">
        <is>
          <t>P50</t>
        </is>
      </c>
      <c r="G246" t="n">
        <v>250000</v>
      </c>
      <c r="H246" t="b">
        <v>1</v>
      </c>
      <c r="I246" t="inlineStr">
        <is>
          <t>D</t>
        </is>
      </c>
      <c r="J246" t="inlineStr">
        <is>
          <t>SRC-10</t>
        </is>
      </c>
    </row>
    <row r="247">
      <c r="A247" t="inlineStr">
        <is>
          <t>Malicious insider</t>
        </is>
      </c>
      <c r="B247" t="inlineStr">
        <is>
          <t>SC_DISR</t>
        </is>
      </c>
      <c r="C247" t="inlineStr">
        <is>
          <t>Critical business-service disruption</t>
        </is>
      </c>
      <c r="D247" t="inlineStr">
        <is>
          <t>Exposure</t>
        </is>
      </c>
      <c r="E247" t="inlineStr">
        <is>
          <t>NOTIFICATION</t>
        </is>
      </c>
      <c r="F247" t="inlineStr">
        <is>
          <t>P50</t>
        </is>
      </c>
      <c r="G247" t="n">
        <v>0</v>
      </c>
      <c r="H247" t="b">
        <v>0</v>
      </c>
      <c r="I247" t="inlineStr">
        <is>
          <t>D</t>
        </is>
      </c>
      <c r="J247" t="inlineStr">
        <is>
          <t>SRC-10</t>
        </is>
      </c>
    </row>
    <row r="248">
      <c r="A248" t="inlineStr">
        <is>
          <t>Malicious insider</t>
        </is>
      </c>
      <c r="B248" t="inlineStr">
        <is>
          <t>SC_DISR</t>
        </is>
      </c>
      <c r="C248" t="inlineStr">
        <is>
          <t>Critical business-service disruption</t>
        </is>
      </c>
      <c r="D248" t="inlineStr">
        <is>
          <t>Exposure</t>
        </is>
      </c>
      <c r="E248" t="inlineStr">
        <is>
          <t>CREDIT_MONITORING</t>
        </is>
      </c>
      <c r="F248" t="inlineStr">
        <is>
          <t>P50</t>
        </is>
      </c>
      <c r="G248" t="n">
        <v>0</v>
      </c>
      <c r="H248" t="b">
        <v>0</v>
      </c>
      <c r="I248" t="inlineStr">
        <is>
          <t>D</t>
        </is>
      </c>
      <c r="J248" t="inlineStr">
        <is>
          <t>SRC-10</t>
        </is>
      </c>
    </row>
    <row r="249">
      <c r="A249" t="inlineStr">
        <is>
          <t>Malicious insider</t>
        </is>
      </c>
      <c r="B249" t="inlineStr">
        <is>
          <t>SC_DISR</t>
        </is>
      </c>
      <c r="C249" t="inlineStr">
        <is>
          <t>Critical business-service disruption</t>
        </is>
      </c>
      <c r="D249" t="inlineStr">
        <is>
          <t>Exposure</t>
        </is>
      </c>
      <c r="E249" t="inlineStr">
        <is>
          <t>REGULATORY</t>
        </is>
      </c>
      <c r="F249" t="inlineStr">
        <is>
          <t>P50</t>
        </is>
      </c>
      <c r="G249" t="n">
        <v>0</v>
      </c>
      <c r="H249" t="b">
        <v>0</v>
      </c>
      <c r="I249" t="inlineStr">
        <is>
          <t>D</t>
        </is>
      </c>
      <c r="J249" t="inlineStr">
        <is>
          <t>SRC-10</t>
        </is>
      </c>
    </row>
    <row r="250">
      <c r="A250" t="inlineStr">
        <is>
          <t>Malicious insider</t>
        </is>
      </c>
      <c r="B250" t="inlineStr">
        <is>
          <t>SC_DISR</t>
        </is>
      </c>
      <c r="C250" t="inlineStr">
        <is>
          <t>Critical business-service disruption</t>
        </is>
      </c>
      <c r="D250" t="inlineStr">
        <is>
          <t>Exposure</t>
        </is>
      </c>
      <c r="E250" t="inlineStr">
        <is>
          <t>CUSTOMER_ATTRITION</t>
        </is>
      </c>
      <c r="F250" t="inlineStr">
        <is>
          <t>P50</t>
        </is>
      </c>
      <c r="G250" t="n">
        <v>1000000</v>
      </c>
      <c r="H250" t="b">
        <v>1</v>
      </c>
      <c r="I250" t="inlineStr">
        <is>
          <t>D</t>
        </is>
      </c>
      <c r="J250" t="inlineStr">
        <is>
          <t>SRC-10</t>
        </is>
      </c>
    </row>
    <row r="251">
      <c r="A251" t="inlineStr">
        <is>
          <t>Malicious insider</t>
        </is>
      </c>
      <c r="B251" t="inlineStr">
        <is>
          <t>SC_DISR</t>
        </is>
      </c>
      <c r="C251" t="inlineStr">
        <is>
          <t>Critical business-service disruption</t>
        </is>
      </c>
      <c r="D251" t="inlineStr">
        <is>
          <t>Direct</t>
        </is>
      </c>
      <c r="E251" t="inlineStr">
        <is>
          <t>FRAUD_NET_RECOVERY</t>
        </is>
      </c>
      <c r="F251" t="inlineStr">
        <is>
          <t>P50</t>
        </is>
      </c>
      <c r="G251" t="n">
        <v>0</v>
      </c>
      <c r="H251" t="b">
        <v>0</v>
      </c>
      <c r="I251" t="inlineStr">
        <is>
          <t>D</t>
        </is>
      </c>
      <c r="J251" t="inlineStr">
        <is>
          <t>SRC-10</t>
        </is>
      </c>
    </row>
    <row r="252">
      <c r="A252" t="inlineStr">
        <is>
          <t>Malicious insider</t>
        </is>
      </c>
      <c r="B252" t="inlineStr">
        <is>
          <t>SC_DISR</t>
        </is>
      </c>
      <c r="C252" t="inlineStr">
        <is>
          <t>Critical business-service disruption</t>
        </is>
      </c>
      <c r="D252" t="inlineStr">
        <is>
          <t>Direct</t>
        </is>
      </c>
      <c r="E252" t="inlineStr">
        <is>
          <t>EXTORTION</t>
        </is>
      </c>
      <c r="F252" t="inlineStr">
        <is>
          <t>P50</t>
        </is>
      </c>
      <c r="G252" t="n">
        <v>0</v>
      </c>
      <c r="H252" t="b">
        <v>0</v>
      </c>
      <c r="I252" t="inlineStr">
        <is>
          <t>D</t>
        </is>
      </c>
      <c r="J252" t="inlineStr">
        <is>
          <t>SRC-10</t>
        </is>
      </c>
    </row>
    <row r="253">
      <c r="A253" t="inlineStr">
        <is>
          <t>Malicious insider</t>
        </is>
      </c>
      <c r="B253" t="inlineStr">
        <is>
          <t>SC_DISR</t>
        </is>
      </c>
      <c r="C253" t="inlineStr">
        <is>
          <t>Critical business-service disruption</t>
        </is>
      </c>
      <c r="D253" t="inlineStr">
        <is>
          <t>Direct</t>
        </is>
      </c>
      <c r="E253" t="inlineStr">
        <is>
          <t>POST_EVENT_UPLIFT</t>
        </is>
      </c>
      <c r="F253" t="inlineStr">
        <is>
          <t>P50</t>
        </is>
      </c>
      <c r="G253" t="n">
        <v>500000</v>
      </c>
      <c r="H253" t="b">
        <v>1</v>
      </c>
      <c r="I253" t="inlineStr">
        <is>
          <t>D</t>
        </is>
      </c>
      <c r="J253" t="inlineStr">
        <is>
          <t>SRC-10</t>
        </is>
      </c>
    </row>
    <row r="254">
      <c r="A254" t="inlineStr">
        <is>
          <t>Malicious insider</t>
        </is>
      </c>
      <c r="B254" t="inlineStr">
        <is>
          <t>SC_DISR</t>
        </is>
      </c>
      <c r="C254" t="inlineStr">
        <is>
          <t>Critical business-service disruption</t>
        </is>
      </c>
      <c r="D254" t="inlineStr">
        <is>
          <t>Duration</t>
        </is>
      </c>
      <c r="E254" t="inlineStr">
        <is>
          <t>IR_FORENSICS</t>
        </is>
      </c>
      <c r="F254" t="inlineStr">
        <is>
          <t>P99</t>
        </is>
      </c>
      <c r="G254" t="n">
        <v>240000</v>
      </c>
      <c r="H254" t="b">
        <v>1</v>
      </c>
      <c r="I254" t="inlineStr">
        <is>
          <t>D</t>
        </is>
      </c>
      <c r="J254" t="inlineStr">
        <is>
          <t>SRC-10</t>
        </is>
      </c>
    </row>
    <row r="255">
      <c r="A255" t="inlineStr">
        <is>
          <t>Malicious insider</t>
        </is>
      </c>
      <c r="B255" t="inlineStr">
        <is>
          <t>SC_DISR</t>
        </is>
      </c>
      <c r="C255" t="inlineStr">
        <is>
          <t>Critical business-service disruption</t>
        </is>
      </c>
      <c r="D255" t="inlineStr">
        <is>
          <t>Duration</t>
        </is>
      </c>
      <c r="E255" t="inlineStr">
        <is>
          <t>EXTERNAL_RESPONSE</t>
        </is>
      </c>
      <c r="F255" t="inlineStr">
        <is>
          <t>P99</t>
        </is>
      </c>
      <c r="G255" t="n">
        <v>450000</v>
      </c>
      <c r="H255" t="b">
        <v>1</v>
      </c>
      <c r="I255" t="inlineStr">
        <is>
          <t>D</t>
        </is>
      </c>
      <c r="J255" t="inlineStr">
        <is>
          <t>SRC-10</t>
        </is>
      </c>
    </row>
    <row r="256">
      <c r="A256" t="inlineStr">
        <is>
          <t>Malicious insider</t>
        </is>
      </c>
      <c r="B256" t="inlineStr">
        <is>
          <t>SC_DISR</t>
        </is>
      </c>
      <c r="C256" t="inlineStr">
        <is>
          <t>Critical business-service disruption</t>
        </is>
      </c>
      <c r="D256" t="inlineStr">
        <is>
          <t>Duration</t>
        </is>
      </c>
      <c r="E256" t="inlineStr">
        <is>
          <t>LEGAL_RESPONSE</t>
        </is>
      </c>
      <c r="F256" t="inlineStr">
        <is>
          <t>P99</t>
        </is>
      </c>
      <c r="G256" t="n">
        <v>450000</v>
      </c>
      <c r="H256" t="b">
        <v>1</v>
      </c>
      <c r="I256" t="inlineStr">
        <is>
          <t>D</t>
        </is>
      </c>
      <c r="J256" t="inlineStr">
        <is>
          <t>SRC-10</t>
        </is>
      </c>
    </row>
    <row r="257">
      <c r="A257" t="inlineStr">
        <is>
          <t>Malicious insider</t>
        </is>
      </c>
      <c r="B257" t="inlineStr">
        <is>
          <t>SC_DISR</t>
        </is>
      </c>
      <c r="C257" t="inlineStr">
        <is>
          <t>Critical business-service disruption</t>
        </is>
      </c>
      <c r="D257" t="inlineStr">
        <is>
          <t>Duration</t>
        </is>
      </c>
      <c r="E257" t="inlineStr">
        <is>
          <t>RESTORATION</t>
        </is>
      </c>
      <c r="F257" t="inlineStr">
        <is>
          <t>P99</t>
        </is>
      </c>
      <c r="G257" t="n">
        <v>480000</v>
      </c>
      <c r="H257" t="b">
        <v>1</v>
      </c>
      <c r="I257" t="inlineStr">
        <is>
          <t>D</t>
        </is>
      </c>
      <c r="J257" t="inlineStr">
        <is>
          <t>SRC-10</t>
        </is>
      </c>
    </row>
    <row r="258">
      <c r="A258" t="inlineStr">
        <is>
          <t>Malicious insider</t>
        </is>
      </c>
      <c r="B258" t="inlineStr">
        <is>
          <t>SC_DISR</t>
        </is>
      </c>
      <c r="C258" t="inlineStr">
        <is>
          <t>Critical business-service disruption</t>
        </is>
      </c>
      <c r="D258" t="inlineStr">
        <is>
          <t>Duration</t>
        </is>
      </c>
      <c r="E258" t="inlineStr">
        <is>
          <t>BUSINESS_INTERRUPTION</t>
        </is>
      </c>
      <c r="F258" t="inlineStr">
        <is>
          <t>P99</t>
        </is>
      </c>
      <c r="G258" t="n">
        <v>69863013.69863012</v>
      </c>
      <c r="H258" t="b">
        <v>1</v>
      </c>
      <c r="I258" t="inlineStr">
        <is>
          <t>D</t>
        </is>
      </c>
      <c r="J258" t="inlineStr">
        <is>
          <t>SRC-10</t>
        </is>
      </c>
    </row>
    <row r="259">
      <c r="A259" t="inlineStr">
        <is>
          <t>Malicious insider</t>
        </is>
      </c>
      <c r="B259" t="inlineStr">
        <is>
          <t>SC_DISR</t>
        </is>
      </c>
      <c r="C259" t="inlineStr">
        <is>
          <t>Critical business-service disruption</t>
        </is>
      </c>
      <c r="D259" t="inlineStr">
        <is>
          <t>Duration</t>
        </is>
      </c>
      <c r="E259" t="inlineStr">
        <is>
          <t>ENDPOINT_RECOVERY</t>
        </is>
      </c>
      <c r="F259" t="inlineStr">
        <is>
          <t>P99</t>
        </is>
      </c>
      <c r="G259" t="n">
        <v>1250000</v>
      </c>
      <c r="H259" t="b">
        <v>1</v>
      </c>
      <c r="I259" t="inlineStr">
        <is>
          <t>D</t>
        </is>
      </c>
      <c r="J259" t="inlineStr">
        <is>
          <t>SRC-10</t>
        </is>
      </c>
    </row>
    <row r="260">
      <c r="A260" t="inlineStr">
        <is>
          <t>Malicious insider</t>
        </is>
      </c>
      <c r="B260" t="inlineStr">
        <is>
          <t>SC_DISR</t>
        </is>
      </c>
      <c r="C260" t="inlineStr">
        <is>
          <t>Critical business-service disruption</t>
        </is>
      </c>
      <c r="D260" t="inlineStr">
        <is>
          <t>Duration</t>
        </is>
      </c>
      <c r="E260" t="inlineStr">
        <is>
          <t>SERVER_RECOVERY</t>
        </is>
      </c>
      <c r="F260" t="inlineStr">
        <is>
          <t>P99</t>
        </is>
      </c>
      <c r="G260" t="n">
        <v>2400000</v>
      </c>
      <c r="H260" t="b">
        <v>1</v>
      </c>
      <c r="I260" t="inlineStr">
        <is>
          <t>D</t>
        </is>
      </c>
      <c r="J260" t="inlineStr">
        <is>
          <t>SRC-10</t>
        </is>
      </c>
    </row>
    <row r="261">
      <c r="A261" t="inlineStr">
        <is>
          <t>Malicious insider</t>
        </is>
      </c>
      <c r="B261" t="inlineStr">
        <is>
          <t>SC_DISR</t>
        </is>
      </c>
      <c r="C261" t="inlineStr">
        <is>
          <t>Critical business-service disruption</t>
        </is>
      </c>
      <c r="D261" t="inlineStr">
        <is>
          <t>Exposure</t>
        </is>
      </c>
      <c r="E261" t="inlineStr">
        <is>
          <t>NOTIFICATION</t>
        </is>
      </c>
      <c r="F261" t="inlineStr">
        <is>
          <t>P99</t>
        </is>
      </c>
      <c r="G261" t="n">
        <v>0</v>
      </c>
      <c r="H261" t="b">
        <v>0</v>
      </c>
      <c r="I261" t="inlineStr">
        <is>
          <t>D</t>
        </is>
      </c>
      <c r="J261" t="inlineStr">
        <is>
          <t>SRC-10</t>
        </is>
      </c>
    </row>
    <row r="262">
      <c r="A262" t="inlineStr">
        <is>
          <t>Malicious insider</t>
        </is>
      </c>
      <c r="B262" t="inlineStr">
        <is>
          <t>SC_DISR</t>
        </is>
      </c>
      <c r="C262" t="inlineStr">
        <is>
          <t>Critical business-service disruption</t>
        </is>
      </c>
      <c r="D262" t="inlineStr">
        <is>
          <t>Exposure</t>
        </is>
      </c>
      <c r="E262" t="inlineStr">
        <is>
          <t>CREDIT_MONITORING</t>
        </is>
      </c>
      <c r="F262" t="inlineStr">
        <is>
          <t>P99</t>
        </is>
      </c>
      <c r="G262" t="n">
        <v>0</v>
      </c>
      <c r="H262" t="b">
        <v>0</v>
      </c>
      <c r="I262" t="inlineStr">
        <is>
          <t>D</t>
        </is>
      </c>
      <c r="J262" t="inlineStr">
        <is>
          <t>SRC-10</t>
        </is>
      </c>
    </row>
    <row r="263">
      <c r="A263" t="inlineStr">
        <is>
          <t>Malicious insider</t>
        </is>
      </c>
      <c r="B263" t="inlineStr">
        <is>
          <t>SC_DISR</t>
        </is>
      </c>
      <c r="C263" t="inlineStr">
        <is>
          <t>Critical business-service disruption</t>
        </is>
      </c>
      <c r="D263" t="inlineStr">
        <is>
          <t>Exposure</t>
        </is>
      </c>
      <c r="E263" t="inlineStr">
        <is>
          <t>REGULATORY</t>
        </is>
      </c>
      <c r="F263" t="inlineStr">
        <is>
          <t>P99</t>
        </is>
      </c>
      <c r="G263" t="n">
        <v>0</v>
      </c>
      <c r="H263" t="b">
        <v>0</v>
      </c>
      <c r="I263" t="inlineStr">
        <is>
          <t>D</t>
        </is>
      </c>
      <c r="J263" t="inlineStr">
        <is>
          <t>SRC-10</t>
        </is>
      </c>
    </row>
    <row r="264">
      <c r="A264" t="inlineStr">
        <is>
          <t>Malicious insider</t>
        </is>
      </c>
      <c r="B264" t="inlineStr">
        <is>
          <t>SC_DISR</t>
        </is>
      </c>
      <c r="C264" t="inlineStr">
        <is>
          <t>Critical business-service disruption</t>
        </is>
      </c>
      <c r="D264" t="inlineStr">
        <is>
          <t>Exposure</t>
        </is>
      </c>
      <c r="E264" t="inlineStr">
        <is>
          <t>CUSTOMER_ATTRITION</t>
        </is>
      </c>
      <c r="F264" t="inlineStr">
        <is>
          <t>P99</t>
        </is>
      </c>
      <c r="G264" t="n">
        <v>10000000</v>
      </c>
      <c r="H264" t="b">
        <v>1</v>
      </c>
      <c r="I264" t="inlineStr">
        <is>
          <t>D</t>
        </is>
      </c>
      <c r="J264" t="inlineStr">
        <is>
          <t>SRC-10</t>
        </is>
      </c>
    </row>
    <row r="265">
      <c r="A265" t="inlineStr">
        <is>
          <t>Malicious insider</t>
        </is>
      </c>
      <c r="B265" t="inlineStr">
        <is>
          <t>SC_DISR</t>
        </is>
      </c>
      <c r="C265" t="inlineStr">
        <is>
          <t>Critical business-service disruption</t>
        </is>
      </c>
      <c r="D265" t="inlineStr">
        <is>
          <t>Direct</t>
        </is>
      </c>
      <c r="E265" t="inlineStr">
        <is>
          <t>FRAUD_NET_RECOVERY</t>
        </is>
      </c>
      <c r="F265" t="inlineStr">
        <is>
          <t>P99</t>
        </is>
      </c>
      <c r="G265" t="n">
        <v>0</v>
      </c>
      <c r="H265" t="b">
        <v>0</v>
      </c>
      <c r="I265" t="inlineStr">
        <is>
          <t>D</t>
        </is>
      </c>
      <c r="J265" t="inlineStr">
        <is>
          <t>SRC-10</t>
        </is>
      </c>
    </row>
    <row r="266">
      <c r="A266" t="inlineStr">
        <is>
          <t>Malicious insider</t>
        </is>
      </c>
      <c r="B266" t="inlineStr">
        <is>
          <t>SC_DISR</t>
        </is>
      </c>
      <c r="C266" t="inlineStr">
        <is>
          <t>Critical business-service disruption</t>
        </is>
      </c>
      <c r="D266" t="inlineStr">
        <is>
          <t>Direct</t>
        </is>
      </c>
      <c r="E266" t="inlineStr">
        <is>
          <t>EXTORTION</t>
        </is>
      </c>
      <c r="F266" t="inlineStr">
        <is>
          <t>P99</t>
        </is>
      </c>
      <c r="G266" t="n">
        <v>0</v>
      </c>
      <c r="H266" t="b">
        <v>0</v>
      </c>
      <c r="I266" t="inlineStr">
        <is>
          <t>D</t>
        </is>
      </c>
      <c r="J266" t="inlineStr">
        <is>
          <t>SRC-10</t>
        </is>
      </c>
    </row>
    <row r="267">
      <c r="A267" t="inlineStr">
        <is>
          <t>Malicious insider</t>
        </is>
      </c>
      <c r="B267" t="inlineStr">
        <is>
          <t>SC_DISR</t>
        </is>
      </c>
      <c r="C267" t="inlineStr">
        <is>
          <t>Critical business-service disruption</t>
        </is>
      </c>
      <c r="D267" t="inlineStr">
        <is>
          <t>Direct</t>
        </is>
      </c>
      <c r="E267" t="inlineStr">
        <is>
          <t>POST_EVENT_UPLIFT</t>
        </is>
      </c>
      <c r="F267" t="inlineStr">
        <is>
          <t>P99</t>
        </is>
      </c>
      <c r="G267" t="n">
        <v>5000000</v>
      </c>
      <c r="H267" t="b">
        <v>1</v>
      </c>
      <c r="I267" t="inlineStr">
        <is>
          <t>D</t>
        </is>
      </c>
      <c r="J267" t="inlineStr">
        <is>
          <t>SRC-10</t>
        </is>
      </c>
    </row>
    <row r="268">
      <c r="A268" t="inlineStr">
        <is>
          <t>Malicious insider</t>
        </is>
      </c>
      <c r="B268" t="inlineStr">
        <is>
          <t>SC_DATA</t>
        </is>
      </c>
      <c r="C268" t="inlineStr">
        <is>
          <t>Sensitive-data compromise</t>
        </is>
      </c>
      <c r="D268" t="inlineStr">
        <is>
          <t>Duration</t>
        </is>
      </c>
      <c r="E268" t="inlineStr">
        <is>
          <t>IR_FORENSICS</t>
        </is>
      </c>
      <c r="F268" t="inlineStr">
        <is>
          <t>P50</t>
        </is>
      </c>
      <c r="G268" t="n">
        <v>40000</v>
      </c>
      <c r="H268" t="b">
        <v>1</v>
      </c>
      <c r="I268" t="inlineStr">
        <is>
          <t>D</t>
        </is>
      </c>
      <c r="J268" t="inlineStr">
        <is>
          <t>SRC-10</t>
        </is>
      </c>
    </row>
    <row r="269">
      <c r="A269" t="inlineStr">
        <is>
          <t>Malicious insider</t>
        </is>
      </c>
      <c r="B269" t="inlineStr">
        <is>
          <t>SC_DATA</t>
        </is>
      </c>
      <c r="C269" t="inlineStr">
        <is>
          <t>Sensitive-data compromise</t>
        </is>
      </c>
      <c r="D269" t="inlineStr">
        <is>
          <t>Duration</t>
        </is>
      </c>
      <c r="E269" t="inlineStr">
        <is>
          <t>EXTERNAL_RESPONSE</t>
        </is>
      </c>
      <c r="F269" t="inlineStr">
        <is>
          <t>P50</t>
        </is>
      </c>
      <c r="G269" t="n">
        <v>90000</v>
      </c>
      <c r="H269" t="b">
        <v>1</v>
      </c>
      <c r="I269" t="inlineStr">
        <is>
          <t>D</t>
        </is>
      </c>
      <c r="J269" t="inlineStr">
        <is>
          <t>SRC-10</t>
        </is>
      </c>
    </row>
    <row r="270">
      <c r="A270" t="inlineStr">
        <is>
          <t>Malicious insider</t>
        </is>
      </c>
      <c r="B270" t="inlineStr">
        <is>
          <t>SC_DATA</t>
        </is>
      </c>
      <c r="C270" t="inlineStr">
        <is>
          <t>Sensitive-data compromise</t>
        </is>
      </c>
      <c r="D270" t="inlineStr">
        <is>
          <t>Duration</t>
        </is>
      </c>
      <c r="E270" t="inlineStr">
        <is>
          <t>LEGAL_RESPONSE</t>
        </is>
      </c>
      <c r="F270" t="inlineStr">
        <is>
          <t>P50</t>
        </is>
      </c>
      <c r="G270" t="n">
        <v>150000</v>
      </c>
      <c r="H270" t="b">
        <v>1</v>
      </c>
      <c r="I270" t="inlineStr">
        <is>
          <t>D</t>
        </is>
      </c>
      <c r="J270" t="inlineStr">
        <is>
          <t>SRC-10</t>
        </is>
      </c>
    </row>
    <row r="271">
      <c r="A271" t="inlineStr">
        <is>
          <t>Malicious insider</t>
        </is>
      </c>
      <c r="B271" t="inlineStr">
        <is>
          <t>SC_DATA</t>
        </is>
      </c>
      <c r="C271" t="inlineStr">
        <is>
          <t>Sensitive-data compromise</t>
        </is>
      </c>
      <c r="D271" t="inlineStr">
        <is>
          <t>Duration</t>
        </is>
      </c>
      <c r="E271" t="inlineStr">
        <is>
          <t>RESTORATION</t>
        </is>
      </c>
      <c r="F271" t="inlineStr">
        <is>
          <t>P50</t>
        </is>
      </c>
      <c r="G271" t="n">
        <v>40000</v>
      </c>
      <c r="H271" t="b">
        <v>1</v>
      </c>
      <c r="I271" t="inlineStr">
        <is>
          <t>D</t>
        </is>
      </c>
      <c r="J271" t="inlineStr">
        <is>
          <t>SRC-10</t>
        </is>
      </c>
    </row>
    <row r="272">
      <c r="A272" t="inlineStr">
        <is>
          <t>Malicious insider</t>
        </is>
      </c>
      <c r="B272" t="inlineStr">
        <is>
          <t>SC_DATA</t>
        </is>
      </c>
      <c r="C272" t="inlineStr">
        <is>
          <t>Sensitive-data compromise</t>
        </is>
      </c>
      <c r="D272" t="inlineStr">
        <is>
          <t>Duration</t>
        </is>
      </c>
      <c r="E272" t="inlineStr">
        <is>
          <t>BUSINESS_INTERRUPTION</t>
        </is>
      </c>
      <c r="F272" t="inlineStr">
        <is>
          <t>P50</t>
        </is>
      </c>
      <c r="G272" t="n">
        <v>273972.602739726</v>
      </c>
      <c r="H272" t="b">
        <v>1</v>
      </c>
      <c r="I272" t="inlineStr">
        <is>
          <t>D</t>
        </is>
      </c>
      <c r="J272" t="inlineStr">
        <is>
          <t>SRC-10</t>
        </is>
      </c>
    </row>
    <row r="273">
      <c r="A273" t="inlineStr">
        <is>
          <t>Malicious insider</t>
        </is>
      </c>
      <c r="B273" t="inlineStr">
        <is>
          <t>SC_DATA</t>
        </is>
      </c>
      <c r="C273" t="inlineStr">
        <is>
          <t>Sensitive-data compromise</t>
        </is>
      </c>
      <c r="D273" t="inlineStr">
        <is>
          <t>Duration</t>
        </is>
      </c>
      <c r="E273" t="inlineStr">
        <is>
          <t>ENDPOINT_RECOVERY</t>
        </is>
      </c>
      <c r="F273" t="inlineStr">
        <is>
          <t>P50</t>
        </is>
      </c>
      <c r="G273" t="n">
        <v>50000</v>
      </c>
      <c r="H273" t="b">
        <v>1</v>
      </c>
      <c r="I273" t="inlineStr">
        <is>
          <t>D</t>
        </is>
      </c>
      <c r="J273" t="inlineStr">
        <is>
          <t>SRC-10</t>
        </is>
      </c>
    </row>
    <row r="274">
      <c r="A274" t="inlineStr">
        <is>
          <t>Malicious insider</t>
        </is>
      </c>
      <c r="B274" t="inlineStr">
        <is>
          <t>SC_DATA</t>
        </is>
      </c>
      <c r="C274" t="inlineStr">
        <is>
          <t>Sensitive-data compromise</t>
        </is>
      </c>
      <c r="D274" t="inlineStr">
        <is>
          <t>Duration</t>
        </is>
      </c>
      <c r="E274" t="inlineStr">
        <is>
          <t>SERVER_RECOVERY</t>
        </is>
      </c>
      <c r="F274" t="inlineStr">
        <is>
          <t>P50</t>
        </is>
      </c>
      <c r="G274" t="n">
        <v>125000</v>
      </c>
      <c r="H274" t="b">
        <v>1</v>
      </c>
      <c r="I274" t="inlineStr">
        <is>
          <t>D</t>
        </is>
      </c>
      <c r="J274" t="inlineStr">
        <is>
          <t>SRC-10</t>
        </is>
      </c>
    </row>
    <row r="275">
      <c r="A275" t="inlineStr">
        <is>
          <t>Malicious insider</t>
        </is>
      </c>
      <c r="B275" t="inlineStr">
        <is>
          <t>SC_DATA</t>
        </is>
      </c>
      <c r="C275" t="inlineStr">
        <is>
          <t>Sensitive-data compromise</t>
        </is>
      </c>
      <c r="D275" t="inlineStr">
        <is>
          <t>Exposure</t>
        </is>
      </c>
      <c r="E275" t="inlineStr">
        <is>
          <t>NOTIFICATION</t>
        </is>
      </c>
      <c r="F275" t="inlineStr">
        <is>
          <t>P50</t>
        </is>
      </c>
      <c r="G275" t="n">
        <v>125000</v>
      </c>
      <c r="H275" t="b">
        <v>1</v>
      </c>
      <c r="I275" t="inlineStr">
        <is>
          <t>D</t>
        </is>
      </c>
      <c r="J275" t="inlineStr">
        <is>
          <t>SRC-10</t>
        </is>
      </c>
    </row>
    <row r="276">
      <c r="A276" t="inlineStr">
        <is>
          <t>Malicious insider</t>
        </is>
      </c>
      <c r="B276" t="inlineStr">
        <is>
          <t>SC_DATA</t>
        </is>
      </c>
      <c r="C276" t="inlineStr">
        <is>
          <t>Sensitive-data compromise</t>
        </is>
      </c>
      <c r="D276" t="inlineStr">
        <is>
          <t>Exposure</t>
        </is>
      </c>
      <c r="E276" t="inlineStr">
        <is>
          <t>CREDIT_MONITORING</t>
        </is>
      </c>
      <c r="F276" t="inlineStr">
        <is>
          <t>P50</t>
        </is>
      </c>
      <c r="G276" t="n">
        <v>200000</v>
      </c>
      <c r="H276" t="b">
        <v>1</v>
      </c>
      <c r="I276" t="inlineStr">
        <is>
          <t>D</t>
        </is>
      </c>
      <c r="J276" t="inlineStr">
        <is>
          <t>SRC-10</t>
        </is>
      </c>
    </row>
    <row r="277">
      <c r="A277" t="inlineStr">
        <is>
          <t>Malicious insider</t>
        </is>
      </c>
      <c r="B277" t="inlineStr">
        <is>
          <t>SC_DATA</t>
        </is>
      </c>
      <c r="C277" t="inlineStr">
        <is>
          <t>Sensitive-data compromise</t>
        </is>
      </c>
      <c r="D277" t="inlineStr">
        <is>
          <t>Exposure</t>
        </is>
      </c>
      <c r="E277" t="inlineStr">
        <is>
          <t>REGULATORY</t>
        </is>
      </c>
      <c r="F277" t="inlineStr">
        <is>
          <t>P50</t>
        </is>
      </c>
      <c r="G277" t="n">
        <v>1000000</v>
      </c>
      <c r="H277" t="b">
        <v>1</v>
      </c>
      <c r="I277" t="inlineStr">
        <is>
          <t>D</t>
        </is>
      </c>
      <c r="J277" t="inlineStr">
        <is>
          <t>SRC-10</t>
        </is>
      </c>
    </row>
    <row r="278">
      <c r="A278" t="inlineStr">
        <is>
          <t>Malicious insider</t>
        </is>
      </c>
      <c r="B278" t="inlineStr">
        <is>
          <t>SC_DATA</t>
        </is>
      </c>
      <c r="C278" t="inlineStr">
        <is>
          <t>Sensitive-data compromise</t>
        </is>
      </c>
      <c r="D278" t="inlineStr">
        <is>
          <t>Exposure</t>
        </is>
      </c>
      <c r="E278" t="inlineStr">
        <is>
          <t>CUSTOMER_ATTRITION</t>
        </is>
      </c>
      <c r="F278" t="inlineStr">
        <is>
          <t>P50</t>
        </is>
      </c>
      <c r="G278" t="n">
        <v>2000000</v>
      </c>
      <c r="H278" t="b">
        <v>1</v>
      </c>
      <c r="I278" t="inlineStr">
        <is>
          <t>D</t>
        </is>
      </c>
      <c r="J278" t="inlineStr">
        <is>
          <t>SRC-10</t>
        </is>
      </c>
    </row>
    <row r="279">
      <c r="A279" t="inlineStr">
        <is>
          <t>Malicious insider</t>
        </is>
      </c>
      <c r="B279" t="inlineStr">
        <is>
          <t>SC_DATA</t>
        </is>
      </c>
      <c r="C279" t="inlineStr">
        <is>
          <t>Sensitive-data compromise</t>
        </is>
      </c>
      <c r="D279" t="inlineStr">
        <is>
          <t>Direct</t>
        </is>
      </c>
      <c r="E279" t="inlineStr">
        <is>
          <t>FRAUD_NET_RECOVERY</t>
        </is>
      </c>
      <c r="F279" t="inlineStr">
        <is>
          <t>P50</t>
        </is>
      </c>
      <c r="G279" t="n">
        <v>0</v>
      </c>
      <c r="H279" t="b">
        <v>0</v>
      </c>
      <c r="I279" t="inlineStr">
        <is>
          <t>D</t>
        </is>
      </c>
      <c r="J279" t="inlineStr">
        <is>
          <t>SRC-10</t>
        </is>
      </c>
    </row>
    <row r="280">
      <c r="A280" t="inlineStr">
        <is>
          <t>Malicious insider</t>
        </is>
      </c>
      <c r="B280" t="inlineStr">
        <is>
          <t>SC_DATA</t>
        </is>
      </c>
      <c r="C280" t="inlineStr">
        <is>
          <t>Sensitive-data compromise</t>
        </is>
      </c>
      <c r="D280" t="inlineStr">
        <is>
          <t>Direct</t>
        </is>
      </c>
      <c r="E280" t="inlineStr">
        <is>
          <t>EXTORTION</t>
        </is>
      </c>
      <c r="F280" t="inlineStr">
        <is>
          <t>P50</t>
        </is>
      </c>
      <c r="G280" t="n">
        <v>0</v>
      </c>
      <c r="H280" t="b">
        <v>0</v>
      </c>
      <c r="I280" t="inlineStr">
        <is>
          <t>D</t>
        </is>
      </c>
      <c r="J280" t="inlineStr">
        <is>
          <t>SRC-10</t>
        </is>
      </c>
    </row>
    <row r="281">
      <c r="A281" t="inlineStr">
        <is>
          <t>Malicious insider</t>
        </is>
      </c>
      <c r="B281" t="inlineStr">
        <is>
          <t>SC_DATA</t>
        </is>
      </c>
      <c r="C281" t="inlineStr">
        <is>
          <t>Sensitive-data compromise</t>
        </is>
      </c>
      <c r="D281" t="inlineStr">
        <is>
          <t>Direct</t>
        </is>
      </c>
      <c r="E281" t="inlineStr">
        <is>
          <t>POST_EVENT_UPLIFT</t>
        </is>
      </c>
      <c r="F281" t="inlineStr">
        <is>
          <t>P50</t>
        </is>
      </c>
      <c r="G281" t="n">
        <v>1000000</v>
      </c>
      <c r="H281" t="b">
        <v>1</v>
      </c>
      <c r="I281" t="inlineStr">
        <is>
          <t>D</t>
        </is>
      </c>
      <c r="J281" t="inlineStr">
        <is>
          <t>SRC-10</t>
        </is>
      </c>
    </row>
    <row r="282">
      <c r="A282" t="inlineStr">
        <is>
          <t>Malicious insider</t>
        </is>
      </c>
      <c r="B282" t="inlineStr">
        <is>
          <t>SC_DATA</t>
        </is>
      </c>
      <c r="C282" t="inlineStr">
        <is>
          <t>Sensitive-data compromise</t>
        </is>
      </c>
      <c r="D282" t="inlineStr">
        <is>
          <t>Duration</t>
        </is>
      </c>
      <c r="E282" t="inlineStr">
        <is>
          <t>IR_FORENSICS</t>
        </is>
      </c>
      <c r="F282" t="inlineStr">
        <is>
          <t>P99</t>
        </is>
      </c>
      <c r="G282" t="n">
        <v>480000</v>
      </c>
      <c r="H282" t="b">
        <v>1</v>
      </c>
      <c r="I282" t="inlineStr">
        <is>
          <t>D</t>
        </is>
      </c>
      <c r="J282" t="inlineStr">
        <is>
          <t>SRC-10</t>
        </is>
      </c>
    </row>
    <row r="283">
      <c r="A283" t="inlineStr">
        <is>
          <t>Malicious insider</t>
        </is>
      </c>
      <c r="B283" t="inlineStr">
        <is>
          <t>SC_DATA</t>
        </is>
      </c>
      <c r="C283" t="inlineStr">
        <is>
          <t>Sensitive-data compromise</t>
        </is>
      </c>
      <c r="D283" t="inlineStr">
        <is>
          <t>Duration</t>
        </is>
      </c>
      <c r="E283" t="inlineStr">
        <is>
          <t>EXTERNAL_RESPONSE</t>
        </is>
      </c>
      <c r="F283" t="inlineStr">
        <is>
          <t>P99</t>
        </is>
      </c>
      <c r="G283" t="n">
        <v>900000</v>
      </c>
      <c r="H283" t="b">
        <v>1</v>
      </c>
      <c r="I283" t="inlineStr">
        <is>
          <t>D</t>
        </is>
      </c>
      <c r="J283" t="inlineStr">
        <is>
          <t>SRC-10</t>
        </is>
      </c>
    </row>
    <row r="284">
      <c r="A284" t="inlineStr">
        <is>
          <t>Malicious insider</t>
        </is>
      </c>
      <c r="B284" t="inlineStr">
        <is>
          <t>SC_DATA</t>
        </is>
      </c>
      <c r="C284" t="inlineStr">
        <is>
          <t>Sensitive-data compromise</t>
        </is>
      </c>
      <c r="D284" t="inlineStr">
        <is>
          <t>Duration</t>
        </is>
      </c>
      <c r="E284" t="inlineStr">
        <is>
          <t>LEGAL_RESPONSE</t>
        </is>
      </c>
      <c r="F284" t="inlineStr">
        <is>
          <t>P99</t>
        </is>
      </c>
      <c r="G284" t="n">
        <v>1800000</v>
      </c>
      <c r="H284" t="b">
        <v>1</v>
      </c>
      <c r="I284" t="inlineStr">
        <is>
          <t>D</t>
        </is>
      </c>
      <c r="J284" t="inlineStr">
        <is>
          <t>SRC-10</t>
        </is>
      </c>
    </row>
    <row r="285">
      <c r="A285" t="inlineStr">
        <is>
          <t>Malicious insider</t>
        </is>
      </c>
      <c r="B285" t="inlineStr">
        <is>
          <t>SC_DATA</t>
        </is>
      </c>
      <c r="C285" t="inlineStr">
        <is>
          <t>Sensitive-data compromise</t>
        </is>
      </c>
      <c r="D285" t="inlineStr">
        <is>
          <t>Duration</t>
        </is>
      </c>
      <c r="E285" t="inlineStr">
        <is>
          <t>RESTORATION</t>
        </is>
      </c>
      <c r="F285" t="inlineStr">
        <is>
          <t>P99</t>
        </is>
      </c>
      <c r="G285" t="n">
        <v>480000</v>
      </c>
      <c r="H285" t="b">
        <v>1</v>
      </c>
      <c r="I285" t="inlineStr">
        <is>
          <t>D</t>
        </is>
      </c>
      <c r="J285" t="inlineStr">
        <is>
          <t>SRC-10</t>
        </is>
      </c>
    </row>
    <row r="286">
      <c r="A286" t="inlineStr">
        <is>
          <t>Malicious insider</t>
        </is>
      </c>
      <c r="B286" t="inlineStr">
        <is>
          <t>SC_DATA</t>
        </is>
      </c>
      <c r="C286" t="inlineStr">
        <is>
          <t>Sensitive-data compromise</t>
        </is>
      </c>
      <c r="D286" t="inlineStr">
        <is>
          <t>Duration</t>
        </is>
      </c>
      <c r="E286" t="inlineStr">
        <is>
          <t>BUSINESS_INTERRUPTION</t>
        </is>
      </c>
      <c r="F286" t="inlineStr">
        <is>
          <t>P99</t>
        </is>
      </c>
      <c r="G286" t="n">
        <v>10958904.10958904</v>
      </c>
      <c r="H286" t="b">
        <v>1</v>
      </c>
      <c r="I286" t="inlineStr">
        <is>
          <t>D</t>
        </is>
      </c>
      <c r="J286" t="inlineStr">
        <is>
          <t>SRC-10</t>
        </is>
      </c>
    </row>
    <row r="287">
      <c r="A287" t="inlineStr">
        <is>
          <t>Malicious insider</t>
        </is>
      </c>
      <c r="B287" t="inlineStr">
        <is>
          <t>SC_DATA</t>
        </is>
      </c>
      <c r="C287" t="inlineStr">
        <is>
          <t>Sensitive-data compromise</t>
        </is>
      </c>
      <c r="D287" t="inlineStr">
        <is>
          <t>Duration</t>
        </is>
      </c>
      <c r="E287" t="inlineStr">
        <is>
          <t>ENDPOINT_RECOVERY</t>
        </is>
      </c>
      <c r="F287" t="inlineStr">
        <is>
          <t>P99</t>
        </is>
      </c>
      <c r="G287" t="n">
        <v>750000</v>
      </c>
      <c r="H287" t="b">
        <v>1</v>
      </c>
      <c r="I287" t="inlineStr">
        <is>
          <t>D</t>
        </is>
      </c>
      <c r="J287" t="inlineStr">
        <is>
          <t>SRC-10</t>
        </is>
      </c>
    </row>
    <row r="288">
      <c r="A288" t="inlineStr">
        <is>
          <t>Malicious insider</t>
        </is>
      </c>
      <c r="B288" t="inlineStr">
        <is>
          <t>SC_DATA</t>
        </is>
      </c>
      <c r="C288" t="inlineStr">
        <is>
          <t>Sensitive-data compromise</t>
        </is>
      </c>
      <c r="D288" t="inlineStr">
        <is>
          <t>Duration</t>
        </is>
      </c>
      <c r="E288" t="inlineStr">
        <is>
          <t>SERVER_RECOVERY</t>
        </is>
      </c>
      <c r="F288" t="inlineStr">
        <is>
          <t>P99</t>
        </is>
      </c>
      <c r="G288" t="n">
        <v>1000000</v>
      </c>
      <c r="H288" t="b">
        <v>1</v>
      </c>
      <c r="I288" t="inlineStr">
        <is>
          <t>D</t>
        </is>
      </c>
      <c r="J288" t="inlineStr">
        <is>
          <t>SRC-10</t>
        </is>
      </c>
    </row>
    <row r="289">
      <c r="A289" t="inlineStr">
        <is>
          <t>Malicious insider</t>
        </is>
      </c>
      <c r="B289" t="inlineStr">
        <is>
          <t>SC_DATA</t>
        </is>
      </c>
      <c r="C289" t="inlineStr">
        <is>
          <t>Sensitive-data compromise</t>
        </is>
      </c>
      <c r="D289" t="inlineStr">
        <is>
          <t>Exposure</t>
        </is>
      </c>
      <c r="E289" t="inlineStr">
        <is>
          <t>NOTIFICATION</t>
        </is>
      </c>
      <c r="F289" t="inlineStr">
        <is>
          <t>P99</t>
        </is>
      </c>
      <c r="G289" t="n">
        <v>4000000</v>
      </c>
      <c r="H289" t="b">
        <v>1</v>
      </c>
      <c r="I289" t="inlineStr">
        <is>
          <t>D</t>
        </is>
      </c>
      <c r="J289" t="inlineStr">
        <is>
          <t>SRC-10</t>
        </is>
      </c>
    </row>
    <row r="290">
      <c r="A290" t="inlineStr">
        <is>
          <t>Malicious insider</t>
        </is>
      </c>
      <c r="B290" t="inlineStr">
        <is>
          <t>SC_DATA</t>
        </is>
      </c>
      <c r="C290" t="inlineStr">
        <is>
          <t>Sensitive-data compromise</t>
        </is>
      </c>
      <c r="D290" t="inlineStr">
        <is>
          <t>Exposure</t>
        </is>
      </c>
      <c r="E290" t="inlineStr">
        <is>
          <t>CREDIT_MONITORING</t>
        </is>
      </c>
      <c r="F290" t="inlineStr">
        <is>
          <t>P99</t>
        </is>
      </c>
      <c r="G290" t="n">
        <v>20000000</v>
      </c>
      <c r="H290" t="b">
        <v>1</v>
      </c>
      <c r="I290" t="inlineStr">
        <is>
          <t>D</t>
        </is>
      </c>
      <c r="J290" t="inlineStr">
        <is>
          <t>SRC-10</t>
        </is>
      </c>
    </row>
    <row r="291">
      <c r="A291" t="inlineStr">
        <is>
          <t>Malicious insider</t>
        </is>
      </c>
      <c r="B291" t="inlineStr">
        <is>
          <t>SC_DATA</t>
        </is>
      </c>
      <c r="C291" t="inlineStr">
        <is>
          <t>Sensitive-data compromise</t>
        </is>
      </c>
      <c r="D291" t="inlineStr">
        <is>
          <t>Exposure</t>
        </is>
      </c>
      <c r="E291" t="inlineStr">
        <is>
          <t>REGULATORY</t>
        </is>
      </c>
      <c r="F291" t="inlineStr">
        <is>
          <t>P99</t>
        </is>
      </c>
      <c r="G291" t="n">
        <v>10000000</v>
      </c>
      <c r="H291" t="b">
        <v>1</v>
      </c>
      <c r="I291" t="inlineStr">
        <is>
          <t>D</t>
        </is>
      </c>
      <c r="J291" t="inlineStr">
        <is>
          <t>SRC-10</t>
        </is>
      </c>
    </row>
    <row r="292">
      <c r="A292" t="inlineStr">
        <is>
          <t>Malicious insider</t>
        </is>
      </c>
      <c r="B292" t="inlineStr">
        <is>
          <t>SC_DATA</t>
        </is>
      </c>
      <c r="C292" t="inlineStr">
        <is>
          <t>Sensitive-data compromise</t>
        </is>
      </c>
      <c r="D292" t="inlineStr">
        <is>
          <t>Exposure</t>
        </is>
      </c>
      <c r="E292" t="inlineStr">
        <is>
          <t>CUSTOMER_ATTRITION</t>
        </is>
      </c>
      <c r="F292" t="inlineStr">
        <is>
          <t>P99</t>
        </is>
      </c>
      <c r="G292" t="n">
        <v>30000000</v>
      </c>
      <c r="H292" t="b">
        <v>1</v>
      </c>
      <c r="I292" t="inlineStr">
        <is>
          <t>D</t>
        </is>
      </c>
      <c r="J292" t="inlineStr">
        <is>
          <t>SRC-10</t>
        </is>
      </c>
    </row>
    <row r="293">
      <c r="A293" t="inlineStr">
        <is>
          <t>Malicious insider</t>
        </is>
      </c>
      <c r="B293" t="inlineStr">
        <is>
          <t>SC_DATA</t>
        </is>
      </c>
      <c r="C293" t="inlineStr">
        <is>
          <t>Sensitive-data compromise</t>
        </is>
      </c>
      <c r="D293" t="inlineStr">
        <is>
          <t>Direct</t>
        </is>
      </c>
      <c r="E293" t="inlineStr">
        <is>
          <t>FRAUD_NET_RECOVERY</t>
        </is>
      </c>
      <c r="F293" t="inlineStr">
        <is>
          <t>P99</t>
        </is>
      </c>
      <c r="G293" t="n">
        <v>0</v>
      </c>
      <c r="H293" t="b">
        <v>0</v>
      </c>
      <c r="I293" t="inlineStr">
        <is>
          <t>D</t>
        </is>
      </c>
      <c r="J293" t="inlineStr">
        <is>
          <t>SRC-10</t>
        </is>
      </c>
    </row>
    <row r="294">
      <c r="A294" t="inlineStr">
        <is>
          <t>Malicious insider</t>
        </is>
      </c>
      <c r="B294" t="inlineStr">
        <is>
          <t>SC_DATA</t>
        </is>
      </c>
      <c r="C294" t="inlineStr">
        <is>
          <t>Sensitive-data compromise</t>
        </is>
      </c>
      <c r="D294" t="inlineStr">
        <is>
          <t>Direct</t>
        </is>
      </c>
      <c r="E294" t="inlineStr">
        <is>
          <t>EXTORTION</t>
        </is>
      </c>
      <c r="F294" t="inlineStr">
        <is>
          <t>P99</t>
        </is>
      </c>
      <c r="G294" t="n">
        <v>0</v>
      </c>
      <c r="H294" t="b">
        <v>0</v>
      </c>
      <c r="I294" t="inlineStr">
        <is>
          <t>D</t>
        </is>
      </c>
      <c r="J294" t="inlineStr">
        <is>
          <t>SRC-10</t>
        </is>
      </c>
    </row>
    <row r="295">
      <c r="A295" t="inlineStr">
        <is>
          <t>Malicious insider</t>
        </is>
      </c>
      <c r="B295" t="inlineStr">
        <is>
          <t>SC_DATA</t>
        </is>
      </c>
      <c r="C295" t="inlineStr">
        <is>
          <t>Sensitive-data compromise</t>
        </is>
      </c>
      <c r="D295" t="inlineStr">
        <is>
          <t>Direct</t>
        </is>
      </c>
      <c r="E295" t="inlineStr">
        <is>
          <t>POST_EVENT_UPLIFT</t>
        </is>
      </c>
      <c r="F295" t="inlineStr">
        <is>
          <t>P99</t>
        </is>
      </c>
      <c r="G295" t="n">
        <v>8000000</v>
      </c>
      <c r="H295" t="b">
        <v>1</v>
      </c>
      <c r="I295" t="inlineStr">
        <is>
          <t>D</t>
        </is>
      </c>
      <c r="J295" t="inlineStr">
        <is>
          <t>SRC-10</t>
        </is>
      </c>
    </row>
    <row r="296">
      <c r="A296" t="inlineStr">
        <is>
          <t>Malicious insider</t>
        </is>
      </c>
      <c r="B296" t="inlineStr">
        <is>
          <t>SC_INT</t>
        </is>
      </c>
      <c r="C296" t="inlineStr">
        <is>
          <t>Data or transaction-integrity compromise</t>
        </is>
      </c>
      <c r="D296" t="inlineStr">
        <is>
          <t>Duration</t>
        </is>
      </c>
      <c r="E296" t="inlineStr">
        <is>
          <t>IR_FORENSICS</t>
        </is>
      </c>
      <c r="F296" t="inlineStr">
        <is>
          <t>P50</t>
        </is>
      </c>
      <c r="G296" t="n">
        <v>30000</v>
      </c>
      <c r="H296" t="b">
        <v>1</v>
      </c>
      <c r="I296" t="inlineStr">
        <is>
          <t>D</t>
        </is>
      </c>
      <c r="J296" t="inlineStr">
        <is>
          <t>SRC-10</t>
        </is>
      </c>
    </row>
    <row r="297">
      <c r="A297" t="inlineStr">
        <is>
          <t>Malicious insider</t>
        </is>
      </c>
      <c r="B297" t="inlineStr">
        <is>
          <t>SC_INT</t>
        </is>
      </c>
      <c r="C297" t="inlineStr">
        <is>
          <t>Data or transaction-integrity compromise</t>
        </is>
      </c>
      <c r="D297" t="inlineStr">
        <is>
          <t>Duration</t>
        </is>
      </c>
      <c r="E297" t="inlineStr">
        <is>
          <t>EXTERNAL_RESPONSE</t>
        </is>
      </c>
      <c r="F297" t="inlineStr">
        <is>
          <t>P50</t>
        </is>
      </c>
      <c r="G297" t="n">
        <v>60000</v>
      </c>
      <c r="H297" t="b">
        <v>1</v>
      </c>
      <c r="I297" t="inlineStr">
        <is>
          <t>D</t>
        </is>
      </c>
      <c r="J297" t="inlineStr">
        <is>
          <t>SRC-10</t>
        </is>
      </c>
    </row>
    <row r="298">
      <c r="A298" t="inlineStr">
        <is>
          <t>Malicious insider</t>
        </is>
      </c>
      <c r="B298" t="inlineStr">
        <is>
          <t>SC_INT</t>
        </is>
      </c>
      <c r="C298" t="inlineStr">
        <is>
          <t>Data or transaction-integrity compromise</t>
        </is>
      </c>
      <c r="D298" t="inlineStr">
        <is>
          <t>Duration</t>
        </is>
      </c>
      <c r="E298" t="inlineStr">
        <is>
          <t>LEGAL_RESPONSE</t>
        </is>
      </c>
      <c r="F298" t="inlineStr">
        <is>
          <t>P50</t>
        </is>
      </c>
      <c r="G298" t="n">
        <v>100000</v>
      </c>
      <c r="H298" t="b">
        <v>1</v>
      </c>
      <c r="I298" t="inlineStr">
        <is>
          <t>D</t>
        </is>
      </c>
      <c r="J298" t="inlineStr">
        <is>
          <t>SRC-10</t>
        </is>
      </c>
    </row>
    <row r="299">
      <c r="A299" t="inlineStr">
        <is>
          <t>Malicious insider</t>
        </is>
      </c>
      <c r="B299" t="inlineStr">
        <is>
          <t>SC_INT</t>
        </is>
      </c>
      <c r="C299" t="inlineStr">
        <is>
          <t>Data or transaction-integrity compromise</t>
        </is>
      </c>
      <c r="D299" t="inlineStr">
        <is>
          <t>Duration</t>
        </is>
      </c>
      <c r="E299" t="inlineStr">
        <is>
          <t>RESTORATION</t>
        </is>
      </c>
      <c r="F299" t="inlineStr">
        <is>
          <t>P50</t>
        </is>
      </c>
      <c r="G299" t="n">
        <v>40000</v>
      </c>
      <c r="H299" t="b">
        <v>1</v>
      </c>
      <c r="I299" t="inlineStr">
        <is>
          <t>D</t>
        </is>
      </c>
      <c r="J299" t="inlineStr">
        <is>
          <t>SRC-10</t>
        </is>
      </c>
    </row>
    <row r="300">
      <c r="A300" t="inlineStr">
        <is>
          <t>Malicious insider</t>
        </is>
      </c>
      <c r="B300" t="inlineStr">
        <is>
          <t>SC_INT</t>
        </is>
      </c>
      <c r="C300" t="inlineStr">
        <is>
          <t>Data or transaction-integrity compromise</t>
        </is>
      </c>
      <c r="D300" t="inlineStr">
        <is>
          <t>Duration</t>
        </is>
      </c>
      <c r="E300" t="inlineStr">
        <is>
          <t>BUSINESS_INTERRUPTION</t>
        </is>
      </c>
      <c r="F300" t="inlineStr">
        <is>
          <t>P50</t>
        </is>
      </c>
      <c r="G300" t="n">
        <v>1095890.410958904</v>
      </c>
      <c r="H300" t="b">
        <v>1</v>
      </c>
      <c r="I300" t="inlineStr">
        <is>
          <t>D</t>
        </is>
      </c>
      <c r="J300" t="inlineStr">
        <is>
          <t>SRC-10</t>
        </is>
      </c>
    </row>
    <row r="301">
      <c r="A301" t="inlineStr">
        <is>
          <t>Malicious insider</t>
        </is>
      </c>
      <c r="B301" t="inlineStr">
        <is>
          <t>SC_INT</t>
        </is>
      </c>
      <c r="C301" t="inlineStr">
        <is>
          <t>Data or transaction-integrity compromise</t>
        </is>
      </c>
      <c r="D301" t="inlineStr">
        <is>
          <t>Duration</t>
        </is>
      </c>
      <c r="E301" t="inlineStr">
        <is>
          <t>ENDPOINT_RECOVERY</t>
        </is>
      </c>
      <c r="F301" t="inlineStr">
        <is>
          <t>P50</t>
        </is>
      </c>
      <c r="G301" t="n">
        <v>100000</v>
      </c>
      <c r="H301" t="b">
        <v>1</v>
      </c>
      <c r="I301" t="inlineStr">
        <is>
          <t>D</t>
        </is>
      </c>
      <c r="J301" t="inlineStr">
        <is>
          <t>SRC-10</t>
        </is>
      </c>
    </row>
    <row r="302">
      <c r="A302" t="inlineStr">
        <is>
          <t>Malicious insider</t>
        </is>
      </c>
      <c r="B302" t="inlineStr">
        <is>
          <t>SC_INT</t>
        </is>
      </c>
      <c r="C302" t="inlineStr">
        <is>
          <t>Data or transaction-integrity compromise</t>
        </is>
      </c>
      <c r="D302" t="inlineStr">
        <is>
          <t>Duration</t>
        </is>
      </c>
      <c r="E302" t="inlineStr">
        <is>
          <t>SERVER_RECOVERY</t>
        </is>
      </c>
      <c r="F302" t="inlineStr">
        <is>
          <t>P50</t>
        </is>
      </c>
      <c r="G302" t="n">
        <v>250000</v>
      </c>
      <c r="H302" t="b">
        <v>1</v>
      </c>
      <c r="I302" t="inlineStr">
        <is>
          <t>D</t>
        </is>
      </c>
      <c r="J302" t="inlineStr">
        <is>
          <t>SRC-10</t>
        </is>
      </c>
    </row>
    <row r="303">
      <c r="A303" t="inlineStr">
        <is>
          <t>Malicious insider</t>
        </is>
      </c>
      <c r="B303" t="inlineStr">
        <is>
          <t>SC_INT</t>
        </is>
      </c>
      <c r="C303" t="inlineStr">
        <is>
          <t>Data or transaction-integrity compromise</t>
        </is>
      </c>
      <c r="D303" t="inlineStr">
        <is>
          <t>Exposure</t>
        </is>
      </c>
      <c r="E303" t="inlineStr">
        <is>
          <t>NOTIFICATION</t>
        </is>
      </c>
      <c r="F303" t="inlineStr">
        <is>
          <t>P50</t>
        </is>
      </c>
      <c r="G303" t="n">
        <v>0</v>
      </c>
      <c r="H303" t="b">
        <v>0</v>
      </c>
      <c r="I303" t="inlineStr">
        <is>
          <t>D</t>
        </is>
      </c>
      <c r="J303" t="inlineStr">
        <is>
          <t>SRC-10</t>
        </is>
      </c>
    </row>
    <row r="304">
      <c r="A304" t="inlineStr">
        <is>
          <t>Malicious insider</t>
        </is>
      </c>
      <c r="B304" t="inlineStr">
        <is>
          <t>SC_INT</t>
        </is>
      </c>
      <c r="C304" t="inlineStr">
        <is>
          <t>Data or transaction-integrity compromise</t>
        </is>
      </c>
      <c r="D304" t="inlineStr">
        <is>
          <t>Exposure</t>
        </is>
      </c>
      <c r="E304" t="inlineStr">
        <is>
          <t>CREDIT_MONITORING</t>
        </is>
      </c>
      <c r="F304" t="inlineStr">
        <is>
          <t>P50</t>
        </is>
      </c>
      <c r="G304" t="n">
        <v>0</v>
      </c>
      <c r="H304" t="b">
        <v>0</v>
      </c>
      <c r="I304" t="inlineStr">
        <is>
          <t>D</t>
        </is>
      </c>
      <c r="J304" t="inlineStr">
        <is>
          <t>SRC-10</t>
        </is>
      </c>
    </row>
    <row r="305">
      <c r="A305" t="inlineStr">
        <is>
          <t>Malicious insider</t>
        </is>
      </c>
      <c r="B305" t="inlineStr">
        <is>
          <t>SC_INT</t>
        </is>
      </c>
      <c r="C305" t="inlineStr">
        <is>
          <t>Data or transaction-integrity compromise</t>
        </is>
      </c>
      <c r="D305" t="inlineStr">
        <is>
          <t>Exposure</t>
        </is>
      </c>
      <c r="E305" t="inlineStr">
        <is>
          <t>REGULATORY</t>
        </is>
      </c>
      <c r="F305" t="inlineStr">
        <is>
          <t>P50</t>
        </is>
      </c>
      <c r="G305" t="n">
        <v>500000</v>
      </c>
      <c r="H305" t="b">
        <v>1</v>
      </c>
      <c r="I305" t="inlineStr">
        <is>
          <t>D</t>
        </is>
      </c>
      <c r="J305" t="inlineStr">
        <is>
          <t>SRC-10</t>
        </is>
      </c>
    </row>
    <row r="306">
      <c r="A306" t="inlineStr">
        <is>
          <t>Malicious insider</t>
        </is>
      </c>
      <c r="B306" t="inlineStr">
        <is>
          <t>SC_INT</t>
        </is>
      </c>
      <c r="C306" t="inlineStr">
        <is>
          <t>Data or transaction-integrity compromise</t>
        </is>
      </c>
      <c r="D306" t="inlineStr">
        <is>
          <t>Exposure</t>
        </is>
      </c>
      <c r="E306" t="inlineStr">
        <is>
          <t>CUSTOMER_ATTRITION</t>
        </is>
      </c>
      <c r="F306" t="inlineStr">
        <is>
          <t>P50</t>
        </is>
      </c>
      <c r="G306" t="n">
        <v>1000000</v>
      </c>
      <c r="H306" t="b">
        <v>1</v>
      </c>
      <c r="I306" t="inlineStr">
        <is>
          <t>D</t>
        </is>
      </c>
      <c r="J306" t="inlineStr">
        <is>
          <t>SRC-10</t>
        </is>
      </c>
    </row>
    <row r="307">
      <c r="A307" t="inlineStr">
        <is>
          <t>Malicious insider</t>
        </is>
      </c>
      <c r="B307" t="inlineStr">
        <is>
          <t>SC_INT</t>
        </is>
      </c>
      <c r="C307" t="inlineStr">
        <is>
          <t>Data or transaction-integrity compromise</t>
        </is>
      </c>
      <c r="D307" t="inlineStr">
        <is>
          <t>Direct</t>
        </is>
      </c>
      <c r="E307" t="inlineStr">
        <is>
          <t>FRAUD_NET_RECOVERY</t>
        </is>
      </c>
      <c r="F307" t="inlineStr">
        <is>
          <t>P50</t>
        </is>
      </c>
      <c r="G307" t="n">
        <v>27397.2602739726</v>
      </c>
      <c r="H307" t="b">
        <v>1</v>
      </c>
      <c r="I307" t="inlineStr">
        <is>
          <t>D</t>
        </is>
      </c>
      <c r="J307" t="inlineStr">
        <is>
          <t>SRC-10</t>
        </is>
      </c>
    </row>
    <row r="308">
      <c r="A308" t="inlineStr">
        <is>
          <t>Malicious insider</t>
        </is>
      </c>
      <c r="B308" t="inlineStr">
        <is>
          <t>SC_INT</t>
        </is>
      </c>
      <c r="C308" t="inlineStr">
        <is>
          <t>Data or transaction-integrity compromise</t>
        </is>
      </c>
      <c r="D308" t="inlineStr">
        <is>
          <t>Direct</t>
        </is>
      </c>
      <c r="E308" t="inlineStr">
        <is>
          <t>EXTORTION</t>
        </is>
      </c>
      <c r="F308" t="inlineStr">
        <is>
          <t>P50</t>
        </is>
      </c>
      <c r="G308" t="n">
        <v>0</v>
      </c>
      <c r="H308" t="b">
        <v>0</v>
      </c>
      <c r="I308" t="inlineStr">
        <is>
          <t>D</t>
        </is>
      </c>
      <c r="J308" t="inlineStr">
        <is>
          <t>SRC-10</t>
        </is>
      </c>
    </row>
    <row r="309">
      <c r="A309" t="inlineStr">
        <is>
          <t>Malicious insider</t>
        </is>
      </c>
      <c r="B309" t="inlineStr">
        <is>
          <t>SC_INT</t>
        </is>
      </c>
      <c r="C309" t="inlineStr">
        <is>
          <t>Data or transaction-integrity compromise</t>
        </is>
      </c>
      <c r="D309" t="inlineStr">
        <is>
          <t>Direct</t>
        </is>
      </c>
      <c r="E309" t="inlineStr">
        <is>
          <t>POST_EVENT_UPLIFT</t>
        </is>
      </c>
      <c r="F309" t="inlineStr">
        <is>
          <t>P50</t>
        </is>
      </c>
      <c r="G309" t="n">
        <v>1000000</v>
      </c>
      <c r="H309" t="b">
        <v>1</v>
      </c>
      <c r="I309" t="inlineStr">
        <is>
          <t>D</t>
        </is>
      </c>
      <c r="J309" t="inlineStr">
        <is>
          <t>SRC-10</t>
        </is>
      </c>
    </row>
    <row r="310">
      <c r="A310" t="inlineStr">
        <is>
          <t>Malicious insider</t>
        </is>
      </c>
      <c r="B310" t="inlineStr">
        <is>
          <t>SC_INT</t>
        </is>
      </c>
      <c r="C310" t="inlineStr">
        <is>
          <t>Data or transaction-integrity compromise</t>
        </is>
      </c>
      <c r="D310" t="inlineStr">
        <is>
          <t>Duration</t>
        </is>
      </c>
      <c r="E310" t="inlineStr">
        <is>
          <t>IR_FORENSICS</t>
        </is>
      </c>
      <c r="F310" t="inlineStr">
        <is>
          <t>P99</t>
        </is>
      </c>
      <c r="G310" t="n">
        <v>360000</v>
      </c>
      <c r="H310" t="b">
        <v>1</v>
      </c>
      <c r="I310" t="inlineStr">
        <is>
          <t>D</t>
        </is>
      </c>
      <c r="J310" t="inlineStr">
        <is>
          <t>SRC-10</t>
        </is>
      </c>
    </row>
    <row r="311">
      <c r="A311" t="inlineStr">
        <is>
          <t>Malicious insider</t>
        </is>
      </c>
      <c r="B311" t="inlineStr">
        <is>
          <t>SC_INT</t>
        </is>
      </c>
      <c r="C311" t="inlineStr">
        <is>
          <t>Data or transaction-integrity compromise</t>
        </is>
      </c>
      <c r="D311" t="inlineStr">
        <is>
          <t>Duration</t>
        </is>
      </c>
      <c r="E311" t="inlineStr">
        <is>
          <t>EXTERNAL_RESPONSE</t>
        </is>
      </c>
      <c r="F311" t="inlineStr">
        <is>
          <t>P99</t>
        </is>
      </c>
      <c r="G311" t="n">
        <v>750000</v>
      </c>
      <c r="H311" t="b">
        <v>1</v>
      </c>
      <c r="I311" t="inlineStr">
        <is>
          <t>D</t>
        </is>
      </c>
      <c r="J311" t="inlineStr">
        <is>
          <t>SRC-10</t>
        </is>
      </c>
    </row>
    <row r="312">
      <c r="A312" t="inlineStr">
        <is>
          <t>Malicious insider</t>
        </is>
      </c>
      <c r="B312" t="inlineStr">
        <is>
          <t>SC_INT</t>
        </is>
      </c>
      <c r="C312" t="inlineStr">
        <is>
          <t>Data or transaction-integrity compromise</t>
        </is>
      </c>
      <c r="D312" t="inlineStr">
        <is>
          <t>Duration</t>
        </is>
      </c>
      <c r="E312" t="inlineStr">
        <is>
          <t>LEGAL_RESPONSE</t>
        </is>
      </c>
      <c r="F312" t="inlineStr">
        <is>
          <t>P99</t>
        </is>
      </c>
      <c r="G312" t="n">
        <v>1200000</v>
      </c>
      <c r="H312" t="b">
        <v>1</v>
      </c>
      <c r="I312" t="inlineStr">
        <is>
          <t>D</t>
        </is>
      </c>
      <c r="J312" t="inlineStr">
        <is>
          <t>SRC-10</t>
        </is>
      </c>
    </row>
    <row r="313">
      <c r="A313" t="inlineStr">
        <is>
          <t>Malicious insider</t>
        </is>
      </c>
      <c r="B313" t="inlineStr">
        <is>
          <t>SC_INT</t>
        </is>
      </c>
      <c r="C313" t="inlineStr">
        <is>
          <t>Data or transaction-integrity compromise</t>
        </is>
      </c>
      <c r="D313" t="inlineStr">
        <is>
          <t>Duration</t>
        </is>
      </c>
      <c r="E313" t="inlineStr">
        <is>
          <t>RESTORATION</t>
        </is>
      </c>
      <c r="F313" t="inlineStr">
        <is>
          <t>P99</t>
        </is>
      </c>
      <c r="G313" t="n">
        <v>600000</v>
      </c>
      <c r="H313" t="b">
        <v>1</v>
      </c>
      <c r="I313" t="inlineStr">
        <is>
          <t>D</t>
        </is>
      </c>
      <c r="J313" t="inlineStr">
        <is>
          <t>SRC-10</t>
        </is>
      </c>
    </row>
    <row r="314">
      <c r="A314" t="inlineStr">
        <is>
          <t>Malicious insider</t>
        </is>
      </c>
      <c r="B314" t="inlineStr">
        <is>
          <t>SC_INT</t>
        </is>
      </c>
      <c r="C314" t="inlineStr">
        <is>
          <t>Data or transaction-integrity compromise</t>
        </is>
      </c>
      <c r="D314" t="inlineStr">
        <is>
          <t>Duration</t>
        </is>
      </c>
      <c r="E314" t="inlineStr">
        <is>
          <t>BUSINESS_INTERRUPTION</t>
        </is>
      </c>
      <c r="F314" t="inlineStr">
        <is>
          <t>P99</t>
        </is>
      </c>
      <c r="G314" t="n">
        <v>38356164.38356164</v>
      </c>
      <c r="H314" t="b">
        <v>1</v>
      </c>
      <c r="I314" t="inlineStr">
        <is>
          <t>D</t>
        </is>
      </c>
      <c r="J314" t="inlineStr">
        <is>
          <t>SRC-10</t>
        </is>
      </c>
    </row>
    <row r="315">
      <c r="A315" t="inlineStr">
        <is>
          <t>Malicious insider</t>
        </is>
      </c>
      <c r="B315" t="inlineStr">
        <is>
          <t>SC_INT</t>
        </is>
      </c>
      <c r="C315" t="inlineStr">
        <is>
          <t>Data or transaction-integrity compromise</t>
        </is>
      </c>
      <c r="D315" t="inlineStr">
        <is>
          <t>Duration</t>
        </is>
      </c>
      <c r="E315" t="inlineStr">
        <is>
          <t>ENDPOINT_RECOVERY</t>
        </is>
      </c>
      <c r="F315" t="inlineStr">
        <is>
          <t>P99</t>
        </is>
      </c>
      <c r="G315" t="n">
        <v>1000000</v>
      </c>
      <c r="H315" t="b">
        <v>1</v>
      </c>
      <c r="I315" t="inlineStr">
        <is>
          <t>D</t>
        </is>
      </c>
      <c r="J315" t="inlineStr">
        <is>
          <t>SRC-10</t>
        </is>
      </c>
    </row>
    <row r="316">
      <c r="A316" t="inlineStr">
        <is>
          <t>Malicious insider</t>
        </is>
      </c>
      <c r="B316" t="inlineStr">
        <is>
          <t>SC_INT</t>
        </is>
      </c>
      <c r="C316" t="inlineStr">
        <is>
          <t>Data or transaction-integrity compromise</t>
        </is>
      </c>
      <c r="D316" t="inlineStr">
        <is>
          <t>Duration</t>
        </is>
      </c>
      <c r="E316" t="inlineStr">
        <is>
          <t>SERVER_RECOVERY</t>
        </is>
      </c>
      <c r="F316" t="inlineStr">
        <is>
          <t>P99</t>
        </is>
      </c>
      <c r="G316" t="n">
        <v>2000000</v>
      </c>
      <c r="H316" t="b">
        <v>1</v>
      </c>
      <c r="I316" t="inlineStr">
        <is>
          <t>D</t>
        </is>
      </c>
      <c r="J316" t="inlineStr">
        <is>
          <t>SRC-10</t>
        </is>
      </c>
    </row>
    <row r="317">
      <c r="A317" t="inlineStr">
        <is>
          <t>Malicious insider</t>
        </is>
      </c>
      <c r="B317" t="inlineStr">
        <is>
          <t>SC_INT</t>
        </is>
      </c>
      <c r="C317" t="inlineStr">
        <is>
          <t>Data or transaction-integrity compromise</t>
        </is>
      </c>
      <c r="D317" t="inlineStr">
        <is>
          <t>Exposure</t>
        </is>
      </c>
      <c r="E317" t="inlineStr">
        <is>
          <t>NOTIFICATION</t>
        </is>
      </c>
      <c r="F317" t="inlineStr">
        <is>
          <t>P99</t>
        </is>
      </c>
      <c r="G317" t="n">
        <v>0</v>
      </c>
      <c r="H317" t="b">
        <v>0</v>
      </c>
      <c r="I317" t="inlineStr">
        <is>
          <t>D</t>
        </is>
      </c>
      <c r="J317" t="inlineStr">
        <is>
          <t>SRC-10</t>
        </is>
      </c>
    </row>
    <row r="318">
      <c r="A318" t="inlineStr">
        <is>
          <t>Malicious insider</t>
        </is>
      </c>
      <c r="B318" t="inlineStr">
        <is>
          <t>SC_INT</t>
        </is>
      </c>
      <c r="C318" t="inlineStr">
        <is>
          <t>Data or transaction-integrity compromise</t>
        </is>
      </c>
      <c r="D318" t="inlineStr">
        <is>
          <t>Exposure</t>
        </is>
      </c>
      <c r="E318" t="inlineStr">
        <is>
          <t>CREDIT_MONITORING</t>
        </is>
      </c>
      <c r="F318" t="inlineStr">
        <is>
          <t>P99</t>
        </is>
      </c>
      <c r="G318" t="n">
        <v>0</v>
      </c>
      <c r="H318" t="b">
        <v>0</v>
      </c>
      <c r="I318" t="inlineStr">
        <is>
          <t>D</t>
        </is>
      </c>
      <c r="J318" t="inlineStr">
        <is>
          <t>SRC-10</t>
        </is>
      </c>
    </row>
    <row r="319">
      <c r="A319" t="inlineStr">
        <is>
          <t>Malicious insider</t>
        </is>
      </c>
      <c r="B319" t="inlineStr">
        <is>
          <t>SC_INT</t>
        </is>
      </c>
      <c r="C319" t="inlineStr">
        <is>
          <t>Data or transaction-integrity compromise</t>
        </is>
      </c>
      <c r="D319" t="inlineStr">
        <is>
          <t>Exposure</t>
        </is>
      </c>
      <c r="E319" t="inlineStr">
        <is>
          <t>REGULATORY</t>
        </is>
      </c>
      <c r="F319" t="inlineStr">
        <is>
          <t>P99</t>
        </is>
      </c>
      <c r="G319" t="n">
        <v>6000000</v>
      </c>
      <c r="H319" t="b">
        <v>1</v>
      </c>
      <c r="I319" t="inlineStr">
        <is>
          <t>D</t>
        </is>
      </c>
      <c r="J319" t="inlineStr">
        <is>
          <t>SRC-10</t>
        </is>
      </c>
    </row>
    <row r="320">
      <c r="A320" t="inlineStr">
        <is>
          <t>Malicious insider</t>
        </is>
      </c>
      <c r="B320" t="inlineStr">
        <is>
          <t>SC_INT</t>
        </is>
      </c>
      <c r="C320" t="inlineStr">
        <is>
          <t>Data or transaction-integrity compromise</t>
        </is>
      </c>
      <c r="D320" t="inlineStr">
        <is>
          <t>Exposure</t>
        </is>
      </c>
      <c r="E320" t="inlineStr">
        <is>
          <t>CUSTOMER_ATTRITION</t>
        </is>
      </c>
      <c r="F320" t="inlineStr">
        <is>
          <t>P99</t>
        </is>
      </c>
      <c r="G320" t="n">
        <v>20000000</v>
      </c>
      <c r="H320" t="b">
        <v>1</v>
      </c>
      <c r="I320" t="inlineStr">
        <is>
          <t>D</t>
        </is>
      </c>
      <c r="J320" t="inlineStr">
        <is>
          <t>SRC-10</t>
        </is>
      </c>
    </row>
    <row r="321">
      <c r="A321" t="inlineStr">
        <is>
          <t>Malicious insider</t>
        </is>
      </c>
      <c r="B321" t="inlineStr">
        <is>
          <t>SC_INT</t>
        </is>
      </c>
      <c r="C321" t="inlineStr">
        <is>
          <t>Data or transaction-integrity compromise</t>
        </is>
      </c>
      <c r="D321" t="inlineStr">
        <is>
          <t>Direct</t>
        </is>
      </c>
      <c r="E321" t="inlineStr">
        <is>
          <t>FRAUD_NET_RECOVERY</t>
        </is>
      </c>
      <c r="F321" t="inlineStr">
        <is>
          <t>P99</t>
        </is>
      </c>
      <c r="G321" t="n">
        <v>4794520.547945206</v>
      </c>
      <c r="H321" t="b">
        <v>1</v>
      </c>
      <c r="I321" t="inlineStr">
        <is>
          <t>D</t>
        </is>
      </c>
      <c r="J321" t="inlineStr">
        <is>
          <t>SRC-10</t>
        </is>
      </c>
    </row>
    <row r="322">
      <c r="A322" t="inlineStr">
        <is>
          <t>Malicious insider</t>
        </is>
      </c>
      <c r="B322" t="inlineStr">
        <is>
          <t>SC_INT</t>
        </is>
      </c>
      <c r="C322" t="inlineStr">
        <is>
          <t>Data or transaction-integrity compromise</t>
        </is>
      </c>
      <c r="D322" t="inlineStr">
        <is>
          <t>Direct</t>
        </is>
      </c>
      <c r="E322" t="inlineStr">
        <is>
          <t>EXTORTION</t>
        </is>
      </c>
      <c r="F322" t="inlineStr">
        <is>
          <t>P99</t>
        </is>
      </c>
      <c r="G322" t="n">
        <v>0</v>
      </c>
      <c r="H322" t="b">
        <v>0</v>
      </c>
      <c r="I322" t="inlineStr">
        <is>
          <t>D</t>
        </is>
      </c>
      <c r="J322" t="inlineStr">
        <is>
          <t>SRC-10</t>
        </is>
      </c>
    </row>
    <row r="323">
      <c r="A323" t="inlineStr">
        <is>
          <t>Malicious insider</t>
        </is>
      </c>
      <c r="B323" t="inlineStr">
        <is>
          <t>SC_INT</t>
        </is>
      </c>
      <c r="C323" t="inlineStr">
        <is>
          <t>Data or transaction-integrity compromise</t>
        </is>
      </c>
      <c r="D323" t="inlineStr">
        <is>
          <t>Direct</t>
        </is>
      </c>
      <c r="E323" t="inlineStr">
        <is>
          <t>POST_EVENT_UPLIFT</t>
        </is>
      </c>
      <c r="F323" t="inlineStr">
        <is>
          <t>P99</t>
        </is>
      </c>
      <c r="G323" t="n">
        <v>8000000</v>
      </c>
      <c r="H323" t="b">
        <v>1</v>
      </c>
      <c r="I323" t="inlineStr">
        <is>
          <t>D</t>
        </is>
      </c>
      <c r="J323" t="inlineStr">
        <is>
          <t>SRC-10</t>
        </is>
      </c>
    </row>
    <row r="324">
      <c r="A324" t="inlineStr">
        <is>
          <t>Malicious insider</t>
        </is>
      </c>
      <c r="B324" t="inlineStr">
        <is>
          <t>SC_FRAUD</t>
        </is>
      </c>
      <c r="C324" t="inlineStr">
        <is>
          <t>Cyber-enabled theft or fraud</t>
        </is>
      </c>
      <c r="D324" t="inlineStr">
        <is>
          <t>Duration</t>
        </is>
      </c>
      <c r="E324" t="inlineStr">
        <is>
          <t>IR_FORENSICS</t>
        </is>
      </c>
      <c r="F324" t="inlineStr">
        <is>
          <t>P50</t>
        </is>
      </c>
      <c r="G324" t="n">
        <v>20000</v>
      </c>
      <c r="H324" t="b">
        <v>1</v>
      </c>
      <c r="I324" t="inlineStr">
        <is>
          <t>D</t>
        </is>
      </c>
      <c r="J324" t="inlineStr">
        <is>
          <t>SRC-10</t>
        </is>
      </c>
    </row>
    <row r="325">
      <c r="A325" t="inlineStr">
        <is>
          <t>Malicious insider</t>
        </is>
      </c>
      <c r="B325" t="inlineStr">
        <is>
          <t>SC_FRAUD</t>
        </is>
      </c>
      <c r="C325" t="inlineStr">
        <is>
          <t>Cyber-enabled theft or fraud</t>
        </is>
      </c>
      <c r="D325" t="inlineStr">
        <is>
          <t>Duration</t>
        </is>
      </c>
      <c r="E325" t="inlineStr">
        <is>
          <t>EXTERNAL_RESPONSE</t>
        </is>
      </c>
      <c r="F325" t="inlineStr">
        <is>
          <t>P50</t>
        </is>
      </c>
      <c r="G325" t="n">
        <v>30000</v>
      </c>
      <c r="H325" t="b">
        <v>1</v>
      </c>
      <c r="I325" t="inlineStr">
        <is>
          <t>D</t>
        </is>
      </c>
      <c r="J325" t="inlineStr">
        <is>
          <t>SRC-10</t>
        </is>
      </c>
    </row>
    <row r="326">
      <c r="A326" t="inlineStr">
        <is>
          <t>Malicious insider</t>
        </is>
      </c>
      <c r="B326" t="inlineStr">
        <is>
          <t>SC_FRAUD</t>
        </is>
      </c>
      <c r="C326" t="inlineStr">
        <is>
          <t>Cyber-enabled theft or fraud</t>
        </is>
      </c>
      <c r="D326" t="inlineStr">
        <is>
          <t>Duration</t>
        </is>
      </c>
      <c r="E326" t="inlineStr">
        <is>
          <t>LEGAL_RESPONSE</t>
        </is>
      </c>
      <c r="F326" t="inlineStr">
        <is>
          <t>P50</t>
        </is>
      </c>
      <c r="G326" t="n">
        <v>75000</v>
      </c>
      <c r="H326" t="b">
        <v>1</v>
      </c>
      <c r="I326" t="inlineStr">
        <is>
          <t>D</t>
        </is>
      </c>
      <c r="J326" t="inlineStr">
        <is>
          <t>SRC-10</t>
        </is>
      </c>
    </row>
    <row r="327">
      <c r="A327" t="inlineStr">
        <is>
          <t>Malicious insider</t>
        </is>
      </c>
      <c r="B327" t="inlineStr">
        <is>
          <t>SC_FRAUD</t>
        </is>
      </c>
      <c r="C327" t="inlineStr">
        <is>
          <t>Cyber-enabled theft or fraud</t>
        </is>
      </c>
      <c r="D327" t="inlineStr">
        <is>
          <t>Duration</t>
        </is>
      </c>
      <c r="E327" t="inlineStr">
        <is>
          <t>RESTORATION</t>
        </is>
      </c>
      <c r="F327" t="inlineStr">
        <is>
          <t>P50</t>
        </is>
      </c>
      <c r="G327" t="n">
        <v>10000</v>
      </c>
      <c r="H327" t="b">
        <v>1</v>
      </c>
      <c r="I327" t="inlineStr">
        <is>
          <t>D</t>
        </is>
      </c>
      <c r="J327" t="inlineStr">
        <is>
          <t>SRC-10</t>
        </is>
      </c>
    </row>
    <row r="328">
      <c r="A328" t="inlineStr">
        <is>
          <t>Malicious insider</t>
        </is>
      </c>
      <c r="B328" t="inlineStr">
        <is>
          <t>SC_FRAUD</t>
        </is>
      </c>
      <c r="C328" t="inlineStr">
        <is>
          <t>Cyber-enabled theft or fraud</t>
        </is>
      </c>
      <c r="D328" t="inlineStr">
        <is>
          <t>Duration</t>
        </is>
      </c>
      <c r="E328" t="inlineStr">
        <is>
          <t>BUSINESS_INTERRUPTION</t>
        </is>
      </c>
      <c r="F328" t="inlineStr">
        <is>
          <t>P50</t>
        </is>
      </c>
      <c r="G328" t="n">
        <v>0</v>
      </c>
      <c r="H328" t="b">
        <v>0</v>
      </c>
      <c r="I328" t="inlineStr">
        <is>
          <t>D</t>
        </is>
      </c>
      <c r="J328" t="inlineStr">
        <is>
          <t>SRC-10</t>
        </is>
      </c>
    </row>
    <row r="329">
      <c r="A329" t="inlineStr">
        <is>
          <t>Malicious insider</t>
        </is>
      </c>
      <c r="B329" t="inlineStr">
        <is>
          <t>SC_FRAUD</t>
        </is>
      </c>
      <c r="C329" t="inlineStr">
        <is>
          <t>Cyber-enabled theft or fraud</t>
        </is>
      </c>
      <c r="D329" t="inlineStr">
        <is>
          <t>Duration</t>
        </is>
      </c>
      <c r="E329" t="inlineStr">
        <is>
          <t>ENDPOINT_RECOVERY</t>
        </is>
      </c>
      <c r="F329" t="inlineStr">
        <is>
          <t>P50</t>
        </is>
      </c>
      <c r="G329" t="n">
        <v>0</v>
      </c>
      <c r="H329" t="b">
        <v>0</v>
      </c>
      <c r="I329" t="inlineStr">
        <is>
          <t>D</t>
        </is>
      </c>
      <c r="J329" t="inlineStr">
        <is>
          <t>SRC-10</t>
        </is>
      </c>
    </row>
    <row r="330">
      <c r="A330" t="inlineStr">
        <is>
          <t>Malicious insider</t>
        </is>
      </c>
      <c r="B330" t="inlineStr">
        <is>
          <t>SC_FRAUD</t>
        </is>
      </c>
      <c r="C330" t="inlineStr">
        <is>
          <t>Cyber-enabled theft or fraud</t>
        </is>
      </c>
      <c r="D330" t="inlineStr">
        <is>
          <t>Duration</t>
        </is>
      </c>
      <c r="E330" t="inlineStr">
        <is>
          <t>SERVER_RECOVERY</t>
        </is>
      </c>
      <c r="F330" t="inlineStr">
        <is>
          <t>P50</t>
        </is>
      </c>
      <c r="G330" t="n">
        <v>0</v>
      </c>
      <c r="H330" t="b">
        <v>0</v>
      </c>
      <c r="I330" t="inlineStr">
        <is>
          <t>D</t>
        </is>
      </c>
      <c r="J330" t="inlineStr">
        <is>
          <t>SRC-10</t>
        </is>
      </c>
    </row>
    <row r="331">
      <c r="A331" t="inlineStr">
        <is>
          <t>Malicious insider</t>
        </is>
      </c>
      <c r="B331" t="inlineStr">
        <is>
          <t>SC_FRAUD</t>
        </is>
      </c>
      <c r="C331" t="inlineStr">
        <is>
          <t>Cyber-enabled theft or fraud</t>
        </is>
      </c>
      <c r="D331" t="inlineStr">
        <is>
          <t>Exposure</t>
        </is>
      </c>
      <c r="E331" t="inlineStr">
        <is>
          <t>NOTIFICATION</t>
        </is>
      </c>
      <c r="F331" t="inlineStr">
        <is>
          <t>P50</t>
        </is>
      </c>
      <c r="G331" t="n">
        <v>0</v>
      </c>
      <c r="H331" t="b">
        <v>0</v>
      </c>
      <c r="I331" t="inlineStr">
        <is>
          <t>D</t>
        </is>
      </c>
      <c r="J331" t="inlineStr">
        <is>
          <t>SRC-10</t>
        </is>
      </c>
    </row>
    <row r="332">
      <c r="A332" t="inlineStr">
        <is>
          <t>Malicious insider</t>
        </is>
      </c>
      <c r="B332" t="inlineStr">
        <is>
          <t>SC_FRAUD</t>
        </is>
      </c>
      <c r="C332" t="inlineStr">
        <is>
          <t>Cyber-enabled theft or fraud</t>
        </is>
      </c>
      <c r="D332" t="inlineStr">
        <is>
          <t>Exposure</t>
        </is>
      </c>
      <c r="E332" t="inlineStr">
        <is>
          <t>CREDIT_MONITORING</t>
        </is>
      </c>
      <c r="F332" t="inlineStr">
        <is>
          <t>P50</t>
        </is>
      </c>
      <c r="G332" t="n">
        <v>0</v>
      </c>
      <c r="H332" t="b">
        <v>0</v>
      </c>
      <c r="I332" t="inlineStr">
        <is>
          <t>D</t>
        </is>
      </c>
      <c r="J332" t="inlineStr">
        <is>
          <t>SRC-10</t>
        </is>
      </c>
    </row>
    <row r="333">
      <c r="A333" t="inlineStr">
        <is>
          <t>Malicious insider</t>
        </is>
      </c>
      <c r="B333" t="inlineStr">
        <is>
          <t>SC_FRAUD</t>
        </is>
      </c>
      <c r="C333" t="inlineStr">
        <is>
          <t>Cyber-enabled theft or fraud</t>
        </is>
      </c>
      <c r="D333" t="inlineStr">
        <is>
          <t>Exposure</t>
        </is>
      </c>
      <c r="E333" t="inlineStr">
        <is>
          <t>REGULATORY</t>
        </is>
      </c>
      <c r="F333" t="inlineStr">
        <is>
          <t>P50</t>
        </is>
      </c>
      <c r="G333" t="n">
        <v>200000</v>
      </c>
      <c r="H333" t="b">
        <v>1</v>
      </c>
      <c r="I333" t="inlineStr">
        <is>
          <t>D</t>
        </is>
      </c>
      <c r="J333" t="inlineStr">
        <is>
          <t>SRC-10</t>
        </is>
      </c>
    </row>
    <row r="334">
      <c r="A334" t="inlineStr">
        <is>
          <t>Malicious insider</t>
        </is>
      </c>
      <c r="B334" t="inlineStr">
        <is>
          <t>SC_FRAUD</t>
        </is>
      </c>
      <c r="C334" t="inlineStr">
        <is>
          <t>Cyber-enabled theft or fraud</t>
        </is>
      </c>
      <c r="D334" t="inlineStr">
        <is>
          <t>Exposure</t>
        </is>
      </c>
      <c r="E334" t="inlineStr">
        <is>
          <t>CUSTOMER_ATTRITION</t>
        </is>
      </c>
      <c r="F334" t="inlineStr">
        <is>
          <t>P50</t>
        </is>
      </c>
      <c r="G334" t="n">
        <v>1000000</v>
      </c>
      <c r="H334" t="b">
        <v>1</v>
      </c>
      <c r="I334" t="inlineStr">
        <is>
          <t>D</t>
        </is>
      </c>
      <c r="J334" t="inlineStr">
        <is>
          <t>SRC-10</t>
        </is>
      </c>
    </row>
    <row r="335">
      <c r="A335" t="inlineStr">
        <is>
          <t>Malicious insider</t>
        </is>
      </c>
      <c r="B335" t="inlineStr">
        <is>
          <t>SC_FRAUD</t>
        </is>
      </c>
      <c r="C335" t="inlineStr">
        <is>
          <t>Cyber-enabled theft or fraud</t>
        </is>
      </c>
      <c r="D335" t="inlineStr">
        <is>
          <t>Direct</t>
        </is>
      </c>
      <c r="E335" t="inlineStr">
        <is>
          <t>FRAUD_NET_RECOVERY</t>
        </is>
      </c>
      <c r="F335" t="inlineStr">
        <is>
          <t>P50</t>
        </is>
      </c>
      <c r="G335" t="n">
        <v>54794.52054794521</v>
      </c>
      <c r="H335" t="b">
        <v>1</v>
      </c>
      <c r="I335" t="inlineStr">
        <is>
          <t>D</t>
        </is>
      </c>
      <c r="J335" t="inlineStr">
        <is>
          <t>SRC-10</t>
        </is>
      </c>
    </row>
    <row r="336">
      <c r="A336" t="inlineStr">
        <is>
          <t>Malicious insider</t>
        </is>
      </c>
      <c r="B336" t="inlineStr">
        <is>
          <t>SC_FRAUD</t>
        </is>
      </c>
      <c r="C336" t="inlineStr">
        <is>
          <t>Cyber-enabled theft or fraud</t>
        </is>
      </c>
      <c r="D336" t="inlineStr">
        <is>
          <t>Direct</t>
        </is>
      </c>
      <c r="E336" t="inlineStr">
        <is>
          <t>EXTORTION</t>
        </is>
      </c>
      <c r="F336" t="inlineStr">
        <is>
          <t>P50</t>
        </is>
      </c>
      <c r="G336" t="n">
        <v>0</v>
      </c>
      <c r="H336" t="b">
        <v>0</v>
      </c>
      <c r="I336" t="inlineStr">
        <is>
          <t>D</t>
        </is>
      </c>
      <c r="J336" t="inlineStr">
        <is>
          <t>SRC-10</t>
        </is>
      </c>
    </row>
    <row r="337">
      <c r="A337" t="inlineStr">
        <is>
          <t>Malicious insider</t>
        </is>
      </c>
      <c r="B337" t="inlineStr">
        <is>
          <t>SC_FRAUD</t>
        </is>
      </c>
      <c r="C337" t="inlineStr">
        <is>
          <t>Cyber-enabled theft or fraud</t>
        </is>
      </c>
      <c r="D337" t="inlineStr">
        <is>
          <t>Direct</t>
        </is>
      </c>
      <c r="E337" t="inlineStr">
        <is>
          <t>POST_EVENT_UPLIFT</t>
        </is>
      </c>
      <c r="F337" t="inlineStr">
        <is>
          <t>P50</t>
        </is>
      </c>
      <c r="G337" t="n">
        <v>500000</v>
      </c>
      <c r="H337" t="b">
        <v>1</v>
      </c>
      <c r="I337" t="inlineStr">
        <is>
          <t>D</t>
        </is>
      </c>
      <c r="J337" t="inlineStr">
        <is>
          <t>SRC-10</t>
        </is>
      </c>
    </row>
    <row r="338">
      <c r="A338" t="inlineStr">
        <is>
          <t>Malicious insider</t>
        </is>
      </c>
      <c r="B338" t="inlineStr">
        <is>
          <t>SC_FRAUD</t>
        </is>
      </c>
      <c r="C338" t="inlineStr">
        <is>
          <t>Cyber-enabled theft or fraud</t>
        </is>
      </c>
      <c r="D338" t="inlineStr">
        <is>
          <t>Duration</t>
        </is>
      </c>
      <c r="E338" t="inlineStr">
        <is>
          <t>IR_FORENSICS</t>
        </is>
      </c>
      <c r="F338" t="inlineStr">
        <is>
          <t>P99</t>
        </is>
      </c>
      <c r="G338" t="n">
        <v>240000</v>
      </c>
      <c r="H338" t="b">
        <v>1</v>
      </c>
      <c r="I338" t="inlineStr">
        <is>
          <t>D</t>
        </is>
      </c>
      <c r="J338" t="inlineStr">
        <is>
          <t>SRC-10</t>
        </is>
      </c>
    </row>
    <row r="339">
      <c r="A339" t="inlineStr">
        <is>
          <t>Malicious insider</t>
        </is>
      </c>
      <c r="B339" t="inlineStr">
        <is>
          <t>SC_FRAUD</t>
        </is>
      </c>
      <c r="C339" t="inlineStr">
        <is>
          <t>Cyber-enabled theft or fraud</t>
        </is>
      </c>
      <c r="D339" t="inlineStr">
        <is>
          <t>Duration</t>
        </is>
      </c>
      <c r="E339" t="inlineStr">
        <is>
          <t>EXTERNAL_RESPONSE</t>
        </is>
      </c>
      <c r="F339" t="inlineStr">
        <is>
          <t>P99</t>
        </is>
      </c>
      <c r="G339" t="n">
        <v>450000</v>
      </c>
      <c r="H339" t="b">
        <v>1</v>
      </c>
      <c r="I339" t="inlineStr">
        <is>
          <t>D</t>
        </is>
      </c>
      <c r="J339" t="inlineStr">
        <is>
          <t>SRC-10</t>
        </is>
      </c>
    </row>
    <row r="340">
      <c r="A340" t="inlineStr">
        <is>
          <t>Malicious insider</t>
        </is>
      </c>
      <c r="B340" t="inlineStr">
        <is>
          <t>SC_FRAUD</t>
        </is>
      </c>
      <c r="C340" t="inlineStr">
        <is>
          <t>Cyber-enabled theft or fraud</t>
        </is>
      </c>
      <c r="D340" t="inlineStr">
        <is>
          <t>Duration</t>
        </is>
      </c>
      <c r="E340" t="inlineStr">
        <is>
          <t>LEGAL_RESPONSE</t>
        </is>
      </c>
      <c r="F340" t="inlineStr">
        <is>
          <t>P99</t>
        </is>
      </c>
      <c r="G340" t="n">
        <v>900000</v>
      </c>
      <c r="H340" t="b">
        <v>1</v>
      </c>
      <c r="I340" t="inlineStr">
        <is>
          <t>D</t>
        </is>
      </c>
      <c r="J340" t="inlineStr">
        <is>
          <t>SRC-10</t>
        </is>
      </c>
    </row>
    <row r="341">
      <c r="A341" t="inlineStr">
        <is>
          <t>Malicious insider</t>
        </is>
      </c>
      <c r="B341" t="inlineStr">
        <is>
          <t>SC_FRAUD</t>
        </is>
      </c>
      <c r="C341" t="inlineStr">
        <is>
          <t>Cyber-enabled theft or fraud</t>
        </is>
      </c>
      <c r="D341" t="inlineStr">
        <is>
          <t>Duration</t>
        </is>
      </c>
      <c r="E341" t="inlineStr">
        <is>
          <t>RESTORATION</t>
        </is>
      </c>
      <c r="F341" t="inlineStr">
        <is>
          <t>P99</t>
        </is>
      </c>
      <c r="G341" t="n">
        <v>240000</v>
      </c>
      <c r="H341" t="b">
        <v>1</v>
      </c>
      <c r="I341" t="inlineStr">
        <is>
          <t>D</t>
        </is>
      </c>
      <c r="J341" t="inlineStr">
        <is>
          <t>SRC-10</t>
        </is>
      </c>
    </row>
    <row r="342">
      <c r="A342" t="inlineStr">
        <is>
          <t>Malicious insider</t>
        </is>
      </c>
      <c r="B342" t="inlineStr">
        <is>
          <t>SC_FRAUD</t>
        </is>
      </c>
      <c r="C342" t="inlineStr">
        <is>
          <t>Cyber-enabled theft or fraud</t>
        </is>
      </c>
      <c r="D342" t="inlineStr">
        <is>
          <t>Duration</t>
        </is>
      </c>
      <c r="E342" t="inlineStr">
        <is>
          <t>BUSINESS_INTERRUPTION</t>
        </is>
      </c>
      <c r="F342" t="inlineStr">
        <is>
          <t>P99</t>
        </is>
      </c>
      <c r="G342" t="n">
        <v>0</v>
      </c>
      <c r="H342" t="b">
        <v>0</v>
      </c>
      <c r="I342" t="inlineStr">
        <is>
          <t>D</t>
        </is>
      </c>
      <c r="J342" t="inlineStr">
        <is>
          <t>SRC-10</t>
        </is>
      </c>
    </row>
    <row r="343">
      <c r="A343" t="inlineStr">
        <is>
          <t>Malicious insider</t>
        </is>
      </c>
      <c r="B343" t="inlineStr">
        <is>
          <t>SC_FRAUD</t>
        </is>
      </c>
      <c r="C343" t="inlineStr">
        <is>
          <t>Cyber-enabled theft or fraud</t>
        </is>
      </c>
      <c r="D343" t="inlineStr">
        <is>
          <t>Duration</t>
        </is>
      </c>
      <c r="E343" t="inlineStr">
        <is>
          <t>ENDPOINT_RECOVERY</t>
        </is>
      </c>
      <c r="F343" t="inlineStr">
        <is>
          <t>P99</t>
        </is>
      </c>
      <c r="G343" t="n">
        <v>0</v>
      </c>
      <c r="H343" t="b">
        <v>0</v>
      </c>
      <c r="I343" t="inlineStr">
        <is>
          <t>D</t>
        </is>
      </c>
      <c r="J343" t="inlineStr">
        <is>
          <t>SRC-10</t>
        </is>
      </c>
    </row>
    <row r="344">
      <c r="A344" t="inlineStr">
        <is>
          <t>Malicious insider</t>
        </is>
      </c>
      <c r="B344" t="inlineStr">
        <is>
          <t>SC_FRAUD</t>
        </is>
      </c>
      <c r="C344" t="inlineStr">
        <is>
          <t>Cyber-enabled theft or fraud</t>
        </is>
      </c>
      <c r="D344" t="inlineStr">
        <is>
          <t>Duration</t>
        </is>
      </c>
      <c r="E344" t="inlineStr">
        <is>
          <t>SERVER_RECOVERY</t>
        </is>
      </c>
      <c r="F344" t="inlineStr">
        <is>
          <t>P99</t>
        </is>
      </c>
      <c r="G344" t="n">
        <v>0</v>
      </c>
      <c r="H344" t="b">
        <v>0</v>
      </c>
      <c r="I344" t="inlineStr">
        <is>
          <t>D</t>
        </is>
      </c>
      <c r="J344" t="inlineStr">
        <is>
          <t>SRC-10</t>
        </is>
      </c>
    </row>
    <row r="345">
      <c r="A345" t="inlineStr">
        <is>
          <t>Malicious insider</t>
        </is>
      </c>
      <c r="B345" t="inlineStr">
        <is>
          <t>SC_FRAUD</t>
        </is>
      </c>
      <c r="C345" t="inlineStr">
        <is>
          <t>Cyber-enabled theft or fraud</t>
        </is>
      </c>
      <c r="D345" t="inlineStr">
        <is>
          <t>Exposure</t>
        </is>
      </c>
      <c r="E345" t="inlineStr">
        <is>
          <t>NOTIFICATION</t>
        </is>
      </c>
      <c r="F345" t="inlineStr">
        <is>
          <t>P99</t>
        </is>
      </c>
      <c r="G345" t="n">
        <v>0</v>
      </c>
      <c r="H345" t="b">
        <v>0</v>
      </c>
      <c r="I345" t="inlineStr">
        <is>
          <t>D</t>
        </is>
      </c>
      <c r="J345" t="inlineStr">
        <is>
          <t>SRC-10</t>
        </is>
      </c>
    </row>
    <row r="346">
      <c r="A346" t="inlineStr">
        <is>
          <t>Malicious insider</t>
        </is>
      </c>
      <c r="B346" t="inlineStr">
        <is>
          <t>SC_FRAUD</t>
        </is>
      </c>
      <c r="C346" t="inlineStr">
        <is>
          <t>Cyber-enabled theft or fraud</t>
        </is>
      </c>
      <c r="D346" t="inlineStr">
        <is>
          <t>Exposure</t>
        </is>
      </c>
      <c r="E346" t="inlineStr">
        <is>
          <t>CREDIT_MONITORING</t>
        </is>
      </c>
      <c r="F346" t="inlineStr">
        <is>
          <t>P99</t>
        </is>
      </c>
      <c r="G346" t="n">
        <v>0</v>
      </c>
      <c r="H346" t="b">
        <v>0</v>
      </c>
      <c r="I346" t="inlineStr">
        <is>
          <t>D</t>
        </is>
      </c>
      <c r="J346" t="inlineStr">
        <is>
          <t>SRC-10</t>
        </is>
      </c>
    </row>
    <row r="347">
      <c r="A347" t="inlineStr">
        <is>
          <t>Malicious insider</t>
        </is>
      </c>
      <c r="B347" t="inlineStr">
        <is>
          <t>SC_FRAUD</t>
        </is>
      </c>
      <c r="C347" t="inlineStr">
        <is>
          <t>Cyber-enabled theft or fraud</t>
        </is>
      </c>
      <c r="D347" t="inlineStr">
        <is>
          <t>Exposure</t>
        </is>
      </c>
      <c r="E347" t="inlineStr">
        <is>
          <t>REGULATORY</t>
        </is>
      </c>
      <c r="F347" t="inlineStr">
        <is>
          <t>P99</t>
        </is>
      </c>
      <c r="G347" t="n">
        <v>3000000</v>
      </c>
      <c r="H347" t="b">
        <v>1</v>
      </c>
      <c r="I347" t="inlineStr">
        <is>
          <t>D</t>
        </is>
      </c>
      <c r="J347" t="inlineStr">
        <is>
          <t>SRC-10</t>
        </is>
      </c>
    </row>
    <row r="348">
      <c r="A348" t="inlineStr">
        <is>
          <t>Malicious insider</t>
        </is>
      </c>
      <c r="B348" t="inlineStr">
        <is>
          <t>SC_FRAUD</t>
        </is>
      </c>
      <c r="C348" t="inlineStr">
        <is>
          <t>Cyber-enabled theft or fraud</t>
        </is>
      </c>
      <c r="D348" t="inlineStr">
        <is>
          <t>Exposure</t>
        </is>
      </c>
      <c r="E348" t="inlineStr">
        <is>
          <t>CUSTOMER_ATTRITION</t>
        </is>
      </c>
      <c r="F348" t="inlineStr">
        <is>
          <t>P99</t>
        </is>
      </c>
      <c r="G348" t="n">
        <v>20000000</v>
      </c>
      <c r="H348" t="b">
        <v>1</v>
      </c>
      <c r="I348" t="inlineStr">
        <is>
          <t>D</t>
        </is>
      </c>
      <c r="J348" t="inlineStr">
        <is>
          <t>SRC-10</t>
        </is>
      </c>
    </row>
    <row r="349">
      <c r="A349" t="inlineStr">
        <is>
          <t>Malicious insider</t>
        </is>
      </c>
      <c r="B349" t="inlineStr">
        <is>
          <t>SC_FRAUD</t>
        </is>
      </c>
      <c r="C349" t="inlineStr">
        <is>
          <t>Cyber-enabled theft or fraud</t>
        </is>
      </c>
      <c r="D349" t="inlineStr">
        <is>
          <t>Direct</t>
        </is>
      </c>
      <c r="E349" t="inlineStr">
        <is>
          <t>FRAUD_NET_RECOVERY</t>
        </is>
      </c>
      <c r="F349" t="inlineStr">
        <is>
          <t>P99</t>
        </is>
      </c>
      <c r="G349" t="n">
        <v>16438356.16438356</v>
      </c>
      <c r="H349" t="b">
        <v>1</v>
      </c>
      <c r="I349" t="inlineStr">
        <is>
          <t>D</t>
        </is>
      </c>
      <c r="J349" t="inlineStr">
        <is>
          <t>SRC-10</t>
        </is>
      </c>
    </row>
    <row r="350">
      <c r="A350" t="inlineStr">
        <is>
          <t>Malicious insider</t>
        </is>
      </c>
      <c r="B350" t="inlineStr">
        <is>
          <t>SC_FRAUD</t>
        </is>
      </c>
      <c r="C350" t="inlineStr">
        <is>
          <t>Cyber-enabled theft or fraud</t>
        </is>
      </c>
      <c r="D350" t="inlineStr">
        <is>
          <t>Direct</t>
        </is>
      </c>
      <c r="E350" t="inlineStr">
        <is>
          <t>EXTORTION</t>
        </is>
      </c>
      <c r="F350" t="inlineStr">
        <is>
          <t>P99</t>
        </is>
      </c>
      <c r="G350" t="n">
        <v>0</v>
      </c>
      <c r="H350" t="b">
        <v>0</v>
      </c>
      <c r="I350" t="inlineStr">
        <is>
          <t>D</t>
        </is>
      </c>
      <c r="J350" t="inlineStr">
        <is>
          <t>SRC-10</t>
        </is>
      </c>
    </row>
    <row r="351">
      <c r="A351" t="inlineStr">
        <is>
          <t>Malicious insider</t>
        </is>
      </c>
      <c r="B351" t="inlineStr">
        <is>
          <t>SC_FRAUD</t>
        </is>
      </c>
      <c r="C351" t="inlineStr">
        <is>
          <t>Cyber-enabled theft or fraud</t>
        </is>
      </c>
      <c r="D351" t="inlineStr">
        <is>
          <t>Direct</t>
        </is>
      </c>
      <c r="E351" t="inlineStr">
        <is>
          <t>POST_EVENT_UPLIFT</t>
        </is>
      </c>
      <c r="F351" t="inlineStr">
        <is>
          <t>P99</t>
        </is>
      </c>
      <c r="G351" t="n">
        <v>5000000</v>
      </c>
      <c r="H351" t="b">
        <v>1</v>
      </c>
      <c r="I351" t="inlineStr">
        <is>
          <t>D</t>
        </is>
      </c>
      <c r="J351" t="inlineStr">
        <is>
          <t>SRC-10</t>
        </is>
      </c>
    </row>
    <row r="352">
      <c r="A352" t="inlineStr">
        <is>
          <t>Hacktivist</t>
        </is>
      </c>
      <c r="B352" t="inlineStr">
        <is>
          <t>SC_DISR</t>
        </is>
      </c>
      <c r="C352" t="inlineStr">
        <is>
          <t>Critical business-service disruption</t>
        </is>
      </c>
      <c r="D352" t="inlineStr">
        <is>
          <t>Duration</t>
        </is>
      </c>
      <c r="E352" t="inlineStr">
        <is>
          <t>IR_FORENSICS</t>
        </is>
      </c>
      <c r="F352" t="inlineStr">
        <is>
          <t>P50</t>
        </is>
      </c>
      <c r="G352" t="n">
        <v>20000</v>
      </c>
      <c r="H352" t="b">
        <v>1</v>
      </c>
      <c r="I352" t="inlineStr">
        <is>
          <t>D</t>
        </is>
      </c>
      <c r="J352" t="inlineStr">
        <is>
          <t>SRC-10</t>
        </is>
      </c>
    </row>
    <row r="353">
      <c r="A353" t="inlineStr">
        <is>
          <t>Hacktivist</t>
        </is>
      </c>
      <c r="B353" t="inlineStr">
        <is>
          <t>SC_DISR</t>
        </is>
      </c>
      <c r="C353" t="inlineStr">
        <is>
          <t>Critical business-service disruption</t>
        </is>
      </c>
      <c r="D353" t="inlineStr">
        <is>
          <t>Duration</t>
        </is>
      </c>
      <c r="E353" t="inlineStr">
        <is>
          <t>EXTERNAL_RESPONSE</t>
        </is>
      </c>
      <c r="F353" t="inlineStr">
        <is>
          <t>P50</t>
        </is>
      </c>
      <c r="G353" t="n">
        <v>30000</v>
      </c>
      <c r="H353" t="b">
        <v>1</v>
      </c>
      <c r="I353" t="inlineStr">
        <is>
          <t>D</t>
        </is>
      </c>
      <c r="J353" t="inlineStr">
        <is>
          <t>SRC-10</t>
        </is>
      </c>
    </row>
    <row r="354">
      <c r="A354" t="inlineStr">
        <is>
          <t>Hacktivist</t>
        </is>
      </c>
      <c r="B354" t="inlineStr">
        <is>
          <t>SC_DISR</t>
        </is>
      </c>
      <c r="C354" t="inlineStr">
        <is>
          <t>Critical business-service disruption</t>
        </is>
      </c>
      <c r="D354" t="inlineStr">
        <is>
          <t>Duration</t>
        </is>
      </c>
      <c r="E354" t="inlineStr">
        <is>
          <t>LEGAL_RESPONSE</t>
        </is>
      </c>
      <c r="F354" t="inlineStr">
        <is>
          <t>P50</t>
        </is>
      </c>
      <c r="G354" t="n">
        <v>25000</v>
      </c>
      <c r="H354" t="b">
        <v>1</v>
      </c>
      <c r="I354" t="inlineStr">
        <is>
          <t>D</t>
        </is>
      </c>
      <c r="J354" t="inlineStr">
        <is>
          <t>SRC-10</t>
        </is>
      </c>
    </row>
    <row r="355">
      <c r="A355" t="inlineStr">
        <is>
          <t>Hacktivist</t>
        </is>
      </c>
      <c r="B355" t="inlineStr">
        <is>
          <t>SC_DISR</t>
        </is>
      </c>
      <c r="C355" t="inlineStr">
        <is>
          <t>Critical business-service disruption</t>
        </is>
      </c>
      <c r="D355" t="inlineStr">
        <is>
          <t>Duration</t>
        </is>
      </c>
      <c r="E355" t="inlineStr">
        <is>
          <t>RESTORATION</t>
        </is>
      </c>
      <c r="F355" t="inlineStr">
        <is>
          <t>P50</t>
        </is>
      </c>
      <c r="G355" t="n">
        <v>30000</v>
      </c>
      <c r="H355" t="b">
        <v>1</v>
      </c>
      <c r="I355" t="inlineStr">
        <is>
          <t>D</t>
        </is>
      </c>
      <c r="J355" t="inlineStr">
        <is>
          <t>SRC-10</t>
        </is>
      </c>
    </row>
    <row r="356">
      <c r="A356" t="inlineStr">
        <is>
          <t>Hacktivist</t>
        </is>
      </c>
      <c r="B356" t="inlineStr">
        <is>
          <t>SC_DISR</t>
        </is>
      </c>
      <c r="C356" t="inlineStr">
        <is>
          <t>Critical business-service disruption</t>
        </is>
      </c>
      <c r="D356" t="inlineStr">
        <is>
          <t>Duration</t>
        </is>
      </c>
      <c r="E356" t="inlineStr">
        <is>
          <t>BUSINESS_INTERRUPTION</t>
        </is>
      </c>
      <c r="F356" t="inlineStr">
        <is>
          <t>P50</t>
        </is>
      </c>
      <c r="G356" t="n">
        <v>2465753.424657534</v>
      </c>
      <c r="H356" t="b">
        <v>1</v>
      </c>
      <c r="I356" t="inlineStr">
        <is>
          <t>D</t>
        </is>
      </c>
      <c r="J356" t="inlineStr">
        <is>
          <t>SRC-10</t>
        </is>
      </c>
    </row>
    <row r="357">
      <c r="A357" t="inlineStr">
        <is>
          <t>Hacktivist</t>
        </is>
      </c>
      <c r="B357" t="inlineStr">
        <is>
          <t>SC_DISR</t>
        </is>
      </c>
      <c r="C357" t="inlineStr">
        <is>
          <t>Critical business-service disruption</t>
        </is>
      </c>
      <c r="D357" t="inlineStr">
        <is>
          <t>Duration</t>
        </is>
      </c>
      <c r="E357" t="inlineStr">
        <is>
          <t>ENDPOINT_RECOVERY</t>
        </is>
      </c>
      <c r="F357" t="inlineStr">
        <is>
          <t>P50</t>
        </is>
      </c>
      <c r="G357" t="n">
        <v>100000</v>
      </c>
      <c r="H357" t="b">
        <v>1</v>
      </c>
      <c r="I357" t="inlineStr">
        <is>
          <t>D</t>
        </is>
      </c>
      <c r="J357" t="inlineStr">
        <is>
          <t>SRC-10</t>
        </is>
      </c>
    </row>
    <row r="358">
      <c r="A358" t="inlineStr">
        <is>
          <t>Hacktivist</t>
        </is>
      </c>
      <c r="B358" t="inlineStr">
        <is>
          <t>SC_DISR</t>
        </is>
      </c>
      <c r="C358" t="inlineStr">
        <is>
          <t>Critical business-service disruption</t>
        </is>
      </c>
      <c r="D358" t="inlineStr">
        <is>
          <t>Duration</t>
        </is>
      </c>
      <c r="E358" t="inlineStr">
        <is>
          <t>SERVER_RECOVERY</t>
        </is>
      </c>
      <c r="F358" t="inlineStr">
        <is>
          <t>P50</t>
        </is>
      </c>
      <c r="G358" t="n">
        <v>250000</v>
      </c>
      <c r="H358" t="b">
        <v>1</v>
      </c>
      <c r="I358" t="inlineStr">
        <is>
          <t>D</t>
        </is>
      </c>
      <c r="J358" t="inlineStr">
        <is>
          <t>SRC-10</t>
        </is>
      </c>
    </row>
    <row r="359">
      <c r="A359" t="inlineStr">
        <is>
          <t>Hacktivist</t>
        </is>
      </c>
      <c r="B359" t="inlineStr">
        <is>
          <t>SC_DISR</t>
        </is>
      </c>
      <c r="C359" t="inlineStr">
        <is>
          <t>Critical business-service disruption</t>
        </is>
      </c>
      <c r="D359" t="inlineStr">
        <is>
          <t>Exposure</t>
        </is>
      </c>
      <c r="E359" t="inlineStr">
        <is>
          <t>NOTIFICATION</t>
        </is>
      </c>
      <c r="F359" t="inlineStr">
        <is>
          <t>P50</t>
        </is>
      </c>
      <c r="G359" t="n">
        <v>0</v>
      </c>
      <c r="H359" t="b">
        <v>0</v>
      </c>
      <c r="I359" t="inlineStr">
        <is>
          <t>D</t>
        </is>
      </c>
      <c r="J359" t="inlineStr">
        <is>
          <t>SRC-10</t>
        </is>
      </c>
    </row>
    <row r="360">
      <c r="A360" t="inlineStr">
        <is>
          <t>Hacktivist</t>
        </is>
      </c>
      <c r="B360" t="inlineStr">
        <is>
          <t>SC_DISR</t>
        </is>
      </c>
      <c r="C360" t="inlineStr">
        <is>
          <t>Critical business-service disruption</t>
        </is>
      </c>
      <c r="D360" t="inlineStr">
        <is>
          <t>Exposure</t>
        </is>
      </c>
      <c r="E360" t="inlineStr">
        <is>
          <t>CREDIT_MONITORING</t>
        </is>
      </c>
      <c r="F360" t="inlineStr">
        <is>
          <t>P50</t>
        </is>
      </c>
      <c r="G360" t="n">
        <v>0</v>
      </c>
      <c r="H360" t="b">
        <v>0</v>
      </c>
      <c r="I360" t="inlineStr">
        <is>
          <t>D</t>
        </is>
      </c>
      <c r="J360" t="inlineStr">
        <is>
          <t>SRC-10</t>
        </is>
      </c>
    </row>
    <row r="361">
      <c r="A361" t="inlineStr">
        <is>
          <t>Hacktivist</t>
        </is>
      </c>
      <c r="B361" t="inlineStr">
        <is>
          <t>SC_DISR</t>
        </is>
      </c>
      <c r="C361" t="inlineStr">
        <is>
          <t>Critical business-service disruption</t>
        </is>
      </c>
      <c r="D361" t="inlineStr">
        <is>
          <t>Exposure</t>
        </is>
      </c>
      <c r="E361" t="inlineStr">
        <is>
          <t>REGULATORY</t>
        </is>
      </c>
      <c r="F361" t="inlineStr">
        <is>
          <t>P50</t>
        </is>
      </c>
      <c r="G361" t="n">
        <v>0</v>
      </c>
      <c r="H361" t="b">
        <v>0</v>
      </c>
      <c r="I361" t="inlineStr">
        <is>
          <t>D</t>
        </is>
      </c>
      <c r="J361" t="inlineStr">
        <is>
          <t>SRC-10</t>
        </is>
      </c>
    </row>
    <row r="362">
      <c r="A362" t="inlineStr">
        <is>
          <t>Hacktivist</t>
        </is>
      </c>
      <c r="B362" t="inlineStr">
        <is>
          <t>SC_DISR</t>
        </is>
      </c>
      <c r="C362" t="inlineStr">
        <is>
          <t>Critical business-service disruption</t>
        </is>
      </c>
      <c r="D362" t="inlineStr">
        <is>
          <t>Exposure</t>
        </is>
      </c>
      <c r="E362" t="inlineStr">
        <is>
          <t>CUSTOMER_ATTRITION</t>
        </is>
      </c>
      <c r="F362" t="inlineStr">
        <is>
          <t>P50</t>
        </is>
      </c>
      <c r="G362" t="n">
        <v>1000000</v>
      </c>
      <c r="H362" t="b">
        <v>1</v>
      </c>
      <c r="I362" t="inlineStr">
        <is>
          <t>D</t>
        </is>
      </c>
      <c r="J362" t="inlineStr">
        <is>
          <t>SRC-10</t>
        </is>
      </c>
    </row>
    <row r="363">
      <c r="A363" t="inlineStr">
        <is>
          <t>Hacktivist</t>
        </is>
      </c>
      <c r="B363" t="inlineStr">
        <is>
          <t>SC_DISR</t>
        </is>
      </c>
      <c r="C363" t="inlineStr">
        <is>
          <t>Critical business-service disruption</t>
        </is>
      </c>
      <c r="D363" t="inlineStr">
        <is>
          <t>Direct</t>
        </is>
      </c>
      <c r="E363" t="inlineStr">
        <is>
          <t>FRAUD_NET_RECOVERY</t>
        </is>
      </c>
      <c r="F363" t="inlineStr">
        <is>
          <t>P50</t>
        </is>
      </c>
      <c r="G363" t="n">
        <v>0</v>
      </c>
      <c r="H363" t="b">
        <v>0</v>
      </c>
      <c r="I363" t="inlineStr">
        <is>
          <t>D</t>
        </is>
      </c>
      <c r="J363" t="inlineStr">
        <is>
          <t>SRC-10</t>
        </is>
      </c>
    </row>
    <row r="364">
      <c r="A364" t="inlineStr">
        <is>
          <t>Hacktivist</t>
        </is>
      </c>
      <c r="B364" t="inlineStr">
        <is>
          <t>SC_DISR</t>
        </is>
      </c>
      <c r="C364" t="inlineStr">
        <is>
          <t>Critical business-service disruption</t>
        </is>
      </c>
      <c r="D364" t="inlineStr">
        <is>
          <t>Direct</t>
        </is>
      </c>
      <c r="E364" t="inlineStr">
        <is>
          <t>EXTORTION</t>
        </is>
      </c>
      <c r="F364" t="inlineStr">
        <is>
          <t>P50</t>
        </is>
      </c>
      <c r="G364" t="n">
        <v>0</v>
      </c>
      <c r="H364" t="b">
        <v>0</v>
      </c>
      <c r="I364" t="inlineStr">
        <is>
          <t>D</t>
        </is>
      </c>
      <c r="J364" t="inlineStr">
        <is>
          <t>SRC-10</t>
        </is>
      </c>
    </row>
    <row r="365">
      <c r="A365" t="inlineStr">
        <is>
          <t>Hacktivist</t>
        </is>
      </c>
      <c r="B365" t="inlineStr">
        <is>
          <t>SC_DISR</t>
        </is>
      </c>
      <c r="C365" t="inlineStr">
        <is>
          <t>Critical business-service disruption</t>
        </is>
      </c>
      <c r="D365" t="inlineStr">
        <is>
          <t>Direct</t>
        </is>
      </c>
      <c r="E365" t="inlineStr">
        <is>
          <t>POST_EVENT_UPLIFT</t>
        </is>
      </c>
      <c r="F365" t="inlineStr">
        <is>
          <t>P50</t>
        </is>
      </c>
      <c r="G365" t="n">
        <v>500000</v>
      </c>
      <c r="H365" t="b">
        <v>1</v>
      </c>
      <c r="I365" t="inlineStr">
        <is>
          <t>D</t>
        </is>
      </c>
      <c r="J365" t="inlineStr">
        <is>
          <t>SRC-10</t>
        </is>
      </c>
    </row>
    <row r="366">
      <c r="A366" t="inlineStr">
        <is>
          <t>Hacktivist</t>
        </is>
      </c>
      <c r="B366" t="inlineStr">
        <is>
          <t>SC_DISR</t>
        </is>
      </c>
      <c r="C366" t="inlineStr">
        <is>
          <t>Critical business-service disruption</t>
        </is>
      </c>
      <c r="D366" t="inlineStr">
        <is>
          <t>Duration</t>
        </is>
      </c>
      <c r="E366" t="inlineStr">
        <is>
          <t>IR_FORENSICS</t>
        </is>
      </c>
      <c r="F366" t="inlineStr">
        <is>
          <t>P99</t>
        </is>
      </c>
      <c r="G366" t="n">
        <v>240000</v>
      </c>
      <c r="H366" t="b">
        <v>1</v>
      </c>
      <c r="I366" t="inlineStr">
        <is>
          <t>D</t>
        </is>
      </c>
      <c r="J366" t="inlineStr">
        <is>
          <t>SRC-10</t>
        </is>
      </c>
    </row>
    <row r="367">
      <c r="A367" t="inlineStr">
        <is>
          <t>Hacktivist</t>
        </is>
      </c>
      <c r="B367" t="inlineStr">
        <is>
          <t>SC_DISR</t>
        </is>
      </c>
      <c r="C367" t="inlineStr">
        <is>
          <t>Critical business-service disruption</t>
        </is>
      </c>
      <c r="D367" t="inlineStr">
        <is>
          <t>Duration</t>
        </is>
      </c>
      <c r="E367" t="inlineStr">
        <is>
          <t>EXTERNAL_RESPONSE</t>
        </is>
      </c>
      <c r="F367" t="inlineStr">
        <is>
          <t>P99</t>
        </is>
      </c>
      <c r="G367" t="n">
        <v>450000</v>
      </c>
      <c r="H367" t="b">
        <v>1</v>
      </c>
      <c r="I367" t="inlineStr">
        <is>
          <t>D</t>
        </is>
      </c>
      <c r="J367" t="inlineStr">
        <is>
          <t>SRC-10</t>
        </is>
      </c>
    </row>
    <row r="368">
      <c r="A368" t="inlineStr">
        <is>
          <t>Hacktivist</t>
        </is>
      </c>
      <c r="B368" t="inlineStr">
        <is>
          <t>SC_DISR</t>
        </is>
      </c>
      <c r="C368" t="inlineStr">
        <is>
          <t>Critical business-service disruption</t>
        </is>
      </c>
      <c r="D368" t="inlineStr">
        <is>
          <t>Duration</t>
        </is>
      </c>
      <c r="E368" t="inlineStr">
        <is>
          <t>LEGAL_RESPONSE</t>
        </is>
      </c>
      <c r="F368" t="inlineStr">
        <is>
          <t>P99</t>
        </is>
      </c>
      <c r="G368" t="n">
        <v>450000</v>
      </c>
      <c r="H368" t="b">
        <v>1</v>
      </c>
      <c r="I368" t="inlineStr">
        <is>
          <t>D</t>
        </is>
      </c>
      <c r="J368" t="inlineStr">
        <is>
          <t>SRC-10</t>
        </is>
      </c>
    </row>
    <row r="369">
      <c r="A369" t="inlineStr">
        <is>
          <t>Hacktivist</t>
        </is>
      </c>
      <c r="B369" t="inlineStr">
        <is>
          <t>SC_DISR</t>
        </is>
      </c>
      <c r="C369" t="inlineStr">
        <is>
          <t>Critical business-service disruption</t>
        </is>
      </c>
      <c r="D369" t="inlineStr">
        <is>
          <t>Duration</t>
        </is>
      </c>
      <c r="E369" t="inlineStr">
        <is>
          <t>RESTORATION</t>
        </is>
      </c>
      <c r="F369" t="inlineStr">
        <is>
          <t>P99</t>
        </is>
      </c>
      <c r="G369" t="n">
        <v>480000</v>
      </c>
      <c r="H369" t="b">
        <v>1</v>
      </c>
      <c r="I369" t="inlineStr">
        <is>
          <t>D</t>
        </is>
      </c>
      <c r="J369" t="inlineStr">
        <is>
          <t>SRC-10</t>
        </is>
      </c>
    </row>
    <row r="370">
      <c r="A370" t="inlineStr">
        <is>
          <t>Hacktivist</t>
        </is>
      </c>
      <c r="B370" t="inlineStr">
        <is>
          <t>SC_DISR</t>
        </is>
      </c>
      <c r="C370" t="inlineStr">
        <is>
          <t>Critical business-service disruption</t>
        </is>
      </c>
      <c r="D370" t="inlineStr">
        <is>
          <t>Duration</t>
        </is>
      </c>
      <c r="E370" t="inlineStr">
        <is>
          <t>BUSINESS_INTERRUPTION</t>
        </is>
      </c>
      <c r="F370" t="inlineStr">
        <is>
          <t>P99</t>
        </is>
      </c>
      <c r="G370" t="n">
        <v>69863013.69863012</v>
      </c>
      <c r="H370" t="b">
        <v>1</v>
      </c>
      <c r="I370" t="inlineStr">
        <is>
          <t>D</t>
        </is>
      </c>
      <c r="J370" t="inlineStr">
        <is>
          <t>SRC-10</t>
        </is>
      </c>
    </row>
    <row r="371">
      <c r="A371" t="inlineStr">
        <is>
          <t>Hacktivist</t>
        </is>
      </c>
      <c r="B371" t="inlineStr">
        <is>
          <t>SC_DISR</t>
        </is>
      </c>
      <c r="C371" t="inlineStr">
        <is>
          <t>Critical business-service disruption</t>
        </is>
      </c>
      <c r="D371" t="inlineStr">
        <is>
          <t>Duration</t>
        </is>
      </c>
      <c r="E371" t="inlineStr">
        <is>
          <t>ENDPOINT_RECOVERY</t>
        </is>
      </c>
      <c r="F371" t="inlineStr">
        <is>
          <t>P99</t>
        </is>
      </c>
      <c r="G371" t="n">
        <v>1250000</v>
      </c>
      <c r="H371" t="b">
        <v>1</v>
      </c>
      <c r="I371" t="inlineStr">
        <is>
          <t>D</t>
        </is>
      </c>
      <c r="J371" t="inlineStr">
        <is>
          <t>SRC-10</t>
        </is>
      </c>
    </row>
    <row r="372">
      <c r="A372" t="inlineStr">
        <is>
          <t>Hacktivist</t>
        </is>
      </c>
      <c r="B372" t="inlineStr">
        <is>
          <t>SC_DISR</t>
        </is>
      </c>
      <c r="C372" t="inlineStr">
        <is>
          <t>Critical business-service disruption</t>
        </is>
      </c>
      <c r="D372" t="inlineStr">
        <is>
          <t>Duration</t>
        </is>
      </c>
      <c r="E372" t="inlineStr">
        <is>
          <t>SERVER_RECOVERY</t>
        </is>
      </c>
      <c r="F372" t="inlineStr">
        <is>
          <t>P99</t>
        </is>
      </c>
      <c r="G372" t="n">
        <v>2400000</v>
      </c>
      <c r="H372" t="b">
        <v>1</v>
      </c>
      <c r="I372" t="inlineStr">
        <is>
          <t>D</t>
        </is>
      </c>
      <c r="J372" t="inlineStr">
        <is>
          <t>SRC-10</t>
        </is>
      </c>
    </row>
    <row r="373">
      <c r="A373" t="inlineStr">
        <is>
          <t>Hacktivist</t>
        </is>
      </c>
      <c r="B373" t="inlineStr">
        <is>
          <t>SC_DISR</t>
        </is>
      </c>
      <c r="C373" t="inlineStr">
        <is>
          <t>Critical business-service disruption</t>
        </is>
      </c>
      <c r="D373" t="inlineStr">
        <is>
          <t>Exposure</t>
        </is>
      </c>
      <c r="E373" t="inlineStr">
        <is>
          <t>NOTIFICATION</t>
        </is>
      </c>
      <c r="F373" t="inlineStr">
        <is>
          <t>P99</t>
        </is>
      </c>
      <c r="G373" t="n">
        <v>0</v>
      </c>
      <c r="H373" t="b">
        <v>0</v>
      </c>
      <c r="I373" t="inlineStr">
        <is>
          <t>D</t>
        </is>
      </c>
      <c r="J373" t="inlineStr">
        <is>
          <t>SRC-10</t>
        </is>
      </c>
    </row>
    <row r="374">
      <c r="A374" t="inlineStr">
        <is>
          <t>Hacktivist</t>
        </is>
      </c>
      <c r="B374" t="inlineStr">
        <is>
          <t>SC_DISR</t>
        </is>
      </c>
      <c r="C374" t="inlineStr">
        <is>
          <t>Critical business-service disruption</t>
        </is>
      </c>
      <c r="D374" t="inlineStr">
        <is>
          <t>Exposure</t>
        </is>
      </c>
      <c r="E374" t="inlineStr">
        <is>
          <t>CREDIT_MONITORING</t>
        </is>
      </c>
      <c r="F374" t="inlineStr">
        <is>
          <t>P99</t>
        </is>
      </c>
      <c r="G374" t="n">
        <v>0</v>
      </c>
      <c r="H374" t="b">
        <v>0</v>
      </c>
      <c r="I374" t="inlineStr">
        <is>
          <t>D</t>
        </is>
      </c>
      <c r="J374" t="inlineStr">
        <is>
          <t>SRC-10</t>
        </is>
      </c>
    </row>
    <row r="375">
      <c r="A375" t="inlineStr">
        <is>
          <t>Hacktivist</t>
        </is>
      </c>
      <c r="B375" t="inlineStr">
        <is>
          <t>SC_DISR</t>
        </is>
      </c>
      <c r="C375" t="inlineStr">
        <is>
          <t>Critical business-service disruption</t>
        </is>
      </c>
      <c r="D375" t="inlineStr">
        <is>
          <t>Exposure</t>
        </is>
      </c>
      <c r="E375" t="inlineStr">
        <is>
          <t>REGULATORY</t>
        </is>
      </c>
      <c r="F375" t="inlineStr">
        <is>
          <t>P99</t>
        </is>
      </c>
      <c r="G375" t="n">
        <v>0</v>
      </c>
      <c r="H375" t="b">
        <v>0</v>
      </c>
      <c r="I375" t="inlineStr">
        <is>
          <t>D</t>
        </is>
      </c>
      <c r="J375" t="inlineStr">
        <is>
          <t>SRC-10</t>
        </is>
      </c>
    </row>
    <row r="376">
      <c r="A376" t="inlineStr">
        <is>
          <t>Hacktivist</t>
        </is>
      </c>
      <c r="B376" t="inlineStr">
        <is>
          <t>SC_DISR</t>
        </is>
      </c>
      <c r="C376" t="inlineStr">
        <is>
          <t>Critical business-service disruption</t>
        </is>
      </c>
      <c r="D376" t="inlineStr">
        <is>
          <t>Exposure</t>
        </is>
      </c>
      <c r="E376" t="inlineStr">
        <is>
          <t>CUSTOMER_ATTRITION</t>
        </is>
      </c>
      <c r="F376" t="inlineStr">
        <is>
          <t>P99</t>
        </is>
      </c>
      <c r="G376" t="n">
        <v>10000000</v>
      </c>
      <c r="H376" t="b">
        <v>1</v>
      </c>
      <c r="I376" t="inlineStr">
        <is>
          <t>D</t>
        </is>
      </c>
      <c r="J376" t="inlineStr">
        <is>
          <t>SRC-10</t>
        </is>
      </c>
    </row>
    <row r="377">
      <c r="A377" t="inlineStr">
        <is>
          <t>Hacktivist</t>
        </is>
      </c>
      <c r="B377" t="inlineStr">
        <is>
          <t>SC_DISR</t>
        </is>
      </c>
      <c r="C377" t="inlineStr">
        <is>
          <t>Critical business-service disruption</t>
        </is>
      </c>
      <c r="D377" t="inlineStr">
        <is>
          <t>Direct</t>
        </is>
      </c>
      <c r="E377" t="inlineStr">
        <is>
          <t>FRAUD_NET_RECOVERY</t>
        </is>
      </c>
      <c r="F377" t="inlineStr">
        <is>
          <t>P99</t>
        </is>
      </c>
      <c r="G377" t="n">
        <v>0</v>
      </c>
      <c r="H377" t="b">
        <v>0</v>
      </c>
      <c r="I377" t="inlineStr">
        <is>
          <t>D</t>
        </is>
      </c>
      <c r="J377" t="inlineStr">
        <is>
          <t>SRC-10</t>
        </is>
      </c>
    </row>
    <row r="378">
      <c r="A378" t="inlineStr">
        <is>
          <t>Hacktivist</t>
        </is>
      </c>
      <c r="B378" t="inlineStr">
        <is>
          <t>SC_DISR</t>
        </is>
      </c>
      <c r="C378" t="inlineStr">
        <is>
          <t>Critical business-service disruption</t>
        </is>
      </c>
      <c r="D378" t="inlineStr">
        <is>
          <t>Direct</t>
        </is>
      </c>
      <c r="E378" t="inlineStr">
        <is>
          <t>EXTORTION</t>
        </is>
      </c>
      <c r="F378" t="inlineStr">
        <is>
          <t>P99</t>
        </is>
      </c>
      <c r="G378" t="n">
        <v>0</v>
      </c>
      <c r="H378" t="b">
        <v>0</v>
      </c>
      <c r="I378" t="inlineStr">
        <is>
          <t>D</t>
        </is>
      </c>
      <c r="J378" t="inlineStr">
        <is>
          <t>SRC-10</t>
        </is>
      </c>
    </row>
    <row r="379">
      <c r="A379" t="inlineStr">
        <is>
          <t>Hacktivist</t>
        </is>
      </c>
      <c r="B379" t="inlineStr">
        <is>
          <t>SC_DISR</t>
        </is>
      </c>
      <c r="C379" t="inlineStr">
        <is>
          <t>Critical business-service disruption</t>
        </is>
      </c>
      <c r="D379" t="inlineStr">
        <is>
          <t>Direct</t>
        </is>
      </c>
      <c r="E379" t="inlineStr">
        <is>
          <t>POST_EVENT_UPLIFT</t>
        </is>
      </c>
      <c r="F379" t="inlineStr">
        <is>
          <t>P99</t>
        </is>
      </c>
      <c r="G379" t="n">
        <v>5000000</v>
      </c>
      <c r="H379" t="b">
        <v>1</v>
      </c>
      <c r="I379" t="inlineStr">
        <is>
          <t>D</t>
        </is>
      </c>
      <c r="J379" t="inlineStr">
        <is>
          <t>SRC-10</t>
        </is>
      </c>
    </row>
    <row r="380">
      <c r="A380" t="inlineStr">
        <is>
          <t>Hacktivist</t>
        </is>
      </c>
      <c r="B380" t="inlineStr">
        <is>
          <t>SC_DATA</t>
        </is>
      </c>
      <c r="C380" t="inlineStr">
        <is>
          <t>Sensitive-data compromise</t>
        </is>
      </c>
      <c r="D380" t="inlineStr">
        <is>
          <t>Duration</t>
        </is>
      </c>
      <c r="E380" t="inlineStr">
        <is>
          <t>IR_FORENSICS</t>
        </is>
      </c>
      <c r="F380" t="inlineStr">
        <is>
          <t>P50</t>
        </is>
      </c>
      <c r="G380" t="n">
        <v>40000</v>
      </c>
      <c r="H380" t="b">
        <v>1</v>
      </c>
      <c r="I380" t="inlineStr">
        <is>
          <t>D</t>
        </is>
      </c>
      <c r="J380" t="inlineStr">
        <is>
          <t>SRC-10</t>
        </is>
      </c>
    </row>
    <row r="381">
      <c r="A381" t="inlineStr">
        <is>
          <t>Hacktivist</t>
        </is>
      </c>
      <c r="B381" t="inlineStr">
        <is>
          <t>SC_DATA</t>
        </is>
      </c>
      <c r="C381" t="inlineStr">
        <is>
          <t>Sensitive-data compromise</t>
        </is>
      </c>
      <c r="D381" t="inlineStr">
        <is>
          <t>Duration</t>
        </is>
      </c>
      <c r="E381" t="inlineStr">
        <is>
          <t>EXTERNAL_RESPONSE</t>
        </is>
      </c>
      <c r="F381" t="inlineStr">
        <is>
          <t>P50</t>
        </is>
      </c>
      <c r="G381" t="n">
        <v>90000</v>
      </c>
      <c r="H381" t="b">
        <v>1</v>
      </c>
      <c r="I381" t="inlineStr">
        <is>
          <t>D</t>
        </is>
      </c>
      <c r="J381" t="inlineStr">
        <is>
          <t>SRC-10</t>
        </is>
      </c>
    </row>
    <row r="382">
      <c r="A382" t="inlineStr">
        <is>
          <t>Hacktivist</t>
        </is>
      </c>
      <c r="B382" t="inlineStr">
        <is>
          <t>SC_DATA</t>
        </is>
      </c>
      <c r="C382" t="inlineStr">
        <is>
          <t>Sensitive-data compromise</t>
        </is>
      </c>
      <c r="D382" t="inlineStr">
        <is>
          <t>Duration</t>
        </is>
      </c>
      <c r="E382" t="inlineStr">
        <is>
          <t>LEGAL_RESPONSE</t>
        </is>
      </c>
      <c r="F382" t="inlineStr">
        <is>
          <t>P50</t>
        </is>
      </c>
      <c r="G382" t="n">
        <v>150000</v>
      </c>
      <c r="H382" t="b">
        <v>1</v>
      </c>
      <c r="I382" t="inlineStr">
        <is>
          <t>D</t>
        </is>
      </c>
      <c r="J382" t="inlineStr">
        <is>
          <t>SRC-10</t>
        </is>
      </c>
    </row>
    <row r="383">
      <c r="A383" t="inlineStr">
        <is>
          <t>Hacktivist</t>
        </is>
      </c>
      <c r="B383" t="inlineStr">
        <is>
          <t>SC_DATA</t>
        </is>
      </c>
      <c r="C383" t="inlineStr">
        <is>
          <t>Sensitive-data compromise</t>
        </is>
      </c>
      <c r="D383" t="inlineStr">
        <is>
          <t>Duration</t>
        </is>
      </c>
      <c r="E383" t="inlineStr">
        <is>
          <t>RESTORATION</t>
        </is>
      </c>
      <c r="F383" t="inlineStr">
        <is>
          <t>P50</t>
        </is>
      </c>
      <c r="G383" t="n">
        <v>40000</v>
      </c>
      <c r="H383" t="b">
        <v>1</v>
      </c>
      <c r="I383" t="inlineStr">
        <is>
          <t>D</t>
        </is>
      </c>
      <c r="J383" t="inlineStr">
        <is>
          <t>SRC-10</t>
        </is>
      </c>
    </row>
    <row r="384">
      <c r="A384" t="inlineStr">
        <is>
          <t>Hacktivist</t>
        </is>
      </c>
      <c r="B384" t="inlineStr">
        <is>
          <t>SC_DATA</t>
        </is>
      </c>
      <c r="C384" t="inlineStr">
        <is>
          <t>Sensitive-data compromise</t>
        </is>
      </c>
      <c r="D384" t="inlineStr">
        <is>
          <t>Duration</t>
        </is>
      </c>
      <c r="E384" t="inlineStr">
        <is>
          <t>BUSINESS_INTERRUPTION</t>
        </is>
      </c>
      <c r="F384" t="inlineStr">
        <is>
          <t>P50</t>
        </is>
      </c>
      <c r="G384" t="n">
        <v>273972.602739726</v>
      </c>
      <c r="H384" t="b">
        <v>1</v>
      </c>
      <c r="I384" t="inlineStr">
        <is>
          <t>D</t>
        </is>
      </c>
      <c r="J384" t="inlineStr">
        <is>
          <t>SRC-10</t>
        </is>
      </c>
    </row>
    <row r="385">
      <c r="A385" t="inlineStr">
        <is>
          <t>Hacktivist</t>
        </is>
      </c>
      <c r="B385" t="inlineStr">
        <is>
          <t>SC_DATA</t>
        </is>
      </c>
      <c r="C385" t="inlineStr">
        <is>
          <t>Sensitive-data compromise</t>
        </is>
      </c>
      <c r="D385" t="inlineStr">
        <is>
          <t>Duration</t>
        </is>
      </c>
      <c r="E385" t="inlineStr">
        <is>
          <t>ENDPOINT_RECOVERY</t>
        </is>
      </c>
      <c r="F385" t="inlineStr">
        <is>
          <t>P50</t>
        </is>
      </c>
      <c r="G385" t="n">
        <v>50000</v>
      </c>
      <c r="H385" t="b">
        <v>1</v>
      </c>
      <c r="I385" t="inlineStr">
        <is>
          <t>D</t>
        </is>
      </c>
      <c r="J385" t="inlineStr">
        <is>
          <t>SRC-10</t>
        </is>
      </c>
    </row>
    <row r="386">
      <c r="A386" t="inlineStr">
        <is>
          <t>Hacktivist</t>
        </is>
      </c>
      <c r="B386" t="inlineStr">
        <is>
          <t>SC_DATA</t>
        </is>
      </c>
      <c r="C386" t="inlineStr">
        <is>
          <t>Sensitive-data compromise</t>
        </is>
      </c>
      <c r="D386" t="inlineStr">
        <is>
          <t>Duration</t>
        </is>
      </c>
      <c r="E386" t="inlineStr">
        <is>
          <t>SERVER_RECOVERY</t>
        </is>
      </c>
      <c r="F386" t="inlineStr">
        <is>
          <t>P50</t>
        </is>
      </c>
      <c r="G386" t="n">
        <v>125000</v>
      </c>
      <c r="H386" t="b">
        <v>1</v>
      </c>
      <c r="I386" t="inlineStr">
        <is>
          <t>D</t>
        </is>
      </c>
      <c r="J386" t="inlineStr">
        <is>
          <t>SRC-10</t>
        </is>
      </c>
    </row>
    <row r="387">
      <c r="A387" t="inlineStr">
        <is>
          <t>Hacktivist</t>
        </is>
      </c>
      <c r="B387" t="inlineStr">
        <is>
          <t>SC_DATA</t>
        </is>
      </c>
      <c r="C387" t="inlineStr">
        <is>
          <t>Sensitive-data compromise</t>
        </is>
      </c>
      <c r="D387" t="inlineStr">
        <is>
          <t>Exposure</t>
        </is>
      </c>
      <c r="E387" t="inlineStr">
        <is>
          <t>NOTIFICATION</t>
        </is>
      </c>
      <c r="F387" t="inlineStr">
        <is>
          <t>P50</t>
        </is>
      </c>
      <c r="G387" t="n">
        <v>0</v>
      </c>
      <c r="H387" t="b">
        <v>0</v>
      </c>
      <c r="I387" t="inlineStr">
        <is>
          <t>D</t>
        </is>
      </c>
      <c r="J387" t="inlineStr">
        <is>
          <t>SRC-10</t>
        </is>
      </c>
    </row>
    <row r="388">
      <c r="A388" t="inlineStr">
        <is>
          <t>Hacktivist</t>
        </is>
      </c>
      <c r="B388" t="inlineStr">
        <is>
          <t>SC_DATA</t>
        </is>
      </c>
      <c r="C388" t="inlineStr">
        <is>
          <t>Sensitive-data compromise</t>
        </is>
      </c>
      <c r="D388" t="inlineStr">
        <is>
          <t>Exposure</t>
        </is>
      </c>
      <c r="E388" t="inlineStr">
        <is>
          <t>CREDIT_MONITORING</t>
        </is>
      </c>
      <c r="F388" t="inlineStr">
        <is>
          <t>P50</t>
        </is>
      </c>
      <c r="G388" t="n">
        <v>0</v>
      </c>
      <c r="H388" t="b">
        <v>0</v>
      </c>
      <c r="I388" t="inlineStr">
        <is>
          <t>D</t>
        </is>
      </c>
      <c r="J388" t="inlineStr">
        <is>
          <t>SRC-10</t>
        </is>
      </c>
    </row>
    <row r="389">
      <c r="A389" t="inlineStr">
        <is>
          <t>Hacktivist</t>
        </is>
      </c>
      <c r="B389" t="inlineStr">
        <is>
          <t>SC_DATA</t>
        </is>
      </c>
      <c r="C389" t="inlineStr">
        <is>
          <t>Sensitive-data compromise</t>
        </is>
      </c>
      <c r="D389" t="inlineStr">
        <is>
          <t>Exposure</t>
        </is>
      </c>
      <c r="E389" t="inlineStr">
        <is>
          <t>REGULATORY</t>
        </is>
      </c>
      <c r="F389" t="inlineStr">
        <is>
          <t>P50</t>
        </is>
      </c>
      <c r="G389" t="n">
        <v>1000000</v>
      </c>
      <c r="H389" t="b">
        <v>1</v>
      </c>
      <c r="I389" t="inlineStr">
        <is>
          <t>D</t>
        </is>
      </c>
      <c r="J389" t="inlineStr">
        <is>
          <t>SRC-10</t>
        </is>
      </c>
    </row>
    <row r="390">
      <c r="A390" t="inlineStr">
        <is>
          <t>Hacktivist</t>
        </is>
      </c>
      <c r="B390" t="inlineStr">
        <is>
          <t>SC_DATA</t>
        </is>
      </c>
      <c r="C390" t="inlineStr">
        <is>
          <t>Sensitive-data compromise</t>
        </is>
      </c>
      <c r="D390" t="inlineStr">
        <is>
          <t>Exposure</t>
        </is>
      </c>
      <c r="E390" t="inlineStr">
        <is>
          <t>CUSTOMER_ATTRITION</t>
        </is>
      </c>
      <c r="F390" t="inlineStr">
        <is>
          <t>P50</t>
        </is>
      </c>
      <c r="G390" t="n">
        <v>2000000</v>
      </c>
      <c r="H390" t="b">
        <v>1</v>
      </c>
      <c r="I390" t="inlineStr">
        <is>
          <t>D</t>
        </is>
      </c>
      <c r="J390" t="inlineStr">
        <is>
          <t>SRC-10</t>
        </is>
      </c>
    </row>
    <row r="391">
      <c r="A391" t="inlineStr">
        <is>
          <t>Hacktivist</t>
        </is>
      </c>
      <c r="B391" t="inlineStr">
        <is>
          <t>SC_DATA</t>
        </is>
      </c>
      <c r="C391" t="inlineStr">
        <is>
          <t>Sensitive-data compromise</t>
        </is>
      </c>
      <c r="D391" t="inlineStr">
        <is>
          <t>Direct</t>
        </is>
      </c>
      <c r="E391" t="inlineStr">
        <is>
          <t>FRAUD_NET_RECOVERY</t>
        </is>
      </c>
      <c r="F391" t="inlineStr">
        <is>
          <t>P50</t>
        </is>
      </c>
      <c r="G391" t="n">
        <v>0</v>
      </c>
      <c r="H391" t="b">
        <v>0</v>
      </c>
      <c r="I391" t="inlineStr">
        <is>
          <t>D</t>
        </is>
      </c>
      <c r="J391" t="inlineStr">
        <is>
          <t>SRC-10</t>
        </is>
      </c>
    </row>
    <row r="392">
      <c r="A392" t="inlineStr">
        <is>
          <t>Hacktivist</t>
        </is>
      </c>
      <c r="B392" t="inlineStr">
        <is>
          <t>SC_DATA</t>
        </is>
      </c>
      <c r="C392" t="inlineStr">
        <is>
          <t>Sensitive-data compromise</t>
        </is>
      </c>
      <c r="D392" t="inlineStr">
        <is>
          <t>Direct</t>
        </is>
      </c>
      <c r="E392" t="inlineStr">
        <is>
          <t>EXTORTION</t>
        </is>
      </c>
      <c r="F392" t="inlineStr">
        <is>
          <t>P50</t>
        </is>
      </c>
      <c r="G392" t="n">
        <v>0</v>
      </c>
      <c r="H392" t="b">
        <v>0</v>
      </c>
      <c r="I392" t="inlineStr">
        <is>
          <t>D</t>
        </is>
      </c>
      <c r="J392" t="inlineStr">
        <is>
          <t>SRC-10</t>
        </is>
      </c>
    </row>
    <row r="393">
      <c r="A393" t="inlineStr">
        <is>
          <t>Hacktivist</t>
        </is>
      </c>
      <c r="B393" t="inlineStr">
        <is>
          <t>SC_DATA</t>
        </is>
      </c>
      <c r="C393" t="inlineStr">
        <is>
          <t>Sensitive-data compromise</t>
        </is>
      </c>
      <c r="D393" t="inlineStr">
        <is>
          <t>Direct</t>
        </is>
      </c>
      <c r="E393" t="inlineStr">
        <is>
          <t>POST_EVENT_UPLIFT</t>
        </is>
      </c>
      <c r="F393" t="inlineStr">
        <is>
          <t>P50</t>
        </is>
      </c>
      <c r="G393" t="n">
        <v>1000000</v>
      </c>
      <c r="H393" t="b">
        <v>1</v>
      </c>
      <c r="I393" t="inlineStr">
        <is>
          <t>D</t>
        </is>
      </c>
      <c r="J393" t="inlineStr">
        <is>
          <t>SRC-10</t>
        </is>
      </c>
    </row>
    <row r="394">
      <c r="A394" t="inlineStr">
        <is>
          <t>Hacktivist</t>
        </is>
      </c>
      <c r="B394" t="inlineStr">
        <is>
          <t>SC_DATA</t>
        </is>
      </c>
      <c r="C394" t="inlineStr">
        <is>
          <t>Sensitive-data compromise</t>
        </is>
      </c>
      <c r="D394" t="inlineStr">
        <is>
          <t>Duration</t>
        </is>
      </c>
      <c r="E394" t="inlineStr">
        <is>
          <t>IR_FORENSICS</t>
        </is>
      </c>
      <c r="F394" t="inlineStr">
        <is>
          <t>P99</t>
        </is>
      </c>
      <c r="G394" t="n">
        <v>480000</v>
      </c>
      <c r="H394" t="b">
        <v>1</v>
      </c>
      <c r="I394" t="inlineStr">
        <is>
          <t>D</t>
        </is>
      </c>
      <c r="J394" t="inlineStr">
        <is>
          <t>SRC-10</t>
        </is>
      </c>
    </row>
    <row r="395">
      <c r="A395" t="inlineStr">
        <is>
          <t>Hacktivist</t>
        </is>
      </c>
      <c r="B395" t="inlineStr">
        <is>
          <t>SC_DATA</t>
        </is>
      </c>
      <c r="C395" t="inlineStr">
        <is>
          <t>Sensitive-data compromise</t>
        </is>
      </c>
      <c r="D395" t="inlineStr">
        <is>
          <t>Duration</t>
        </is>
      </c>
      <c r="E395" t="inlineStr">
        <is>
          <t>EXTERNAL_RESPONSE</t>
        </is>
      </c>
      <c r="F395" t="inlineStr">
        <is>
          <t>P99</t>
        </is>
      </c>
      <c r="G395" t="n">
        <v>900000</v>
      </c>
      <c r="H395" t="b">
        <v>1</v>
      </c>
      <c r="I395" t="inlineStr">
        <is>
          <t>D</t>
        </is>
      </c>
      <c r="J395" t="inlineStr">
        <is>
          <t>SRC-10</t>
        </is>
      </c>
    </row>
    <row r="396">
      <c r="A396" t="inlineStr">
        <is>
          <t>Hacktivist</t>
        </is>
      </c>
      <c r="B396" t="inlineStr">
        <is>
          <t>SC_DATA</t>
        </is>
      </c>
      <c r="C396" t="inlineStr">
        <is>
          <t>Sensitive-data compromise</t>
        </is>
      </c>
      <c r="D396" t="inlineStr">
        <is>
          <t>Duration</t>
        </is>
      </c>
      <c r="E396" t="inlineStr">
        <is>
          <t>LEGAL_RESPONSE</t>
        </is>
      </c>
      <c r="F396" t="inlineStr">
        <is>
          <t>P99</t>
        </is>
      </c>
      <c r="G396" t="n">
        <v>1800000</v>
      </c>
      <c r="H396" t="b">
        <v>1</v>
      </c>
      <c r="I396" t="inlineStr">
        <is>
          <t>D</t>
        </is>
      </c>
      <c r="J396" t="inlineStr">
        <is>
          <t>SRC-10</t>
        </is>
      </c>
    </row>
    <row r="397">
      <c r="A397" t="inlineStr">
        <is>
          <t>Hacktivist</t>
        </is>
      </c>
      <c r="B397" t="inlineStr">
        <is>
          <t>SC_DATA</t>
        </is>
      </c>
      <c r="C397" t="inlineStr">
        <is>
          <t>Sensitive-data compromise</t>
        </is>
      </c>
      <c r="D397" t="inlineStr">
        <is>
          <t>Duration</t>
        </is>
      </c>
      <c r="E397" t="inlineStr">
        <is>
          <t>RESTORATION</t>
        </is>
      </c>
      <c r="F397" t="inlineStr">
        <is>
          <t>P99</t>
        </is>
      </c>
      <c r="G397" t="n">
        <v>480000</v>
      </c>
      <c r="H397" t="b">
        <v>1</v>
      </c>
      <c r="I397" t="inlineStr">
        <is>
          <t>D</t>
        </is>
      </c>
      <c r="J397" t="inlineStr">
        <is>
          <t>SRC-10</t>
        </is>
      </c>
    </row>
    <row r="398">
      <c r="A398" t="inlineStr">
        <is>
          <t>Hacktivist</t>
        </is>
      </c>
      <c r="B398" t="inlineStr">
        <is>
          <t>SC_DATA</t>
        </is>
      </c>
      <c r="C398" t="inlineStr">
        <is>
          <t>Sensitive-data compromise</t>
        </is>
      </c>
      <c r="D398" t="inlineStr">
        <is>
          <t>Duration</t>
        </is>
      </c>
      <c r="E398" t="inlineStr">
        <is>
          <t>BUSINESS_INTERRUPTION</t>
        </is>
      </c>
      <c r="F398" t="inlineStr">
        <is>
          <t>P99</t>
        </is>
      </c>
      <c r="G398" t="n">
        <v>10958904.10958904</v>
      </c>
      <c r="H398" t="b">
        <v>1</v>
      </c>
      <c r="I398" t="inlineStr">
        <is>
          <t>D</t>
        </is>
      </c>
      <c r="J398" t="inlineStr">
        <is>
          <t>SRC-10</t>
        </is>
      </c>
    </row>
    <row r="399">
      <c r="A399" t="inlineStr">
        <is>
          <t>Hacktivist</t>
        </is>
      </c>
      <c r="B399" t="inlineStr">
        <is>
          <t>SC_DATA</t>
        </is>
      </c>
      <c r="C399" t="inlineStr">
        <is>
          <t>Sensitive-data compromise</t>
        </is>
      </c>
      <c r="D399" t="inlineStr">
        <is>
          <t>Duration</t>
        </is>
      </c>
      <c r="E399" t="inlineStr">
        <is>
          <t>ENDPOINT_RECOVERY</t>
        </is>
      </c>
      <c r="F399" t="inlineStr">
        <is>
          <t>P99</t>
        </is>
      </c>
      <c r="G399" t="n">
        <v>750000</v>
      </c>
      <c r="H399" t="b">
        <v>1</v>
      </c>
      <c r="I399" t="inlineStr">
        <is>
          <t>D</t>
        </is>
      </c>
      <c r="J399" t="inlineStr">
        <is>
          <t>SRC-10</t>
        </is>
      </c>
    </row>
    <row r="400">
      <c r="A400" t="inlineStr">
        <is>
          <t>Hacktivist</t>
        </is>
      </c>
      <c r="B400" t="inlineStr">
        <is>
          <t>SC_DATA</t>
        </is>
      </c>
      <c r="C400" t="inlineStr">
        <is>
          <t>Sensitive-data compromise</t>
        </is>
      </c>
      <c r="D400" t="inlineStr">
        <is>
          <t>Duration</t>
        </is>
      </c>
      <c r="E400" t="inlineStr">
        <is>
          <t>SERVER_RECOVERY</t>
        </is>
      </c>
      <c r="F400" t="inlineStr">
        <is>
          <t>P99</t>
        </is>
      </c>
      <c r="G400" t="n">
        <v>1000000</v>
      </c>
      <c r="H400" t="b">
        <v>1</v>
      </c>
      <c r="I400" t="inlineStr">
        <is>
          <t>D</t>
        </is>
      </c>
      <c r="J400" t="inlineStr">
        <is>
          <t>SRC-10</t>
        </is>
      </c>
    </row>
    <row r="401">
      <c r="A401" t="inlineStr">
        <is>
          <t>Hacktivist</t>
        </is>
      </c>
      <c r="B401" t="inlineStr">
        <is>
          <t>SC_DATA</t>
        </is>
      </c>
      <c r="C401" t="inlineStr">
        <is>
          <t>Sensitive-data compromise</t>
        </is>
      </c>
      <c r="D401" t="inlineStr">
        <is>
          <t>Exposure</t>
        </is>
      </c>
      <c r="E401" t="inlineStr">
        <is>
          <t>NOTIFICATION</t>
        </is>
      </c>
      <c r="F401" t="inlineStr">
        <is>
          <t>P99</t>
        </is>
      </c>
      <c r="G401" t="n">
        <v>0</v>
      </c>
      <c r="H401" t="b">
        <v>0</v>
      </c>
      <c r="I401" t="inlineStr">
        <is>
          <t>D</t>
        </is>
      </c>
      <c r="J401" t="inlineStr">
        <is>
          <t>SRC-10</t>
        </is>
      </c>
    </row>
    <row r="402">
      <c r="A402" t="inlineStr">
        <is>
          <t>Hacktivist</t>
        </is>
      </c>
      <c r="B402" t="inlineStr">
        <is>
          <t>SC_DATA</t>
        </is>
      </c>
      <c r="C402" t="inlineStr">
        <is>
          <t>Sensitive-data compromise</t>
        </is>
      </c>
      <c r="D402" t="inlineStr">
        <is>
          <t>Exposure</t>
        </is>
      </c>
      <c r="E402" t="inlineStr">
        <is>
          <t>CREDIT_MONITORING</t>
        </is>
      </c>
      <c r="F402" t="inlineStr">
        <is>
          <t>P99</t>
        </is>
      </c>
      <c r="G402" t="n">
        <v>0</v>
      </c>
      <c r="H402" t="b">
        <v>0</v>
      </c>
      <c r="I402" t="inlineStr">
        <is>
          <t>D</t>
        </is>
      </c>
      <c r="J402" t="inlineStr">
        <is>
          <t>SRC-10</t>
        </is>
      </c>
    </row>
    <row r="403">
      <c r="A403" t="inlineStr">
        <is>
          <t>Hacktivist</t>
        </is>
      </c>
      <c r="B403" t="inlineStr">
        <is>
          <t>SC_DATA</t>
        </is>
      </c>
      <c r="C403" t="inlineStr">
        <is>
          <t>Sensitive-data compromise</t>
        </is>
      </c>
      <c r="D403" t="inlineStr">
        <is>
          <t>Exposure</t>
        </is>
      </c>
      <c r="E403" t="inlineStr">
        <is>
          <t>REGULATORY</t>
        </is>
      </c>
      <c r="F403" t="inlineStr">
        <is>
          <t>P99</t>
        </is>
      </c>
      <c r="G403" t="n">
        <v>10000000</v>
      </c>
      <c r="H403" t="b">
        <v>1</v>
      </c>
      <c r="I403" t="inlineStr">
        <is>
          <t>D</t>
        </is>
      </c>
      <c r="J403" t="inlineStr">
        <is>
          <t>SRC-10</t>
        </is>
      </c>
    </row>
    <row r="404">
      <c r="A404" t="inlineStr">
        <is>
          <t>Hacktivist</t>
        </is>
      </c>
      <c r="B404" t="inlineStr">
        <is>
          <t>SC_DATA</t>
        </is>
      </c>
      <c r="C404" t="inlineStr">
        <is>
          <t>Sensitive-data compromise</t>
        </is>
      </c>
      <c r="D404" t="inlineStr">
        <is>
          <t>Exposure</t>
        </is>
      </c>
      <c r="E404" t="inlineStr">
        <is>
          <t>CUSTOMER_ATTRITION</t>
        </is>
      </c>
      <c r="F404" t="inlineStr">
        <is>
          <t>P99</t>
        </is>
      </c>
      <c r="G404" t="n">
        <v>30000000</v>
      </c>
      <c r="H404" t="b">
        <v>1</v>
      </c>
      <c r="I404" t="inlineStr">
        <is>
          <t>D</t>
        </is>
      </c>
      <c r="J404" t="inlineStr">
        <is>
          <t>SRC-10</t>
        </is>
      </c>
    </row>
    <row r="405">
      <c r="A405" t="inlineStr">
        <is>
          <t>Hacktivist</t>
        </is>
      </c>
      <c r="B405" t="inlineStr">
        <is>
          <t>SC_DATA</t>
        </is>
      </c>
      <c r="C405" t="inlineStr">
        <is>
          <t>Sensitive-data compromise</t>
        </is>
      </c>
      <c r="D405" t="inlineStr">
        <is>
          <t>Direct</t>
        </is>
      </c>
      <c r="E405" t="inlineStr">
        <is>
          <t>FRAUD_NET_RECOVERY</t>
        </is>
      </c>
      <c r="F405" t="inlineStr">
        <is>
          <t>P99</t>
        </is>
      </c>
      <c r="G405" t="n">
        <v>0</v>
      </c>
      <c r="H405" t="b">
        <v>0</v>
      </c>
      <c r="I405" t="inlineStr">
        <is>
          <t>D</t>
        </is>
      </c>
      <c r="J405" t="inlineStr">
        <is>
          <t>SRC-10</t>
        </is>
      </c>
    </row>
    <row r="406">
      <c r="A406" t="inlineStr">
        <is>
          <t>Hacktivist</t>
        </is>
      </c>
      <c r="B406" t="inlineStr">
        <is>
          <t>SC_DATA</t>
        </is>
      </c>
      <c r="C406" t="inlineStr">
        <is>
          <t>Sensitive-data compromise</t>
        </is>
      </c>
      <c r="D406" t="inlineStr">
        <is>
          <t>Direct</t>
        </is>
      </c>
      <c r="E406" t="inlineStr">
        <is>
          <t>EXTORTION</t>
        </is>
      </c>
      <c r="F406" t="inlineStr">
        <is>
          <t>P99</t>
        </is>
      </c>
      <c r="G406" t="n">
        <v>0</v>
      </c>
      <c r="H406" t="b">
        <v>0</v>
      </c>
      <c r="I406" t="inlineStr">
        <is>
          <t>D</t>
        </is>
      </c>
      <c r="J406" t="inlineStr">
        <is>
          <t>SRC-10</t>
        </is>
      </c>
    </row>
    <row r="407">
      <c r="A407" t="inlineStr">
        <is>
          <t>Hacktivist</t>
        </is>
      </c>
      <c r="B407" t="inlineStr">
        <is>
          <t>SC_DATA</t>
        </is>
      </c>
      <c r="C407" t="inlineStr">
        <is>
          <t>Sensitive-data compromise</t>
        </is>
      </c>
      <c r="D407" t="inlineStr">
        <is>
          <t>Direct</t>
        </is>
      </c>
      <c r="E407" t="inlineStr">
        <is>
          <t>POST_EVENT_UPLIFT</t>
        </is>
      </c>
      <c r="F407" t="inlineStr">
        <is>
          <t>P99</t>
        </is>
      </c>
      <c r="G407" t="n">
        <v>8000000</v>
      </c>
      <c r="H407" t="b">
        <v>1</v>
      </c>
      <c r="I407" t="inlineStr">
        <is>
          <t>D</t>
        </is>
      </c>
      <c r="J407" t="inlineStr">
        <is>
          <t>SRC-10</t>
        </is>
      </c>
    </row>
    <row r="408">
      <c r="A408" t="inlineStr">
        <is>
          <t>Hacktivist</t>
        </is>
      </c>
      <c r="B408" t="inlineStr">
        <is>
          <t>SC_INT</t>
        </is>
      </c>
      <c r="C408" t="inlineStr">
        <is>
          <t>Data or transaction-integrity compromise</t>
        </is>
      </c>
      <c r="D408" t="inlineStr">
        <is>
          <t>Duration</t>
        </is>
      </c>
      <c r="E408" t="inlineStr">
        <is>
          <t>IR_FORENSICS</t>
        </is>
      </c>
      <c r="F408" t="inlineStr">
        <is>
          <t>P50</t>
        </is>
      </c>
      <c r="G408" t="n">
        <v>30000</v>
      </c>
      <c r="H408" t="b">
        <v>1</v>
      </c>
      <c r="I408" t="inlineStr">
        <is>
          <t>D</t>
        </is>
      </c>
      <c r="J408" t="inlineStr">
        <is>
          <t>SRC-10</t>
        </is>
      </c>
    </row>
    <row r="409">
      <c r="A409" t="inlineStr">
        <is>
          <t>Hacktivist</t>
        </is>
      </c>
      <c r="B409" t="inlineStr">
        <is>
          <t>SC_INT</t>
        </is>
      </c>
      <c r="C409" t="inlineStr">
        <is>
          <t>Data or transaction-integrity compromise</t>
        </is>
      </c>
      <c r="D409" t="inlineStr">
        <is>
          <t>Duration</t>
        </is>
      </c>
      <c r="E409" t="inlineStr">
        <is>
          <t>EXTERNAL_RESPONSE</t>
        </is>
      </c>
      <c r="F409" t="inlineStr">
        <is>
          <t>P50</t>
        </is>
      </c>
      <c r="G409" t="n">
        <v>60000</v>
      </c>
      <c r="H409" t="b">
        <v>1</v>
      </c>
      <c r="I409" t="inlineStr">
        <is>
          <t>D</t>
        </is>
      </c>
      <c r="J409" t="inlineStr">
        <is>
          <t>SRC-10</t>
        </is>
      </c>
    </row>
    <row r="410">
      <c r="A410" t="inlineStr">
        <is>
          <t>Hacktivist</t>
        </is>
      </c>
      <c r="B410" t="inlineStr">
        <is>
          <t>SC_INT</t>
        </is>
      </c>
      <c r="C410" t="inlineStr">
        <is>
          <t>Data or transaction-integrity compromise</t>
        </is>
      </c>
      <c r="D410" t="inlineStr">
        <is>
          <t>Duration</t>
        </is>
      </c>
      <c r="E410" t="inlineStr">
        <is>
          <t>LEGAL_RESPONSE</t>
        </is>
      </c>
      <c r="F410" t="inlineStr">
        <is>
          <t>P50</t>
        </is>
      </c>
      <c r="G410" t="n">
        <v>100000</v>
      </c>
      <c r="H410" t="b">
        <v>1</v>
      </c>
      <c r="I410" t="inlineStr">
        <is>
          <t>D</t>
        </is>
      </c>
      <c r="J410" t="inlineStr">
        <is>
          <t>SRC-10</t>
        </is>
      </c>
    </row>
    <row r="411">
      <c r="A411" t="inlineStr">
        <is>
          <t>Hacktivist</t>
        </is>
      </c>
      <c r="B411" t="inlineStr">
        <is>
          <t>SC_INT</t>
        </is>
      </c>
      <c r="C411" t="inlineStr">
        <is>
          <t>Data or transaction-integrity compromise</t>
        </is>
      </c>
      <c r="D411" t="inlineStr">
        <is>
          <t>Duration</t>
        </is>
      </c>
      <c r="E411" t="inlineStr">
        <is>
          <t>RESTORATION</t>
        </is>
      </c>
      <c r="F411" t="inlineStr">
        <is>
          <t>P50</t>
        </is>
      </c>
      <c r="G411" t="n">
        <v>40000</v>
      </c>
      <c r="H411" t="b">
        <v>1</v>
      </c>
      <c r="I411" t="inlineStr">
        <is>
          <t>D</t>
        </is>
      </c>
      <c r="J411" t="inlineStr">
        <is>
          <t>SRC-10</t>
        </is>
      </c>
    </row>
    <row r="412">
      <c r="A412" t="inlineStr">
        <is>
          <t>Hacktivist</t>
        </is>
      </c>
      <c r="B412" t="inlineStr">
        <is>
          <t>SC_INT</t>
        </is>
      </c>
      <c r="C412" t="inlineStr">
        <is>
          <t>Data or transaction-integrity compromise</t>
        </is>
      </c>
      <c r="D412" t="inlineStr">
        <is>
          <t>Duration</t>
        </is>
      </c>
      <c r="E412" t="inlineStr">
        <is>
          <t>BUSINESS_INTERRUPTION</t>
        </is>
      </c>
      <c r="F412" t="inlineStr">
        <is>
          <t>P50</t>
        </is>
      </c>
      <c r="G412" t="n">
        <v>1095890.410958904</v>
      </c>
      <c r="H412" t="b">
        <v>1</v>
      </c>
      <c r="I412" t="inlineStr">
        <is>
          <t>D</t>
        </is>
      </c>
      <c r="J412" t="inlineStr">
        <is>
          <t>SRC-10</t>
        </is>
      </c>
    </row>
    <row r="413">
      <c r="A413" t="inlineStr">
        <is>
          <t>Hacktivist</t>
        </is>
      </c>
      <c r="B413" t="inlineStr">
        <is>
          <t>SC_INT</t>
        </is>
      </c>
      <c r="C413" t="inlineStr">
        <is>
          <t>Data or transaction-integrity compromise</t>
        </is>
      </c>
      <c r="D413" t="inlineStr">
        <is>
          <t>Duration</t>
        </is>
      </c>
      <c r="E413" t="inlineStr">
        <is>
          <t>ENDPOINT_RECOVERY</t>
        </is>
      </c>
      <c r="F413" t="inlineStr">
        <is>
          <t>P50</t>
        </is>
      </c>
      <c r="G413" t="n">
        <v>100000</v>
      </c>
      <c r="H413" t="b">
        <v>1</v>
      </c>
      <c r="I413" t="inlineStr">
        <is>
          <t>D</t>
        </is>
      </c>
      <c r="J413" t="inlineStr">
        <is>
          <t>SRC-10</t>
        </is>
      </c>
    </row>
    <row r="414">
      <c r="A414" t="inlineStr">
        <is>
          <t>Hacktivist</t>
        </is>
      </c>
      <c r="B414" t="inlineStr">
        <is>
          <t>SC_INT</t>
        </is>
      </c>
      <c r="C414" t="inlineStr">
        <is>
          <t>Data or transaction-integrity compromise</t>
        </is>
      </c>
      <c r="D414" t="inlineStr">
        <is>
          <t>Duration</t>
        </is>
      </c>
      <c r="E414" t="inlineStr">
        <is>
          <t>SERVER_RECOVERY</t>
        </is>
      </c>
      <c r="F414" t="inlineStr">
        <is>
          <t>P50</t>
        </is>
      </c>
      <c r="G414" t="n">
        <v>250000</v>
      </c>
      <c r="H414" t="b">
        <v>1</v>
      </c>
      <c r="I414" t="inlineStr">
        <is>
          <t>D</t>
        </is>
      </c>
      <c r="J414" t="inlineStr">
        <is>
          <t>SRC-10</t>
        </is>
      </c>
    </row>
    <row r="415">
      <c r="A415" t="inlineStr">
        <is>
          <t>Hacktivist</t>
        </is>
      </c>
      <c r="B415" t="inlineStr">
        <is>
          <t>SC_INT</t>
        </is>
      </c>
      <c r="C415" t="inlineStr">
        <is>
          <t>Data or transaction-integrity compromise</t>
        </is>
      </c>
      <c r="D415" t="inlineStr">
        <is>
          <t>Exposure</t>
        </is>
      </c>
      <c r="E415" t="inlineStr">
        <is>
          <t>NOTIFICATION</t>
        </is>
      </c>
      <c r="F415" t="inlineStr">
        <is>
          <t>P50</t>
        </is>
      </c>
      <c r="G415" t="n">
        <v>0</v>
      </c>
      <c r="H415" t="b">
        <v>0</v>
      </c>
      <c r="I415" t="inlineStr">
        <is>
          <t>D</t>
        </is>
      </c>
      <c r="J415" t="inlineStr">
        <is>
          <t>SRC-10</t>
        </is>
      </c>
    </row>
    <row r="416">
      <c r="A416" t="inlineStr">
        <is>
          <t>Hacktivist</t>
        </is>
      </c>
      <c r="B416" t="inlineStr">
        <is>
          <t>SC_INT</t>
        </is>
      </c>
      <c r="C416" t="inlineStr">
        <is>
          <t>Data or transaction-integrity compromise</t>
        </is>
      </c>
      <c r="D416" t="inlineStr">
        <is>
          <t>Exposure</t>
        </is>
      </c>
      <c r="E416" t="inlineStr">
        <is>
          <t>CREDIT_MONITORING</t>
        </is>
      </c>
      <c r="F416" t="inlineStr">
        <is>
          <t>P50</t>
        </is>
      </c>
      <c r="G416" t="n">
        <v>0</v>
      </c>
      <c r="H416" t="b">
        <v>0</v>
      </c>
      <c r="I416" t="inlineStr">
        <is>
          <t>D</t>
        </is>
      </c>
      <c r="J416" t="inlineStr">
        <is>
          <t>SRC-10</t>
        </is>
      </c>
    </row>
    <row r="417">
      <c r="A417" t="inlineStr">
        <is>
          <t>Hacktivist</t>
        </is>
      </c>
      <c r="B417" t="inlineStr">
        <is>
          <t>SC_INT</t>
        </is>
      </c>
      <c r="C417" t="inlineStr">
        <is>
          <t>Data or transaction-integrity compromise</t>
        </is>
      </c>
      <c r="D417" t="inlineStr">
        <is>
          <t>Exposure</t>
        </is>
      </c>
      <c r="E417" t="inlineStr">
        <is>
          <t>REGULATORY</t>
        </is>
      </c>
      <c r="F417" t="inlineStr">
        <is>
          <t>P50</t>
        </is>
      </c>
      <c r="G417" t="n">
        <v>500000</v>
      </c>
      <c r="H417" t="b">
        <v>1</v>
      </c>
      <c r="I417" t="inlineStr">
        <is>
          <t>D</t>
        </is>
      </c>
      <c r="J417" t="inlineStr">
        <is>
          <t>SRC-10</t>
        </is>
      </c>
    </row>
    <row r="418">
      <c r="A418" t="inlineStr">
        <is>
          <t>Hacktivist</t>
        </is>
      </c>
      <c r="B418" t="inlineStr">
        <is>
          <t>SC_INT</t>
        </is>
      </c>
      <c r="C418" t="inlineStr">
        <is>
          <t>Data or transaction-integrity compromise</t>
        </is>
      </c>
      <c r="D418" t="inlineStr">
        <is>
          <t>Exposure</t>
        </is>
      </c>
      <c r="E418" t="inlineStr">
        <is>
          <t>CUSTOMER_ATTRITION</t>
        </is>
      </c>
      <c r="F418" t="inlineStr">
        <is>
          <t>P50</t>
        </is>
      </c>
      <c r="G418" t="n">
        <v>1000000</v>
      </c>
      <c r="H418" t="b">
        <v>1</v>
      </c>
      <c r="I418" t="inlineStr">
        <is>
          <t>D</t>
        </is>
      </c>
      <c r="J418" t="inlineStr">
        <is>
          <t>SRC-10</t>
        </is>
      </c>
    </row>
    <row r="419">
      <c r="A419" t="inlineStr">
        <is>
          <t>Hacktivist</t>
        </is>
      </c>
      <c r="B419" t="inlineStr">
        <is>
          <t>SC_INT</t>
        </is>
      </c>
      <c r="C419" t="inlineStr">
        <is>
          <t>Data or transaction-integrity compromise</t>
        </is>
      </c>
      <c r="D419" t="inlineStr">
        <is>
          <t>Direct</t>
        </is>
      </c>
      <c r="E419" t="inlineStr">
        <is>
          <t>FRAUD_NET_RECOVERY</t>
        </is>
      </c>
      <c r="F419" t="inlineStr">
        <is>
          <t>P50</t>
        </is>
      </c>
      <c r="G419" t="n">
        <v>0</v>
      </c>
      <c r="H419" t="b">
        <v>0</v>
      </c>
      <c r="I419" t="inlineStr">
        <is>
          <t>D</t>
        </is>
      </c>
      <c r="J419" t="inlineStr">
        <is>
          <t>SRC-10</t>
        </is>
      </c>
    </row>
    <row r="420">
      <c r="A420" t="inlineStr">
        <is>
          <t>Hacktivist</t>
        </is>
      </c>
      <c r="B420" t="inlineStr">
        <is>
          <t>SC_INT</t>
        </is>
      </c>
      <c r="C420" t="inlineStr">
        <is>
          <t>Data or transaction-integrity compromise</t>
        </is>
      </c>
      <c r="D420" t="inlineStr">
        <is>
          <t>Direct</t>
        </is>
      </c>
      <c r="E420" t="inlineStr">
        <is>
          <t>EXTORTION</t>
        </is>
      </c>
      <c r="F420" t="inlineStr">
        <is>
          <t>P50</t>
        </is>
      </c>
      <c r="G420" t="n">
        <v>0</v>
      </c>
      <c r="H420" t="b">
        <v>0</v>
      </c>
      <c r="I420" t="inlineStr">
        <is>
          <t>D</t>
        </is>
      </c>
      <c r="J420" t="inlineStr">
        <is>
          <t>SRC-10</t>
        </is>
      </c>
    </row>
    <row r="421">
      <c r="A421" t="inlineStr">
        <is>
          <t>Hacktivist</t>
        </is>
      </c>
      <c r="B421" t="inlineStr">
        <is>
          <t>SC_INT</t>
        </is>
      </c>
      <c r="C421" t="inlineStr">
        <is>
          <t>Data or transaction-integrity compromise</t>
        </is>
      </c>
      <c r="D421" t="inlineStr">
        <is>
          <t>Direct</t>
        </is>
      </c>
      <c r="E421" t="inlineStr">
        <is>
          <t>POST_EVENT_UPLIFT</t>
        </is>
      </c>
      <c r="F421" t="inlineStr">
        <is>
          <t>P50</t>
        </is>
      </c>
      <c r="G421" t="n">
        <v>1000000</v>
      </c>
      <c r="H421" t="b">
        <v>1</v>
      </c>
      <c r="I421" t="inlineStr">
        <is>
          <t>D</t>
        </is>
      </c>
      <c r="J421" t="inlineStr">
        <is>
          <t>SRC-10</t>
        </is>
      </c>
    </row>
    <row r="422">
      <c r="A422" t="inlineStr">
        <is>
          <t>Hacktivist</t>
        </is>
      </c>
      <c r="B422" t="inlineStr">
        <is>
          <t>SC_INT</t>
        </is>
      </c>
      <c r="C422" t="inlineStr">
        <is>
          <t>Data or transaction-integrity compromise</t>
        </is>
      </c>
      <c r="D422" t="inlineStr">
        <is>
          <t>Duration</t>
        </is>
      </c>
      <c r="E422" t="inlineStr">
        <is>
          <t>IR_FORENSICS</t>
        </is>
      </c>
      <c r="F422" t="inlineStr">
        <is>
          <t>P99</t>
        </is>
      </c>
      <c r="G422" t="n">
        <v>360000</v>
      </c>
      <c r="H422" t="b">
        <v>1</v>
      </c>
      <c r="I422" t="inlineStr">
        <is>
          <t>D</t>
        </is>
      </c>
      <c r="J422" t="inlineStr">
        <is>
          <t>SRC-10</t>
        </is>
      </c>
    </row>
    <row r="423">
      <c r="A423" t="inlineStr">
        <is>
          <t>Hacktivist</t>
        </is>
      </c>
      <c r="B423" t="inlineStr">
        <is>
          <t>SC_INT</t>
        </is>
      </c>
      <c r="C423" t="inlineStr">
        <is>
          <t>Data or transaction-integrity compromise</t>
        </is>
      </c>
      <c r="D423" t="inlineStr">
        <is>
          <t>Duration</t>
        </is>
      </c>
      <c r="E423" t="inlineStr">
        <is>
          <t>EXTERNAL_RESPONSE</t>
        </is>
      </c>
      <c r="F423" t="inlineStr">
        <is>
          <t>P99</t>
        </is>
      </c>
      <c r="G423" t="n">
        <v>750000</v>
      </c>
      <c r="H423" t="b">
        <v>1</v>
      </c>
      <c r="I423" t="inlineStr">
        <is>
          <t>D</t>
        </is>
      </c>
      <c r="J423" t="inlineStr">
        <is>
          <t>SRC-10</t>
        </is>
      </c>
    </row>
    <row r="424">
      <c r="A424" t="inlineStr">
        <is>
          <t>Hacktivist</t>
        </is>
      </c>
      <c r="B424" t="inlineStr">
        <is>
          <t>SC_INT</t>
        </is>
      </c>
      <c r="C424" t="inlineStr">
        <is>
          <t>Data or transaction-integrity compromise</t>
        </is>
      </c>
      <c r="D424" t="inlineStr">
        <is>
          <t>Duration</t>
        </is>
      </c>
      <c r="E424" t="inlineStr">
        <is>
          <t>LEGAL_RESPONSE</t>
        </is>
      </c>
      <c r="F424" t="inlineStr">
        <is>
          <t>P99</t>
        </is>
      </c>
      <c r="G424" t="n">
        <v>1200000</v>
      </c>
      <c r="H424" t="b">
        <v>1</v>
      </c>
      <c r="I424" t="inlineStr">
        <is>
          <t>D</t>
        </is>
      </c>
      <c r="J424" t="inlineStr">
        <is>
          <t>SRC-10</t>
        </is>
      </c>
    </row>
    <row r="425">
      <c r="A425" t="inlineStr">
        <is>
          <t>Hacktivist</t>
        </is>
      </c>
      <c r="B425" t="inlineStr">
        <is>
          <t>SC_INT</t>
        </is>
      </c>
      <c r="C425" t="inlineStr">
        <is>
          <t>Data or transaction-integrity compromise</t>
        </is>
      </c>
      <c r="D425" t="inlineStr">
        <is>
          <t>Duration</t>
        </is>
      </c>
      <c r="E425" t="inlineStr">
        <is>
          <t>RESTORATION</t>
        </is>
      </c>
      <c r="F425" t="inlineStr">
        <is>
          <t>P99</t>
        </is>
      </c>
      <c r="G425" t="n">
        <v>600000</v>
      </c>
      <c r="H425" t="b">
        <v>1</v>
      </c>
      <c r="I425" t="inlineStr">
        <is>
          <t>D</t>
        </is>
      </c>
      <c r="J425" t="inlineStr">
        <is>
          <t>SRC-10</t>
        </is>
      </c>
    </row>
    <row r="426">
      <c r="A426" t="inlineStr">
        <is>
          <t>Hacktivist</t>
        </is>
      </c>
      <c r="B426" t="inlineStr">
        <is>
          <t>SC_INT</t>
        </is>
      </c>
      <c r="C426" t="inlineStr">
        <is>
          <t>Data or transaction-integrity compromise</t>
        </is>
      </c>
      <c r="D426" t="inlineStr">
        <is>
          <t>Duration</t>
        </is>
      </c>
      <c r="E426" t="inlineStr">
        <is>
          <t>BUSINESS_INTERRUPTION</t>
        </is>
      </c>
      <c r="F426" t="inlineStr">
        <is>
          <t>P99</t>
        </is>
      </c>
      <c r="G426" t="n">
        <v>38356164.38356164</v>
      </c>
      <c r="H426" t="b">
        <v>1</v>
      </c>
      <c r="I426" t="inlineStr">
        <is>
          <t>D</t>
        </is>
      </c>
      <c r="J426" t="inlineStr">
        <is>
          <t>SRC-10</t>
        </is>
      </c>
    </row>
    <row r="427">
      <c r="A427" t="inlineStr">
        <is>
          <t>Hacktivist</t>
        </is>
      </c>
      <c r="B427" t="inlineStr">
        <is>
          <t>SC_INT</t>
        </is>
      </c>
      <c r="C427" t="inlineStr">
        <is>
          <t>Data or transaction-integrity compromise</t>
        </is>
      </c>
      <c r="D427" t="inlineStr">
        <is>
          <t>Duration</t>
        </is>
      </c>
      <c r="E427" t="inlineStr">
        <is>
          <t>ENDPOINT_RECOVERY</t>
        </is>
      </c>
      <c r="F427" t="inlineStr">
        <is>
          <t>P99</t>
        </is>
      </c>
      <c r="G427" t="n">
        <v>1000000</v>
      </c>
      <c r="H427" t="b">
        <v>1</v>
      </c>
      <c r="I427" t="inlineStr">
        <is>
          <t>D</t>
        </is>
      </c>
      <c r="J427" t="inlineStr">
        <is>
          <t>SRC-10</t>
        </is>
      </c>
    </row>
    <row r="428">
      <c r="A428" t="inlineStr">
        <is>
          <t>Hacktivist</t>
        </is>
      </c>
      <c r="B428" t="inlineStr">
        <is>
          <t>SC_INT</t>
        </is>
      </c>
      <c r="C428" t="inlineStr">
        <is>
          <t>Data or transaction-integrity compromise</t>
        </is>
      </c>
      <c r="D428" t="inlineStr">
        <is>
          <t>Duration</t>
        </is>
      </c>
      <c r="E428" t="inlineStr">
        <is>
          <t>SERVER_RECOVERY</t>
        </is>
      </c>
      <c r="F428" t="inlineStr">
        <is>
          <t>P99</t>
        </is>
      </c>
      <c r="G428" t="n">
        <v>2000000</v>
      </c>
      <c r="H428" t="b">
        <v>1</v>
      </c>
      <c r="I428" t="inlineStr">
        <is>
          <t>D</t>
        </is>
      </c>
      <c r="J428" t="inlineStr">
        <is>
          <t>SRC-10</t>
        </is>
      </c>
    </row>
    <row r="429">
      <c r="A429" t="inlineStr">
        <is>
          <t>Hacktivist</t>
        </is>
      </c>
      <c r="B429" t="inlineStr">
        <is>
          <t>SC_INT</t>
        </is>
      </c>
      <c r="C429" t="inlineStr">
        <is>
          <t>Data or transaction-integrity compromise</t>
        </is>
      </c>
      <c r="D429" t="inlineStr">
        <is>
          <t>Exposure</t>
        </is>
      </c>
      <c r="E429" t="inlineStr">
        <is>
          <t>NOTIFICATION</t>
        </is>
      </c>
      <c r="F429" t="inlineStr">
        <is>
          <t>P99</t>
        </is>
      </c>
      <c r="G429" t="n">
        <v>0</v>
      </c>
      <c r="H429" t="b">
        <v>0</v>
      </c>
      <c r="I429" t="inlineStr">
        <is>
          <t>D</t>
        </is>
      </c>
      <c r="J429" t="inlineStr">
        <is>
          <t>SRC-10</t>
        </is>
      </c>
    </row>
    <row r="430">
      <c r="A430" t="inlineStr">
        <is>
          <t>Hacktivist</t>
        </is>
      </c>
      <c r="B430" t="inlineStr">
        <is>
          <t>SC_INT</t>
        </is>
      </c>
      <c r="C430" t="inlineStr">
        <is>
          <t>Data or transaction-integrity compromise</t>
        </is>
      </c>
      <c r="D430" t="inlineStr">
        <is>
          <t>Exposure</t>
        </is>
      </c>
      <c r="E430" t="inlineStr">
        <is>
          <t>CREDIT_MONITORING</t>
        </is>
      </c>
      <c r="F430" t="inlineStr">
        <is>
          <t>P99</t>
        </is>
      </c>
      <c r="G430" t="n">
        <v>0</v>
      </c>
      <c r="H430" t="b">
        <v>0</v>
      </c>
      <c r="I430" t="inlineStr">
        <is>
          <t>D</t>
        </is>
      </c>
      <c r="J430" t="inlineStr">
        <is>
          <t>SRC-10</t>
        </is>
      </c>
    </row>
    <row r="431">
      <c r="A431" t="inlineStr">
        <is>
          <t>Hacktivist</t>
        </is>
      </c>
      <c r="B431" t="inlineStr">
        <is>
          <t>SC_INT</t>
        </is>
      </c>
      <c r="C431" t="inlineStr">
        <is>
          <t>Data or transaction-integrity compromise</t>
        </is>
      </c>
      <c r="D431" t="inlineStr">
        <is>
          <t>Exposure</t>
        </is>
      </c>
      <c r="E431" t="inlineStr">
        <is>
          <t>REGULATORY</t>
        </is>
      </c>
      <c r="F431" t="inlineStr">
        <is>
          <t>P99</t>
        </is>
      </c>
      <c r="G431" t="n">
        <v>6000000</v>
      </c>
      <c r="H431" t="b">
        <v>1</v>
      </c>
      <c r="I431" t="inlineStr">
        <is>
          <t>D</t>
        </is>
      </c>
      <c r="J431" t="inlineStr">
        <is>
          <t>SRC-10</t>
        </is>
      </c>
    </row>
    <row r="432">
      <c r="A432" t="inlineStr">
        <is>
          <t>Hacktivist</t>
        </is>
      </c>
      <c r="B432" t="inlineStr">
        <is>
          <t>SC_INT</t>
        </is>
      </c>
      <c r="C432" t="inlineStr">
        <is>
          <t>Data or transaction-integrity compromise</t>
        </is>
      </c>
      <c r="D432" t="inlineStr">
        <is>
          <t>Exposure</t>
        </is>
      </c>
      <c r="E432" t="inlineStr">
        <is>
          <t>CUSTOMER_ATTRITION</t>
        </is>
      </c>
      <c r="F432" t="inlineStr">
        <is>
          <t>P99</t>
        </is>
      </c>
      <c r="G432" t="n">
        <v>20000000</v>
      </c>
      <c r="H432" t="b">
        <v>1</v>
      </c>
      <c r="I432" t="inlineStr">
        <is>
          <t>D</t>
        </is>
      </c>
      <c r="J432" t="inlineStr">
        <is>
          <t>SRC-10</t>
        </is>
      </c>
    </row>
    <row r="433">
      <c r="A433" t="inlineStr">
        <is>
          <t>Hacktivist</t>
        </is>
      </c>
      <c r="B433" t="inlineStr">
        <is>
          <t>SC_INT</t>
        </is>
      </c>
      <c r="C433" t="inlineStr">
        <is>
          <t>Data or transaction-integrity compromise</t>
        </is>
      </c>
      <c r="D433" t="inlineStr">
        <is>
          <t>Direct</t>
        </is>
      </c>
      <c r="E433" t="inlineStr">
        <is>
          <t>FRAUD_NET_RECOVERY</t>
        </is>
      </c>
      <c r="F433" t="inlineStr">
        <is>
          <t>P99</t>
        </is>
      </c>
      <c r="G433" t="n">
        <v>0</v>
      </c>
      <c r="H433" t="b">
        <v>0</v>
      </c>
      <c r="I433" t="inlineStr">
        <is>
          <t>D</t>
        </is>
      </c>
      <c r="J433" t="inlineStr">
        <is>
          <t>SRC-10</t>
        </is>
      </c>
    </row>
    <row r="434">
      <c r="A434" t="inlineStr">
        <is>
          <t>Hacktivist</t>
        </is>
      </c>
      <c r="B434" t="inlineStr">
        <is>
          <t>SC_INT</t>
        </is>
      </c>
      <c r="C434" t="inlineStr">
        <is>
          <t>Data or transaction-integrity compromise</t>
        </is>
      </c>
      <c r="D434" t="inlineStr">
        <is>
          <t>Direct</t>
        </is>
      </c>
      <c r="E434" t="inlineStr">
        <is>
          <t>EXTORTION</t>
        </is>
      </c>
      <c r="F434" t="inlineStr">
        <is>
          <t>P99</t>
        </is>
      </c>
      <c r="G434" t="n">
        <v>0</v>
      </c>
      <c r="H434" t="b">
        <v>0</v>
      </c>
      <c r="I434" t="inlineStr">
        <is>
          <t>D</t>
        </is>
      </c>
      <c r="J434" t="inlineStr">
        <is>
          <t>SRC-10</t>
        </is>
      </c>
    </row>
    <row r="435">
      <c r="A435" t="inlineStr">
        <is>
          <t>Hacktivist</t>
        </is>
      </c>
      <c r="B435" t="inlineStr">
        <is>
          <t>SC_INT</t>
        </is>
      </c>
      <c r="C435" t="inlineStr">
        <is>
          <t>Data or transaction-integrity compromise</t>
        </is>
      </c>
      <c r="D435" t="inlineStr">
        <is>
          <t>Direct</t>
        </is>
      </c>
      <c r="E435" t="inlineStr">
        <is>
          <t>POST_EVENT_UPLIFT</t>
        </is>
      </c>
      <c r="F435" t="inlineStr">
        <is>
          <t>P99</t>
        </is>
      </c>
      <c r="G435" t="n">
        <v>8000000</v>
      </c>
      <c r="H435" t="b">
        <v>1</v>
      </c>
      <c r="I435" t="inlineStr">
        <is>
          <t>D</t>
        </is>
      </c>
      <c r="J435" t="inlineStr">
        <is>
          <t>SRC-10</t>
        </is>
      </c>
    </row>
    <row r="436">
      <c r="A436" t="inlineStr">
        <is>
          <t>Hacktivist</t>
        </is>
      </c>
      <c r="B436" t="inlineStr">
        <is>
          <t>SC_FRAUD</t>
        </is>
      </c>
      <c r="C436" t="inlineStr">
        <is>
          <t>Cyber-enabled theft or fraud</t>
        </is>
      </c>
      <c r="D436" t="inlineStr">
        <is>
          <t>Duration</t>
        </is>
      </c>
      <c r="E436" t="inlineStr">
        <is>
          <t>IR_FORENSICS</t>
        </is>
      </c>
      <c r="F436" t="inlineStr">
        <is>
          <t>P50</t>
        </is>
      </c>
      <c r="G436" t="n">
        <v>20000</v>
      </c>
      <c r="H436" t="b">
        <v>1</v>
      </c>
      <c r="I436" t="inlineStr">
        <is>
          <t>D</t>
        </is>
      </c>
      <c r="J436" t="inlineStr">
        <is>
          <t>SRC-10</t>
        </is>
      </c>
    </row>
    <row r="437">
      <c r="A437" t="inlineStr">
        <is>
          <t>Hacktivist</t>
        </is>
      </c>
      <c r="B437" t="inlineStr">
        <is>
          <t>SC_FRAUD</t>
        </is>
      </c>
      <c r="C437" t="inlineStr">
        <is>
          <t>Cyber-enabled theft or fraud</t>
        </is>
      </c>
      <c r="D437" t="inlineStr">
        <is>
          <t>Duration</t>
        </is>
      </c>
      <c r="E437" t="inlineStr">
        <is>
          <t>EXTERNAL_RESPONSE</t>
        </is>
      </c>
      <c r="F437" t="inlineStr">
        <is>
          <t>P50</t>
        </is>
      </c>
      <c r="G437" t="n">
        <v>30000</v>
      </c>
      <c r="H437" t="b">
        <v>1</v>
      </c>
      <c r="I437" t="inlineStr">
        <is>
          <t>D</t>
        </is>
      </c>
      <c r="J437" t="inlineStr">
        <is>
          <t>SRC-10</t>
        </is>
      </c>
    </row>
    <row r="438">
      <c r="A438" t="inlineStr">
        <is>
          <t>Hacktivist</t>
        </is>
      </c>
      <c r="B438" t="inlineStr">
        <is>
          <t>SC_FRAUD</t>
        </is>
      </c>
      <c r="C438" t="inlineStr">
        <is>
          <t>Cyber-enabled theft or fraud</t>
        </is>
      </c>
      <c r="D438" t="inlineStr">
        <is>
          <t>Duration</t>
        </is>
      </c>
      <c r="E438" t="inlineStr">
        <is>
          <t>LEGAL_RESPONSE</t>
        </is>
      </c>
      <c r="F438" t="inlineStr">
        <is>
          <t>P50</t>
        </is>
      </c>
      <c r="G438" t="n">
        <v>75000</v>
      </c>
      <c r="H438" t="b">
        <v>1</v>
      </c>
      <c r="I438" t="inlineStr">
        <is>
          <t>D</t>
        </is>
      </c>
      <c r="J438" t="inlineStr">
        <is>
          <t>SRC-10</t>
        </is>
      </c>
    </row>
    <row r="439">
      <c r="A439" t="inlineStr">
        <is>
          <t>Hacktivist</t>
        </is>
      </c>
      <c r="B439" t="inlineStr">
        <is>
          <t>SC_FRAUD</t>
        </is>
      </c>
      <c r="C439" t="inlineStr">
        <is>
          <t>Cyber-enabled theft or fraud</t>
        </is>
      </c>
      <c r="D439" t="inlineStr">
        <is>
          <t>Duration</t>
        </is>
      </c>
      <c r="E439" t="inlineStr">
        <is>
          <t>RESTORATION</t>
        </is>
      </c>
      <c r="F439" t="inlineStr">
        <is>
          <t>P50</t>
        </is>
      </c>
      <c r="G439" t="n">
        <v>10000</v>
      </c>
      <c r="H439" t="b">
        <v>1</v>
      </c>
      <c r="I439" t="inlineStr">
        <is>
          <t>D</t>
        </is>
      </c>
      <c r="J439" t="inlineStr">
        <is>
          <t>SRC-10</t>
        </is>
      </c>
    </row>
    <row r="440">
      <c r="A440" t="inlineStr">
        <is>
          <t>Hacktivist</t>
        </is>
      </c>
      <c r="B440" t="inlineStr">
        <is>
          <t>SC_FRAUD</t>
        </is>
      </c>
      <c r="C440" t="inlineStr">
        <is>
          <t>Cyber-enabled theft or fraud</t>
        </is>
      </c>
      <c r="D440" t="inlineStr">
        <is>
          <t>Duration</t>
        </is>
      </c>
      <c r="E440" t="inlineStr">
        <is>
          <t>BUSINESS_INTERRUPTION</t>
        </is>
      </c>
      <c r="F440" t="inlineStr">
        <is>
          <t>P50</t>
        </is>
      </c>
      <c r="G440" t="n">
        <v>0</v>
      </c>
      <c r="H440" t="b">
        <v>0</v>
      </c>
      <c r="I440" t="inlineStr">
        <is>
          <t>D</t>
        </is>
      </c>
      <c r="J440" t="inlineStr">
        <is>
          <t>SRC-10</t>
        </is>
      </c>
    </row>
    <row r="441">
      <c r="A441" t="inlineStr">
        <is>
          <t>Hacktivist</t>
        </is>
      </c>
      <c r="B441" t="inlineStr">
        <is>
          <t>SC_FRAUD</t>
        </is>
      </c>
      <c r="C441" t="inlineStr">
        <is>
          <t>Cyber-enabled theft or fraud</t>
        </is>
      </c>
      <c r="D441" t="inlineStr">
        <is>
          <t>Duration</t>
        </is>
      </c>
      <c r="E441" t="inlineStr">
        <is>
          <t>ENDPOINT_RECOVERY</t>
        </is>
      </c>
      <c r="F441" t="inlineStr">
        <is>
          <t>P50</t>
        </is>
      </c>
      <c r="G441" t="n">
        <v>0</v>
      </c>
      <c r="H441" t="b">
        <v>0</v>
      </c>
      <c r="I441" t="inlineStr">
        <is>
          <t>D</t>
        </is>
      </c>
      <c r="J441" t="inlineStr">
        <is>
          <t>SRC-10</t>
        </is>
      </c>
    </row>
    <row r="442">
      <c r="A442" t="inlineStr">
        <is>
          <t>Hacktivist</t>
        </is>
      </c>
      <c r="B442" t="inlineStr">
        <is>
          <t>SC_FRAUD</t>
        </is>
      </c>
      <c r="C442" t="inlineStr">
        <is>
          <t>Cyber-enabled theft or fraud</t>
        </is>
      </c>
      <c r="D442" t="inlineStr">
        <is>
          <t>Duration</t>
        </is>
      </c>
      <c r="E442" t="inlineStr">
        <is>
          <t>SERVER_RECOVERY</t>
        </is>
      </c>
      <c r="F442" t="inlineStr">
        <is>
          <t>P50</t>
        </is>
      </c>
      <c r="G442" t="n">
        <v>0</v>
      </c>
      <c r="H442" t="b">
        <v>0</v>
      </c>
      <c r="I442" t="inlineStr">
        <is>
          <t>D</t>
        </is>
      </c>
      <c r="J442" t="inlineStr">
        <is>
          <t>SRC-10</t>
        </is>
      </c>
    </row>
    <row r="443">
      <c r="A443" t="inlineStr">
        <is>
          <t>Hacktivist</t>
        </is>
      </c>
      <c r="B443" t="inlineStr">
        <is>
          <t>SC_FRAUD</t>
        </is>
      </c>
      <c r="C443" t="inlineStr">
        <is>
          <t>Cyber-enabled theft or fraud</t>
        </is>
      </c>
      <c r="D443" t="inlineStr">
        <is>
          <t>Exposure</t>
        </is>
      </c>
      <c r="E443" t="inlineStr">
        <is>
          <t>NOTIFICATION</t>
        </is>
      </c>
      <c r="F443" t="inlineStr">
        <is>
          <t>P50</t>
        </is>
      </c>
      <c r="G443" t="n">
        <v>0</v>
      </c>
      <c r="H443" t="b">
        <v>0</v>
      </c>
      <c r="I443" t="inlineStr">
        <is>
          <t>D</t>
        </is>
      </c>
      <c r="J443" t="inlineStr">
        <is>
          <t>SRC-10</t>
        </is>
      </c>
    </row>
    <row r="444">
      <c r="A444" t="inlineStr">
        <is>
          <t>Hacktivist</t>
        </is>
      </c>
      <c r="B444" t="inlineStr">
        <is>
          <t>SC_FRAUD</t>
        </is>
      </c>
      <c r="C444" t="inlineStr">
        <is>
          <t>Cyber-enabled theft or fraud</t>
        </is>
      </c>
      <c r="D444" t="inlineStr">
        <is>
          <t>Exposure</t>
        </is>
      </c>
      <c r="E444" t="inlineStr">
        <is>
          <t>CREDIT_MONITORING</t>
        </is>
      </c>
      <c r="F444" t="inlineStr">
        <is>
          <t>P50</t>
        </is>
      </c>
      <c r="G444" t="n">
        <v>0</v>
      </c>
      <c r="H444" t="b">
        <v>0</v>
      </c>
      <c r="I444" t="inlineStr">
        <is>
          <t>D</t>
        </is>
      </c>
      <c r="J444" t="inlineStr">
        <is>
          <t>SRC-10</t>
        </is>
      </c>
    </row>
    <row r="445">
      <c r="A445" t="inlineStr">
        <is>
          <t>Hacktivist</t>
        </is>
      </c>
      <c r="B445" t="inlineStr">
        <is>
          <t>SC_FRAUD</t>
        </is>
      </c>
      <c r="C445" t="inlineStr">
        <is>
          <t>Cyber-enabled theft or fraud</t>
        </is>
      </c>
      <c r="D445" t="inlineStr">
        <is>
          <t>Exposure</t>
        </is>
      </c>
      <c r="E445" t="inlineStr">
        <is>
          <t>REGULATORY</t>
        </is>
      </c>
      <c r="F445" t="inlineStr">
        <is>
          <t>P50</t>
        </is>
      </c>
      <c r="G445" t="n">
        <v>200000</v>
      </c>
      <c r="H445" t="b">
        <v>1</v>
      </c>
      <c r="I445" t="inlineStr">
        <is>
          <t>D</t>
        </is>
      </c>
      <c r="J445" t="inlineStr">
        <is>
          <t>SRC-10</t>
        </is>
      </c>
    </row>
    <row r="446">
      <c r="A446" t="inlineStr">
        <is>
          <t>Hacktivist</t>
        </is>
      </c>
      <c r="B446" t="inlineStr">
        <is>
          <t>SC_FRAUD</t>
        </is>
      </c>
      <c r="C446" t="inlineStr">
        <is>
          <t>Cyber-enabled theft or fraud</t>
        </is>
      </c>
      <c r="D446" t="inlineStr">
        <is>
          <t>Exposure</t>
        </is>
      </c>
      <c r="E446" t="inlineStr">
        <is>
          <t>CUSTOMER_ATTRITION</t>
        </is>
      </c>
      <c r="F446" t="inlineStr">
        <is>
          <t>P50</t>
        </is>
      </c>
      <c r="G446" t="n">
        <v>1000000</v>
      </c>
      <c r="H446" t="b">
        <v>1</v>
      </c>
      <c r="I446" t="inlineStr">
        <is>
          <t>D</t>
        </is>
      </c>
      <c r="J446" t="inlineStr">
        <is>
          <t>SRC-10</t>
        </is>
      </c>
    </row>
    <row r="447">
      <c r="A447" t="inlineStr">
        <is>
          <t>Hacktivist</t>
        </is>
      </c>
      <c r="B447" t="inlineStr">
        <is>
          <t>SC_FRAUD</t>
        </is>
      </c>
      <c r="C447" t="inlineStr">
        <is>
          <t>Cyber-enabled theft or fraud</t>
        </is>
      </c>
      <c r="D447" t="inlineStr">
        <is>
          <t>Direct</t>
        </is>
      </c>
      <c r="E447" t="inlineStr">
        <is>
          <t>FRAUD_NET_RECOVERY</t>
        </is>
      </c>
      <c r="F447" t="inlineStr">
        <is>
          <t>P50</t>
        </is>
      </c>
      <c r="G447" t="n">
        <v>0</v>
      </c>
      <c r="H447" t="b">
        <v>0</v>
      </c>
      <c r="I447" t="inlineStr">
        <is>
          <t>D</t>
        </is>
      </c>
      <c r="J447" t="inlineStr">
        <is>
          <t>SRC-10</t>
        </is>
      </c>
    </row>
    <row r="448">
      <c r="A448" t="inlineStr">
        <is>
          <t>Hacktivist</t>
        </is>
      </c>
      <c r="B448" t="inlineStr">
        <is>
          <t>SC_FRAUD</t>
        </is>
      </c>
      <c r="C448" t="inlineStr">
        <is>
          <t>Cyber-enabled theft or fraud</t>
        </is>
      </c>
      <c r="D448" t="inlineStr">
        <is>
          <t>Direct</t>
        </is>
      </c>
      <c r="E448" t="inlineStr">
        <is>
          <t>EXTORTION</t>
        </is>
      </c>
      <c r="F448" t="inlineStr">
        <is>
          <t>P50</t>
        </is>
      </c>
      <c r="G448" t="n">
        <v>0</v>
      </c>
      <c r="H448" t="b">
        <v>0</v>
      </c>
      <c r="I448" t="inlineStr">
        <is>
          <t>D</t>
        </is>
      </c>
      <c r="J448" t="inlineStr">
        <is>
          <t>SRC-10</t>
        </is>
      </c>
    </row>
    <row r="449">
      <c r="A449" t="inlineStr">
        <is>
          <t>Hacktivist</t>
        </is>
      </c>
      <c r="B449" t="inlineStr">
        <is>
          <t>SC_FRAUD</t>
        </is>
      </c>
      <c r="C449" t="inlineStr">
        <is>
          <t>Cyber-enabled theft or fraud</t>
        </is>
      </c>
      <c r="D449" t="inlineStr">
        <is>
          <t>Direct</t>
        </is>
      </c>
      <c r="E449" t="inlineStr">
        <is>
          <t>POST_EVENT_UPLIFT</t>
        </is>
      </c>
      <c r="F449" t="inlineStr">
        <is>
          <t>P50</t>
        </is>
      </c>
      <c r="G449" t="n">
        <v>500000</v>
      </c>
      <c r="H449" t="b">
        <v>1</v>
      </c>
      <c r="I449" t="inlineStr">
        <is>
          <t>D</t>
        </is>
      </c>
      <c r="J449" t="inlineStr">
        <is>
          <t>SRC-10</t>
        </is>
      </c>
    </row>
    <row r="450">
      <c r="A450" t="inlineStr">
        <is>
          <t>Hacktivist</t>
        </is>
      </c>
      <c r="B450" t="inlineStr">
        <is>
          <t>SC_FRAUD</t>
        </is>
      </c>
      <c r="C450" t="inlineStr">
        <is>
          <t>Cyber-enabled theft or fraud</t>
        </is>
      </c>
      <c r="D450" t="inlineStr">
        <is>
          <t>Duration</t>
        </is>
      </c>
      <c r="E450" t="inlineStr">
        <is>
          <t>IR_FORENSICS</t>
        </is>
      </c>
      <c r="F450" t="inlineStr">
        <is>
          <t>P99</t>
        </is>
      </c>
      <c r="G450" t="n">
        <v>240000</v>
      </c>
      <c r="H450" t="b">
        <v>1</v>
      </c>
      <c r="I450" t="inlineStr">
        <is>
          <t>D</t>
        </is>
      </c>
      <c r="J450" t="inlineStr">
        <is>
          <t>SRC-10</t>
        </is>
      </c>
    </row>
    <row r="451">
      <c r="A451" t="inlineStr">
        <is>
          <t>Hacktivist</t>
        </is>
      </c>
      <c r="B451" t="inlineStr">
        <is>
          <t>SC_FRAUD</t>
        </is>
      </c>
      <c r="C451" t="inlineStr">
        <is>
          <t>Cyber-enabled theft or fraud</t>
        </is>
      </c>
      <c r="D451" t="inlineStr">
        <is>
          <t>Duration</t>
        </is>
      </c>
      <c r="E451" t="inlineStr">
        <is>
          <t>EXTERNAL_RESPONSE</t>
        </is>
      </c>
      <c r="F451" t="inlineStr">
        <is>
          <t>P99</t>
        </is>
      </c>
      <c r="G451" t="n">
        <v>450000</v>
      </c>
      <c r="H451" t="b">
        <v>1</v>
      </c>
      <c r="I451" t="inlineStr">
        <is>
          <t>D</t>
        </is>
      </c>
      <c r="J451" t="inlineStr">
        <is>
          <t>SRC-10</t>
        </is>
      </c>
    </row>
    <row r="452">
      <c r="A452" t="inlineStr">
        <is>
          <t>Hacktivist</t>
        </is>
      </c>
      <c r="B452" t="inlineStr">
        <is>
          <t>SC_FRAUD</t>
        </is>
      </c>
      <c r="C452" t="inlineStr">
        <is>
          <t>Cyber-enabled theft or fraud</t>
        </is>
      </c>
      <c r="D452" t="inlineStr">
        <is>
          <t>Duration</t>
        </is>
      </c>
      <c r="E452" t="inlineStr">
        <is>
          <t>LEGAL_RESPONSE</t>
        </is>
      </c>
      <c r="F452" t="inlineStr">
        <is>
          <t>P99</t>
        </is>
      </c>
      <c r="G452" t="n">
        <v>900000</v>
      </c>
      <c r="H452" t="b">
        <v>1</v>
      </c>
      <c r="I452" t="inlineStr">
        <is>
          <t>D</t>
        </is>
      </c>
      <c r="J452" t="inlineStr">
        <is>
          <t>SRC-10</t>
        </is>
      </c>
    </row>
    <row r="453">
      <c r="A453" t="inlineStr">
        <is>
          <t>Hacktivist</t>
        </is>
      </c>
      <c r="B453" t="inlineStr">
        <is>
          <t>SC_FRAUD</t>
        </is>
      </c>
      <c r="C453" t="inlineStr">
        <is>
          <t>Cyber-enabled theft or fraud</t>
        </is>
      </c>
      <c r="D453" t="inlineStr">
        <is>
          <t>Duration</t>
        </is>
      </c>
      <c r="E453" t="inlineStr">
        <is>
          <t>RESTORATION</t>
        </is>
      </c>
      <c r="F453" t="inlineStr">
        <is>
          <t>P99</t>
        </is>
      </c>
      <c r="G453" t="n">
        <v>240000</v>
      </c>
      <c r="H453" t="b">
        <v>1</v>
      </c>
      <c r="I453" t="inlineStr">
        <is>
          <t>D</t>
        </is>
      </c>
      <c r="J453" t="inlineStr">
        <is>
          <t>SRC-10</t>
        </is>
      </c>
    </row>
    <row r="454">
      <c r="A454" t="inlineStr">
        <is>
          <t>Hacktivist</t>
        </is>
      </c>
      <c r="B454" t="inlineStr">
        <is>
          <t>SC_FRAUD</t>
        </is>
      </c>
      <c r="C454" t="inlineStr">
        <is>
          <t>Cyber-enabled theft or fraud</t>
        </is>
      </c>
      <c r="D454" t="inlineStr">
        <is>
          <t>Duration</t>
        </is>
      </c>
      <c r="E454" t="inlineStr">
        <is>
          <t>BUSINESS_INTERRUPTION</t>
        </is>
      </c>
      <c r="F454" t="inlineStr">
        <is>
          <t>P99</t>
        </is>
      </c>
      <c r="G454" t="n">
        <v>0</v>
      </c>
      <c r="H454" t="b">
        <v>0</v>
      </c>
      <c r="I454" t="inlineStr">
        <is>
          <t>D</t>
        </is>
      </c>
      <c r="J454" t="inlineStr">
        <is>
          <t>SRC-10</t>
        </is>
      </c>
    </row>
    <row r="455">
      <c r="A455" t="inlineStr">
        <is>
          <t>Hacktivist</t>
        </is>
      </c>
      <c r="B455" t="inlineStr">
        <is>
          <t>SC_FRAUD</t>
        </is>
      </c>
      <c r="C455" t="inlineStr">
        <is>
          <t>Cyber-enabled theft or fraud</t>
        </is>
      </c>
      <c r="D455" t="inlineStr">
        <is>
          <t>Duration</t>
        </is>
      </c>
      <c r="E455" t="inlineStr">
        <is>
          <t>ENDPOINT_RECOVERY</t>
        </is>
      </c>
      <c r="F455" t="inlineStr">
        <is>
          <t>P99</t>
        </is>
      </c>
      <c r="G455" t="n">
        <v>0</v>
      </c>
      <c r="H455" t="b">
        <v>0</v>
      </c>
      <c r="I455" t="inlineStr">
        <is>
          <t>D</t>
        </is>
      </c>
      <c r="J455" t="inlineStr">
        <is>
          <t>SRC-10</t>
        </is>
      </c>
    </row>
    <row r="456">
      <c r="A456" t="inlineStr">
        <is>
          <t>Hacktivist</t>
        </is>
      </c>
      <c r="B456" t="inlineStr">
        <is>
          <t>SC_FRAUD</t>
        </is>
      </c>
      <c r="C456" t="inlineStr">
        <is>
          <t>Cyber-enabled theft or fraud</t>
        </is>
      </c>
      <c r="D456" t="inlineStr">
        <is>
          <t>Duration</t>
        </is>
      </c>
      <c r="E456" t="inlineStr">
        <is>
          <t>SERVER_RECOVERY</t>
        </is>
      </c>
      <c r="F456" t="inlineStr">
        <is>
          <t>P99</t>
        </is>
      </c>
      <c r="G456" t="n">
        <v>0</v>
      </c>
      <c r="H456" t="b">
        <v>0</v>
      </c>
      <c r="I456" t="inlineStr">
        <is>
          <t>D</t>
        </is>
      </c>
      <c r="J456" t="inlineStr">
        <is>
          <t>SRC-10</t>
        </is>
      </c>
    </row>
    <row r="457">
      <c r="A457" t="inlineStr">
        <is>
          <t>Hacktivist</t>
        </is>
      </c>
      <c r="B457" t="inlineStr">
        <is>
          <t>SC_FRAUD</t>
        </is>
      </c>
      <c r="C457" t="inlineStr">
        <is>
          <t>Cyber-enabled theft or fraud</t>
        </is>
      </c>
      <c r="D457" t="inlineStr">
        <is>
          <t>Exposure</t>
        </is>
      </c>
      <c r="E457" t="inlineStr">
        <is>
          <t>NOTIFICATION</t>
        </is>
      </c>
      <c r="F457" t="inlineStr">
        <is>
          <t>P99</t>
        </is>
      </c>
      <c r="G457" t="n">
        <v>0</v>
      </c>
      <c r="H457" t="b">
        <v>0</v>
      </c>
      <c r="I457" t="inlineStr">
        <is>
          <t>D</t>
        </is>
      </c>
      <c r="J457" t="inlineStr">
        <is>
          <t>SRC-10</t>
        </is>
      </c>
    </row>
    <row r="458">
      <c r="A458" t="inlineStr">
        <is>
          <t>Hacktivist</t>
        </is>
      </c>
      <c r="B458" t="inlineStr">
        <is>
          <t>SC_FRAUD</t>
        </is>
      </c>
      <c r="C458" t="inlineStr">
        <is>
          <t>Cyber-enabled theft or fraud</t>
        </is>
      </c>
      <c r="D458" t="inlineStr">
        <is>
          <t>Exposure</t>
        </is>
      </c>
      <c r="E458" t="inlineStr">
        <is>
          <t>CREDIT_MONITORING</t>
        </is>
      </c>
      <c r="F458" t="inlineStr">
        <is>
          <t>P99</t>
        </is>
      </c>
      <c r="G458" t="n">
        <v>0</v>
      </c>
      <c r="H458" t="b">
        <v>0</v>
      </c>
      <c r="I458" t="inlineStr">
        <is>
          <t>D</t>
        </is>
      </c>
      <c r="J458" t="inlineStr">
        <is>
          <t>SRC-10</t>
        </is>
      </c>
    </row>
    <row r="459">
      <c r="A459" t="inlineStr">
        <is>
          <t>Hacktivist</t>
        </is>
      </c>
      <c r="B459" t="inlineStr">
        <is>
          <t>SC_FRAUD</t>
        </is>
      </c>
      <c r="C459" t="inlineStr">
        <is>
          <t>Cyber-enabled theft or fraud</t>
        </is>
      </c>
      <c r="D459" t="inlineStr">
        <is>
          <t>Exposure</t>
        </is>
      </c>
      <c r="E459" t="inlineStr">
        <is>
          <t>REGULATORY</t>
        </is>
      </c>
      <c r="F459" t="inlineStr">
        <is>
          <t>P99</t>
        </is>
      </c>
      <c r="G459" t="n">
        <v>3000000</v>
      </c>
      <c r="H459" t="b">
        <v>1</v>
      </c>
      <c r="I459" t="inlineStr">
        <is>
          <t>D</t>
        </is>
      </c>
      <c r="J459" t="inlineStr">
        <is>
          <t>SRC-10</t>
        </is>
      </c>
    </row>
    <row r="460">
      <c r="A460" t="inlineStr">
        <is>
          <t>Hacktivist</t>
        </is>
      </c>
      <c r="B460" t="inlineStr">
        <is>
          <t>SC_FRAUD</t>
        </is>
      </c>
      <c r="C460" t="inlineStr">
        <is>
          <t>Cyber-enabled theft or fraud</t>
        </is>
      </c>
      <c r="D460" t="inlineStr">
        <is>
          <t>Exposure</t>
        </is>
      </c>
      <c r="E460" t="inlineStr">
        <is>
          <t>CUSTOMER_ATTRITION</t>
        </is>
      </c>
      <c r="F460" t="inlineStr">
        <is>
          <t>P99</t>
        </is>
      </c>
      <c r="G460" t="n">
        <v>20000000</v>
      </c>
      <c r="H460" t="b">
        <v>1</v>
      </c>
      <c r="I460" t="inlineStr">
        <is>
          <t>D</t>
        </is>
      </c>
      <c r="J460" t="inlineStr">
        <is>
          <t>SRC-10</t>
        </is>
      </c>
    </row>
    <row r="461">
      <c r="A461" t="inlineStr">
        <is>
          <t>Hacktivist</t>
        </is>
      </c>
      <c r="B461" t="inlineStr">
        <is>
          <t>SC_FRAUD</t>
        </is>
      </c>
      <c r="C461" t="inlineStr">
        <is>
          <t>Cyber-enabled theft or fraud</t>
        </is>
      </c>
      <c r="D461" t="inlineStr">
        <is>
          <t>Direct</t>
        </is>
      </c>
      <c r="E461" t="inlineStr">
        <is>
          <t>FRAUD_NET_RECOVERY</t>
        </is>
      </c>
      <c r="F461" t="inlineStr">
        <is>
          <t>P99</t>
        </is>
      </c>
      <c r="G461" t="n">
        <v>0</v>
      </c>
      <c r="H461" t="b">
        <v>0</v>
      </c>
      <c r="I461" t="inlineStr">
        <is>
          <t>D</t>
        </is>
      </c>
      <c r="J461" t="inlineStr">
        <is>
          <t>SRC-10</t>
        </is>
      </c>
    </row>
    <row r="462">
      <c r="A462" t="inlineStr">
        <is>
          <t>Hacktivist</t>
        </is>
      </c>
      <c r="B462" t="inlineStr">
        <is>
          <t>SC_FRAUD</t>
        </is>
      </c>
      <c r="C462" t="inlineStr">
        <is>
          <t>Cyber-enabled theft or fraud</t>
        </is>
      </c>
      <c r="D462" t="inlineStr">
        <is>
          <t>Direct</t>
        </is>
      </c>
      <c r="E462" t="inlineStr">
        <is>
          <t>EXTORTION</t>
        </is>
      </c>
      <c r="F462" t="inlineStr">
        <is>
          <t>P99</t>
        </is>
      </c>
      <c r="G462" t="n">
        <v>0</v>
      </c>
      <c r="H462" t="b">
        <v>0</v>
      </c>
      <c r="I462" t="inlineStr">
        <is>
          <t>D</t>
        </is>
      </c>
      <c r="J462" t="inlineStr">
        <is>
          <t>SRC-10</t>
        </is>
      </c>
    </row>
    <row r="463">
      <c r="A463" t="inlineStr">
        <is>
          <t>Hacktivist</t>
        </is>
      </c>
      <c r="B463" t="inlineStr">
        <is>
          <t>SC_FRAUD</t>
        </is>
      </c>
      <c r="C463" t="inlineStr">
        <is>
          <t>Cyber-enabled theft or fraud</t>
        </is>
      </c>
      <c r="D463" t="inlineStr">
        <is>
          <t>Direct</t>
        </is>
      </c>
      <c r="E463" t="inlineStr">
        <is>
          <t>POST_EVENT_UPLIFT</t>
        </is>
      </c>
      <c r="F463" t="inlineStr">
        <is>
          <t>P99</t>
        </is>
      </c>
      <c r="G463" t="n">
        <v>5000000</v>
      </c>
      <c r="H463" t="b">
        <v>1</v>
      </c>
      <c r="I463" t="inlineStr">
        <is>
          <t>D</t>
        </is>
      </c>
      <c r="J463" t="inlineStr">
        <is>
          <t>SRC-10</t>
        </is>
      </c>
    </row>
  </sheetData>
  <mergeCells count="3">
    <mergeCell ref="A2:L2"/>
    <mergeCell ref="A1:L1"/>
    <mergeCell ref="A5:L5"/>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L40"/>
  <sheetViews>
    <sheetView showGridLines="0" workbookViewId="0">
      <selection activeCell="A1" sqref="A1"/>
    </sheetView>
  </sheetViews>
  <sheetFormatPr baseColWidth="8" defaultRowHeight="15"/>
  <sheetData>
    <row r="1" ht="27" customHeight="1" s="242">
      <c r="A1" s="390" t="inlineStr">
        <is>
          <t>14 — Actor–Scenario Matrix</t>
        </is>
      </c>
    </row>
    <row r="2" ht="34" customHeight="1" s="242">
      <c r="A2" s="247" t="inlineStr">
        <is>
          <t>AAL and event-frequency matrices for the selected reporting basis.</t>
        </is>
      </c>
    </row>
    <row r="5">
      <c r="A5" s="333" t="inlineStr">
        <is>
          <t>ENGINE OUTPUT — do not edit. Run the Python engine after changing inputs or sector packs.</t>
        </is>
      </c>
    </row>
    <row r="15">
      <c r="A15" s="235" t="inlineStr">
        <is>
          <t>AAL — Prudent</t>
        </is>
      </c>
      <c r="B15" s="236" t="inlineStr">
        <is>
          <t>Critical business-service disruption</t>
        </is>
      </c>
      <c r="C15" s="236" t="inlineStr">
        <is>
          <t>Sensitive-data compromise</t>
        </is>
      </c>
      <c r="D15" s="236" t="inlineStr">
        <is>
          <t>Data or transaction-integrity compromise</t>
        </is>
      </c>
      <c r="E15" s="236" t="inlineStr">
        <is>
          <t>Cyber-enabled theft or fraud</t>
        </is>
      </c>
      <c r="F15" s="274" t="n"/>
    </row>
    <row r="16">
      <c r="A16" s="275" t="inlineStr">
        <is>
          <t>Nation-state</t>
        </is>
      </c>
      <c r="B16" s="276" t="n">
        <v>34187.69718482313</v>
      </c>
      <c r="C16" s="276" t="n">
        <v>42614.9495943943</v>
      </c>
      <c r="D16" s="276" t="n">
        <v>39497.04724865823</v>
      </c>
      <c r="E16" s="276" t="n">
        <v>7587.336452065792</v>
      </c>
      <c r="F16" s="277" t="n"/>
    </row>
    <row r="17">
      <c r="A17" s="275" t="inlineStr">
        <is>
          <t>Cybercriminal</t>
        </is>
      </c>
      <c r="B17" s="276" t="n">
        <v>251325.0959186971</v>
      </c>
      <c r="C17" s="276" t="n">
        <v>143618.5439356717</v>
      </c>
      <c r="D17" s="276" t="n">
        <v>59240.44061019894</v>
      </c>
      <c r="E17" s="276" t="n">
        <v>185707.9696580468</v>
      </c>
      <c r="F17" s="277" t="n"/>
    </row>
    <row r="18">
      <c r="A18" s="275" t="inlineStr">
        <is>
          <t>Malicious insider</t>
        </is>
      </c>
      <c r="B18" s="276" t="n">
        <v>58482.76217828038</v>
      </c>
      <c r="C18" s="276" t="n">
        <v>94468.79272047104</v>
      </c>
      <c r="D18" s="276" t="n">
        <v>81826.09333899064</v>
      </c>
      <c r="E18" s="276" t="n">
        <v>63923.53643098826</v>
      </c>
      <c r="F18" s="277" t="n"/>
    </row>
    <row r="19">
      <c r="A19" s="275" t="inlineStr">
        <is>
          <t>Hacktivist</t>
        </is>
      </c>
      <c r="B19" s="276" t="n">
        <v>229475.9406898202</v>
      </c>
      <c r="C19" s="276" t="n">
        <v>9152.995433625996</v>
      </c>
      <c r="D19" s="276" t="n">
        <v>6470.771523657018</v>
      </c>
      <c r="E19" s="276" t="n">
        <v>1137.5951913246</v>
      </c>
      <c r="F19" s="277" t="n"/>
    </row>
    <row r="20">
      <c r="A20" s="275" t="n"/>
      <c r="B20" s="276" t="n"/>
      <c r="C20" s="276" t="n"/>
      <c r="D20" s="276" t="n"/>
      <c r="E20" s="276" t="n"/>
      <c r="F20" s="277" t="n"/>
    </row>
    <row r="21">
      <c r="A21" s="275" t="n"/>
      <c r="B21" s="276" t="n"/>
      <c r="C21" s="276" t="n"/>
      <c r="D21" s="276" t="n"/>
      <c r="E21" s="276" t="n"/>
      <c r="F21" s="277" t="n"/>
    </row>
    <row r="22">
      <c r="A22" s="275" t="n"/>
      <c r="B22" s="276" t="n"/>
      <c r="C22" s="276" t="n"/>
      <c r="D22" s="276" t="n"/>
      <c r="E22" s="276" t="n"/>
      <c r="F22" s="277" t="n"/>
    </row>
    <row r="23">
      <c r="A23" s="275" t="n"/>
      <c r="B23" s="276" t="n"/>
      <c r="C23" s="276" t="n"/>
      <c r="D23" s="276" t="n"/>
      <c r="E23" s="276" t="n"/>
      <c r="F23" s="277" t="n"/>
    </row>
    <row r="24">
      <c r="A24" s="275" t="n"/>
      <c r="B24" s="276" t="n"/>
      <c r="C24" s="276" t="n"/>
      <c r="D24" s="276" t="n"/>
      <c r="E24" s="276" t="n"/>
      <c r="F24" s="277" t="n"/>
    </row>
    <row r="25">
      <c r="A25" s="275" t="n"/>
      <c r="B25" s="276" t="n"/>
      <c r="C25" s="276" t="n"/>
      <c r="D25" s="276" t="n"/>
      <c r="E25" s="276" t="n"/>
      <c r="F25" s="277" t="n"/>
    </row>
    <row r="26">
      <c r="A26" s="275" t="n"/>
      <c r="B26" s="276" t="n"/>
      <c r="C26" s="276" t="n"/>
      <c r="D26" s="276" t="n"/>
      <c r="E26" s="276" t="n"/>
      <c r="F26" s="277" t="n"/>
    </row>
    <row r="27">
      <c r="A27" s="275" t="n"/>
      <c r="B27" s="276" t="n"/>
      <c r="C27" s="276" t="n"/>
      <c r="D27" s="276" t="n"/>
      <c r="E27" s="276" t="n"/>
      <c r="F27" s="277" t="n"/>
    </row>
    <row r="28">
      <c r="A28" s="275" t="n"/>
      <c r="B28" s="276" t="n"/>
      <c r="C28" s="276" t="n"/>
      <c r="D28" s="276" t="n"/>
      <c r="E28" s="276" t="n"/>
      <c r="F28" s="277" t="n"/>
    </row>
    <row r="29">
      <c r="A29" s="275" t="n"/>
      <c r="B29" s="276" t="n"/>
      <c r="C29" s="276" t="n"/>
      <c r="D29" s="276" t="n"/>
      <c r="E29" s="276" t="n"/>
      <c r="F29" s="277" t="n"/>
    </row>
    <row r="30">
      <c r="A30" s="275" t="n"/>
      <c r="B30" s="276" t="n"/>
      <c r="C30" s="276" t="n"/>
      <c r="D30" s="276" t="n"/>
      <c r="E30" s="276" t="n"/>
      <c r="F30" s="277" t="n"/>
    </row>
    <row r="31">
      <c r="A31" s="275" t="n"/>
      <c r="B31" s="276" t="n"/>
      <c r="C31" s="276" t="n"/>
      <c r="D31" s="276" t="n"/>
      <c r="E31" s="276" t="n"/>
      <c r="F31" s="277" t="n"/>
    </row>
    <row r="32">
      <c r="A32" s="275" t="n"/>
      <c r="B32" s="276" t="n"/>
      <c r="C32" s="276" t="n"/>
      <c r="D32" s="276" t="n"/>
      <c r="E32" s="276" t="n"/>
      <c r="F32" s="277" t="n"/>
    </row>
    <row r="33">
      <c r="A33" s="275" t="n"/>
      <c r="B33" s="276" t="n"/>
      <c r="C33" s="276" t="n"/>
      <c r="D33" s="276" t="n"/>
      <c r="E33" s="276" t="n"/>
      <c r="F33" s="277" t="n"/>
    </row>
    <row r="34">
      <c r="A34" s="275" t="n"/>
      <c r="B34" s="276" t="n"/>
      <c r="C34" s="276" t="n"/>
      <c r="D34" s="276" t="n"/>
      <c r="E34" s="276" t="n"/>
      <c r="F34" s="277" t="n"/>
    </row>
    <row r="35">
      <c r="A35" s="275" t="n"/>
      <c r="B35" s="276" t="n"/>
      <c r="C35" s="276" t="n"/>
      <c r="D35" s="276" t="n"/>
      <c r="E35" s="276" t="n"/>
      <c r="F35" s="277" t="n"/>
    </row>
    <row r="36">
      <c r="A36" s="275" t="n"/>
      <c r="B36" s="276" t="n"/>
      <c r="C36" s="276" t="n"/>
      <c r="D36" s="276" t="n"/>
      <c r="E36" s="276" t="n"/>
      <c r="F36" s="277" t="n"/>
    </row>
    <row r="37">
      <c r="A37" s="275" t="n"/>
      <c r="B37" s="276" t="n"/>
      <c r="C37" s="276" t="n"/>
      <c r="D37" s="276" t="n"/>
      <c r="E37" s="276" t="n"/>
      <c r="F37" s="277" t="n"/>
    </row>
    <row r="38">
      <c r="A38" s="275" t="n"/>
      <c r="B38" s="276" t="n"/>
      <c r="C38" s="276" t="n"/>
      <c r="D38" s="276" t="n"/>
      <c r="E38" s="276" t="n"/>
      <c r="F38" s="277" t="n"/>
    </row>
    <row r="39">
      <c r="A39" s="275" t="n"/>
      <c r="B39" s="276" t="n"/>
      <c r="C39" s="276" t="n"/>
      <c r="D39" s="276" t="n"/>
      <c r="E39" s="276" t="n"/>
      <c r="F39" s="277" t="n"/>
    </row>
    <row r="40">
      <c r="A40" s="278" t="n"/>
      <c r="B40" s="279" t="n"/>
      <c r="C40" s="279" t="n"/>
      <c r="D40" s="279" t="n"/>
      <c r="E40" s="279" t="n"/>
      <c r="F40" s="280" t="n"/>
    </row>
  </sheetData>
  <mergeCells count="3">
    <mergeCell ref="A2:L2"/>
    <mergeCell ref="A1:L1"/>
    <mergeCell ref="A5:L5"/>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60"/>
  <sheetViews>
    <sheetView showGridLines="0" workbookViewId="0">
      <selection activeCell="A1" sqref="A1"/>
    </sheetView>
  </sheetViews>
  <sheetFormatPr baseColWidth="8" defaultRowHeight="15"/>
  <sheetData>
    <row r="1" ht="27" customHeight="1" s="242">
      <c r="A1" s="390" t="inlineStr">
        <is>
          <t>15 — Tail-Risk Metrics</t>
        </is>
      </c>
    </row>
    <row r="2" ht="34" customHeight="1" s="242">
      <c r="A2" s="247" t="inlineStr">
        <is>
          <t>Annual aggregate and occurrence loss metrics for both reporting bases.</t>
        </is>
      </c>
    </row>
    <row r="5">
      <c r="A5" s="333" t="inlineStr">
        <is>
          <t>ENGINE OUTPUT — do not edit. Run the Python engine after changing inputs or sector packs.</t>
        </is>
      </c>
    </row>
    <row r="15">
      <c r="A15" s="235" t="inlineStr">
        <is>
          <t>Metric</t>
        </is>
      </c>
      <c r="B15" s="236" t="inlineStr">
        <is>
          <t>Best Estimate</t>
        </is>
      </c>
      <c r="C15" s="236" t="inlineStr">
        <is>
          <t>Prudent</t>
        </is>
      </c>
      <c r="D15" s="236" t="inlineStr">
        <is>
          <t>Definition</t>
        </is>
      </c>
      <c r="E15" s="273" t="n"/>
      <c r="F15" s="273" t="n"/>
      <c r="G15" s="273" t="n"/>
      <c r="H15" s="273" t="n"/>
      <c r="I15" s="273" t="n"/>
      <c r="J15" s="274" t="n"/>
    </row>
    <row r="16">
      <c r="A16" s="275" t="inlineStr">
        <is>
          <t>AAL</t>
        </is>
      </c>
      <c r="B16" s="276" t="n">
        <v>1059877.254455533</v>
      </c>
      <c r="C16" s="276" t="n">
        <v>1311679.360640564</v>
      </c>
      <c r="D16" s="276" t="inlineStr">
        <is>
          <t>Mean annual aggregate loss</t>
        </is>
      </c>
      <c r="E16" s="276" t="n"/>
      <c r="F16" s="276" t="n"/>
      <c r="G16" s="276" t="n"/>
      <c r="H16" s="276" t="n"/>
      <c r="I16" s="276" t="n"/>
      <c r="J16" s="277" t="n"/>
    </row>
    <row r="17">
      <c r="A17" s="275" t="inlineStr">
        <is>
          <t>VaR 95%</t>
        </is>
      </c>
      <c r="B17" s="276" t="n">
        <v>5487402.480652438</v>
      </c>
      <c r="C17" s="276" t="n">
        <v>7125947.960562246</v>
      </c>
      <c r="D17" s="276" t="inlineStr">
        <is>
          <t>95th percentile</t>
        </is>
      </c>
      <c r="E17" s="276" t="n"/>
      <c r="F17" s="276" t="n"/>
      <c r="G17" s="276" t="n"/>
      <c r="H17" s="276" t="n"/>
      <c r="I17" s="276" t="n"/>
      <c r="J17" s="277" t="n"/>
    </row>
    <row r="18">
      <c r="A18" s="275" t="inlineStr">
        <is>
          <t>TVaR 95%</t>
        </is>
      </c>
      <c r="B18" s="276" t="n">
        <v>18021076.13779292</v>
      </c>
      <c r="C18" s="276" t="n">
        <v>20885314.89666507</v>
      </c>
      <c r="D18" s="276" t="inlineStr">
        <is>
          <t>Exact mean of the worst 5% of annual outcomes</t>
        </is>
      </c>
      <c r="E18" s="276" t="n"/>
      <c r="F18" s="276" t="n"/>
      <c r="G18" s="276" t="n"/>
      <c r="H18" s="276" t="n"/>
      <c r="I18" s="276" t="n"/>
      <c r="J18" s="277" t="n"/>
    </row>
    <row r="19">
      <c r="A19" s="275" t="inlineStr">
        <is>
          <t>VaR 99%</t>
        </is>
      </c>
      <c r="B19" s="276" t="n">
        <v>22824448.16996593</v>
      </c>
      <c r="C19" s="276" t="n">
        <v>26218158.96702391</v>
      </c>
      <c r="D19" s="276" t="inlineStr">
        <is>
          <t>99th percentile</t>
        </is>
      </c>
      <c r="E19" s="276" t="n"/>
      <c r="F19" s="276" t="n"/>
      <c r="G19" s="276" t="n"/>
      <c r="H19" s="276" t="n"/>
      <c r="I19" s="276" t="n"/>
      <c r="J19" s="277" t="n"/>
    </row>
    <row r="20">
      <c r="A20" s="275" t="inlineStr">
        <is>
          <t>TVaR 99%</t>
        </is>
      </c>
      <c r="B20" s="276" t="n">
        <v>46179340.41586891</v>
      </c>
      <c r="C20" s="276" t="n">
        <v>51675144.84348448</v>
      </c>
      <c r="D20" s="276" t="inlineStr">
        <is>
          <t>Exact mean of the worst 1% of annual outcomes</t>
        </is>
      </c>
      <c r="E20" s="276" t="n"/>
      <c r="F20" s="276" t="n"/>
      <c r="G20" s="276" t="n"/>
      <c r="H20" s="276" t="n"/>
      <c r="I20" s="276" t="n"/>
      <c r="J20" s="277" t="n"/>
    </row>
    <row r="21">
      <c r="A21" s="275" t="inlineStr">
        <is>
          <t>P(any event)</t>
        </is>
      </c>
      <c r="B21" s="276" t="n">
        <v>0.114878</v>
      </c>
      <c r="C21" s="276" t="n">
        <v>0.140772</v>
      </c>
      <c r="D21" s="276" t="inlineStr">
        <is>
          <t>Positive-loss year share</t>
        </is>
      </c>
      <c r="E21" s="276" t="n"/>
      <c r="F21" s="276" t="n"/>
      <c r="G21" s="276" t="n"/>
      <c r="H21" s="276" t="n"/>
      <c r="I21" s="276" t="n"/>
      <c r="J21" s="277" t="n"/>
    </row>
    <row r="22">
      <c r="A22" s="275" t="n"/>
      <c r="B22" s="276" t="n"/>
      <c r="C22" s="276" t="n"/>
      <c r="D22" s="276" t="n"/>
      <c r="E22" s="276" t="n"/>
      <c r="F22" s="276" t="n"/>
      <c r="G22" s="276" t="n"/>
      <c r="H22" s="276" t="n"/>
      <c r="I22" s="276" t="n"/>
      <c r="J22" s="277" t="n"/>
    </row>
    <row r="23">
      <c r="A23" s="275" t="n"/>
      <c r="B23" s="276" t="n"/>
      <c r="C23" s="276" t="n"/>
      <c r="D23" s="276" t="n"/>
      <c r="E23" s="276" t="n"/>
      <c r="F23" s="276" t="n"/>
      <c r="G23" s="276" t="n"/>
      <c r="H23" s="276" t="n"/>
      <c r="I23" s="276" t="n"/>
      <c r="J23" s="277" t="n"/>
    </row>
    <row r="24">
      <c r="A24" s="275" t="n"/>
      <c r="B24" s="276" t="n"/>
      <c r="C24" s="276" t="n"/>
      <c r="D24" s="276" t="n"/>
      <c r="E24" s="276" t="n"/>
      <c r="F24" s="276" t="n"/>
      <c r="G24" s="276" t="n"/>
      <c r="H24" s="276" t="n"/>
      <c r="I24" s="276" t="n"/>
      <c r="J24" s="277" t="n"/>
    </row>
    <row r="25">
      <c r="A25" s="275" t="n"/>
      <c r="B25" s="276" t="n"/>
      <c r="C25" s="276" t="n"/>
      <c r="D25" s="276" t="n"/>
      <c r="E25" s="276" t="n"/>
      <c r="F25" s="276" t="n"/>
      <c r="G25" s="276" t="n"/>
      <c r="H25" s="276" t="n"/>
      <c r="I25" s="276" t="n"/>
      <c r="J25" s="277" t="n"/>
    </row>
    <row r="26">
      <c r="A26" s="275" t="n"/>
      <c r="B26" s="276" t="n"/>
      <c r="C26" s="276" t="n"/>
      <c r="D26" s="276" t="n"/>
      <c r="E26" s="276" t="n"/>
      <c r="F26" s="276" t="n"/>
      <c r="G26" s="276" t="n"/>
      <c r="H26" s="276" t="n"/>
      <c r="I26" s="276" t="n"/>
      <c r="J26" s="277" t="n"/>
    </row>
    <row r="27">
      <c r="A27" s="275" t="n"/>
      <c r="B27" s="276" t="n"/>
      <c r="C27" s="276" t="n"/>
      <c r="D27" s="276" t="n"/>
      <c r="E27" s="276" t="n"/>
      <c r="F27" s="276" t="n"/>
      <c r="G27" s="276" t="n"/>
      <c r="H27" s="276" t="n"/>
      <c r="I27" s="276" t="n"/>
      <c r="J27" s="277" t="n"/>
    </row>
    <row r="28">
      <c r="A28" s="275" t="n"/>
      <c r="B28" s="276" t="n"/>
      <c r="C28" s="276" t="n"/>
      <c r="D28" s="276" t="n"/>
      <c r="E28" s="276" t="n"/>
      <c r="F28" s="276" t="n"/>
      <c r="G28" s="276" t="n"/>
      <c r="H28" s="276" t="n"/>
      <c r="I28" s="276" t="n"/>
      <c r="J28" s="277" t="n"/>
    </row>
    <row r="29">
      <c r="A29" s="275" t="n"/>
      <c r="B29" s="276" t="n"/>
      <c r="C29" s="276" t="n"/>
      <c r="D29" s="276" t="n"/>
      <c r="E29" s="276" t="n"/>
      <c r="F29" s="276" t="n"/>
      <c r="G29" s="276" t="n"/>
      <c r="H29" s="276" t="n"/>
      <c r="I29" s="276" t="n"/>
      <c r="J29" s="277" t="n"/>
    </row>
    <row r="30">
      <c r="A30" s="275" t="n"/>
      <c r="B30" s="276" t="n"/>
      <c r="C30" s="276" t="n"/>
      <c r="D30" s="276" t="n"/>
      <c r="E30" s="276" t="n"/>
      <c r="F30" s="276" t="n"/>
      <c r="G30" s="276" t="n"/>
      <c r="H30" s="276" t="n"/>
      <c r="I30" s="276" t="n"/>
      <c r="J30" s="277" t="n"/>
    </row>
    <row r="31">
      <c r="A31" s="275" t="n"/>
      <c r="B31" s="276" t="n"/>
      <c r="C31" s="276" t="n"/>
      <c r="D31" s="276" t="n"/>
      <c r="E31" s="276" t="n"/>
      <c r="F31" s="276" t="n"/>
      <c r="G31" s="276" t="n"/>
      <c r="H31" s="276" t="n"/>
      <c r="I31" s="276" t="n"/>
      <c r="J31" s="277" t="n"/>
    </row>
    <row r="32">
      <c r="A32" s="275" t="n"/>
      <c r="B32" s="276" t="n"/>
      <c r="C32" s="276" t="n"/>
      <c r="D32" s="276" t="n"/>
      <c r="E32" s="276" t="n"/>
      <c r="F32" s="276" t="n"/>
      <c r="G32" s="276" t="n"/>
      <c r="H32" s="276" t="n"/>
      <c r="I32" s="276" t="n"/>
      <c r="J32" s="277" t="n"/>
    </row>
    <row r="33">
      <c r="A33" s="275" t="n"/>
      <c r="B33" s="276" t="n"/>
      <c r="C33" s="276" t="n"/>
      <c r="D33" s="276" t="n"/>
      <c r="E33" s="276" t="n"/>
      <c r="F33" s="276" t="n"/>
      <c r="G33" s="276" t="n"/>
      <c r="H33" s="276" t="n"/>
      <c r="I33" s="276" t="n"/>
      <c r="J33" s="277" t="n"/>
    </row>
    <row r="34">
      <c r="A34" s="275" t="n"/>
      <c r="B34" s="276" t="n"/>
      <c r="C34" s="276" t="n"/>
      <c r="D34" s="276" t="n"/>
      <c r="E34" s="276" t="n"/>
      <c r="F34" s="276" t="n"/>
      <c r="G34" s="276" t="n"/>
      <c r="H34" s="276" t="n"/>
      <c r="I34" s="276" t="n"/>
      <c r="J34" s="277" t="n"/>
    </row>
    <row r="35">
      <c r="A35" s="275" t="n"/>
      <c r="B35" s="276" t="n"/>
      <c r="C35" s="276" t="n"/>
      <c r="D35" s="276" t="n"/>
      <c r="E35" s="276" t="n"/>
      <c r="F35" s="276" t="n"/>
      <c r="G35" s="276" t="n"/>
      <c r="H35" s="276" t="n"/>
      <c r="I35" s="276" t="n"/>
      <c r="J35" s="277" t="n"/>
    </row>
    <row r="36">
      <c r="A36" s="275" t="n"/>
      <c r="B36" s="276" t="n"/>
      <c r="C36" s="276" t="n"/>
      <c r="D36" s="276" t="n"/>
      <c r="E36" s="276" t="n"/>
      <c r="F36" s="276" t="n"/>
      <c r="G36" s="276" t="n"/>
      <c r="H36" s="276" t="n"/>
      <c r="I36" s="276" t="n"/>
      <c r="J36" s="277" t="n"/>
    </row>
    <row r="37">
      <c r="A37" s="275" t="n"/>
      <c r="B37" s="276" t="n"/>
      <c r="C37" s="276" t="n"/>
      <c r="D37" s="276" t="n"/>
      <c r="E37" s="276" t="n"/>
      <c r="F37" s="276" t="n"/>
      <c r="G37" s="276" t="n"/>
      <c r="H37" s="276" t="n"/>
      <c r="I37" s="276" t="n"/>
      <c r="J37" s="277" t="n"/>
    </row>
    <row r="38">
      <c r="A38" s="275" t="n"/>
      <c r="B38" s="276" t="n"/>
      <c r="C38" s="276" t="n"/>
      <c r="D38" s="276" t="n"/>
      <c r="E38" s="276" t="n"/>
      <c r="F38" s="276" t="n"/>
      <c r="G38" s="276" t="n"/>
      <c r="H38" s="276" t="n"/>
      <c r="I38" s="276" t="n"/>
      <c r="J38" s="277" t="n"/>
    </row>
    <row r="39">
      <c r="A39" s="275" t="n"/>
      <c r="B39" s="276" t="n"/>
      <c r="C39" s="276" t="n"/>
      <c r="D39" s="276" t="n"/>
      <c r="E39" s="276" t="n"/>
      <c r="F39" s="276" t="n"/>
      <c r="G39" s="276" t="n"/>
      <c r="H39" s="276" t="n"/>
      <c r="I39" s="276" t="n"/>
      <c r="J39" s="277" t="n"/>
    </row>
    <row r="40">
      <c r="A40" s="275" t="n"/>
      <c r="B40" s="276" t="n"/>
      <c r="C40" s="276" t="n"/>
      <c r="D40" s="276" t="n"/>
      <c r="E40" s="276" t="n"/>
      <c r="F40" s="276" t="n"/>
      <c r="G40" s="276" t="n"/>
      <c r="H40" s="276" t="n"/>
      <c r="I40" s="276" t="n"/>
      <c r="J40" s="277" t="n"/>
    </row>
    <row r="41">
      <c r="A41" s="275" t="n"/>
      <c r="B41" s="276" t="n"/>
      <c r="C41" s="276" t="n"/>
      <c r="D41" s="276" t="n"/>
      <c r="E41" s="276" t="n"/>
      <c r="F41" s="276" t="n"/>
      <c r="G41" s="276" t="n"/>
      <c r="H41" s="276" t="n"/>
      <c r="I41" s="276" t="n"/>
      <c r="J41" s="277" t="n"/>
    </row>
    <row r="42">
      <c r="A42" s="275" t="n"/>
      <c r="B42" s="276" t="n"/>
      <c r="C42" s="276" t="n"/>
      <c r="D42" s="276" t="n"/>
      <c r="E42" s="276" t="n"/>
      <c r="F42" s="276" t="n"/>
      <c r="G42" s="276" t="n"/>
      <c r="H42" s="276" t="n"/>
      <c r="I42" s="276" t="n"/>
      <c r="J42" s="277" t="n"/>
    </row>
    <row r="43">
      <c r="A43" s="275" t="n"/>
      <c r="B43" s="276" t="n"/>
      <c r="C43" s="276" t="n"/>
      <c r="D43" s="276" t="n"/>
      <c r="E43" s="276" t="n"/>
      <c r="F43" s="276" t="n"/>
      <c r="G43" s="276" t="n"/>
      <c r="H43" s="276" t="n"/>
      <c r="I43" s="276" t="n"/>
      <c r="J43" s="277" t="n"/>
    </row>
    <row r="44">
      <c r="A44" s="275" t="n"/>
      <c r="B44" s="276" t="n"/>
      <c r="C44" s="276" t="n"/>
      <c r="D44" s="276" t="n"/>
      <c r="E44" s="276" t="n"/>
      <c r="F44" s="276" t="n"/>
      <c r="G44" s="276" t="n"/>
      <c r="H44" s="276" t="n"/>
      <c r="I44" s="276" t="n"/>
      <c r="J44" s="277" t="n"/>
    </row>
    <row r="45">
      <c r="A45" s="275" t="n"/>
      <c r="B45" s="276" t="n"/>
      <c r="C45" s="276" t="n"/>
      <c r="D45" s="276" t="n"/>
      <c r="E45" s="276" t="n"/>
      <c r="F45" s="276" t="n"/>
      <c r="G45" s="276" t="n"/>
      <c r="H45" s="276" t="n"/>
      <c r="I45" s="276" t="n"/>
      <c r="J45" s="277" t="n"/>
    </row>
    <row r="46">
      <c r="A46" s="275" t="n"/>
      <c r="B46" s="276" t="n"/>
      <c r="C46" s="276" t="n"/>
      <c r="D46" s="276" t="n"/>
      <c r="E46" s="276" t="n"/>
      <c r="F46" s="276" t="n"/>
      <c r="G46" s="276" t="n"/>
      <c r="H46" s="276" t="n"/>
      <c r="I46" s="276" t="n"/>
      <c r="J46" s="277" t="n"/>
    </row>
    <row r="47">
      <c r="A47" s="275" t="n"/>
      <c r="B47" s="276" t="n"/>
      <c r="C47" s="276" t="n"/>
      <c r="D47" s="276" t="n"/>
      <c r="E47" s="276" t="n"/>
      <c r="F47" s="276" t="n"/>
      <c r="G47" s="276" t="n"/>
      <c r="H47" s="276" t="n"/>
      <c r="I47" s="276" t="n"/>
      <c r="J47" s="277" t="n"/>
    </row>
    <row r="48">
      <c r="A48" s="275" t="n"/>
      <c r="B48" s="276" t="n"/>
      <c r="C48" s="276" t="n"/>
      <c r="D48" s="276" t="n"/>
      <c r="E48" s="276" t="n"/>
      <c r="F48" s="276" t="n"/>
      <c r="G48" s="276" t="n"/>
      <c r="H48" s="276" t="n"/>
      <c r="I48" s="276" t="n"/>
      <c r="J48" s="277" t="n"/>
    </row>
    <row r="49">
      <c r="A49" s="275" t="n"/>
      <c r="B49" s="276" t="n"/>
      <c r="C49" s="276" t="n"/>
      <c r="D49" s="276" t="n"/>
      <c r="E49" s="276" t="n"/>
      <c r="F49" s="276" t="n"/>
      <c r="G49" s="276" t="n"/>
      <c r="H49" s="276" t="n"/>
      <c r="I49" s="276" t="n"/>
      <c r="J49" s="277" t="n"/>
    </row>
    <row r="50">
      <c r="A50" s="275" t="n"/>
      <c r="B50" s="276" t="n"/>
      <c r="C50" s="276" t="n"/>
      <c r="D50" s="276" t="n"/>
      <c r="E50" s="276" t="n"/>
      <c r="F50" s="276" t="n"/>
      <c r="G50" s="276" t="n"/>
      <c r="H50" s="276" t="n"/>
      <c r="I50" s="276" t="n"/>
      <c r="J50" s="277" t="n"/>
    </row>
    <row r="51">
      <c r="A51" s="275" t="n"/>
      <c r="B51" s="276" t="n"/>
      <c r="C51" s="276" t="n"/>
      <c r="D51" s="276" t="n"/>
      <c r="E51" s="276" t="n"/>
      <c r="F51" s="276" t="n"/>
      <c r="G51" s="276" t="n"/>
      <c r="H51" s="276" t="n"/>
      <c r="I51" s="276" t="n"/>
      <c r="J51" s="277" t="n"/>
    </row>
    <row r="52">
      <c r="A52" s="275" t="n"/>
      <c r="B52" s="276" t="n"/>
      <c r="C52" s="276" t="n"/>
      <c r="D52" s="276" t="n"/>
      <c r="E52" s="276" t="n"/>
      <c r="F52" s="276" t="n"/>
      <c r="G52" s="276" t="n"/>
      <c r="H52" s="276" t="n"/>
      <c r="I52" s="276" t="n"/>
      <c r="J52" s="277" t="n"/>
    </row>
    <row r="53">
      <c r="A53" s="275" t="n"/>
      <c r="B53" s="276" t="n"/>
      <c r="C53" s="276" t="n"/>
      <c r="D53" s="276" t="n"/>
      <c r="E53" s="276" t="n"/>
      <c r="F53" s="276" t="n"/>
      <c r="G53" s="276" t="n"/>
      <c r="H53" s="276" t="n"/>
      <c r="I53" s="276" t="n"/>
      <c r="J53" s="277" t="n"/>
    </row>
    <row r="54">
      <c r="A54" s="275" t="n"/>
      <c r="B54" s="276" t="n"/>
      <c r="C54" s="276" t="n"/>
      <c r="D54" s="276" t="n"/>
      <c r="E54" s="276" t="n"/>
      <c r="F54" s="276" t="n"/>
      <c r="G54" s="276" t="n"/>
      <c r="H54" s="276" t="n"/>
      <c r="I54" s="276" t="n"/>
      <c r="J54" s="277" t="n"/>
    </row>
    <row r="55">
      <c r="A55" s="275" t="n"/>
      <c r="B55" s="276" t="n"/>
      <c r="C55" s="276" t="n"/>
      <c r="D55" s="276" t="n"/>
      <c r="E55" s="276" t="n"/>
      <c r="F55" s="276" t="n"/>
      <c r="G55" s="276" t="n"/>
      <c r="H55" s="276" t="n"/>
      <c r="I55" s="276" t="n"/>
      <c r="J55" s="277" t="n"/>
    </row>
    <row r="56">
      <c r="A56" s="275" t="n"/>
      <c r="B56" s="276" t="n"/>
      <c r="C56" s="276" t="n"/>
      <c r="D56" s="276" t="n"/>
      <c r="E56" s="276" t="n"/>
      <c r="F56" s="276" t="n"/>
      <c r="G56" s="276" t="n"/>
      <c r="H56" s="276" t="n"/>
      <c r="I56" s="276" t="n"/>
      <c r="J56" s="277" t="n"/>
    </row>
    <row r="57">
      <c r="A57" s="275" t="n"/>
      <c r="B57" s="276" t="n"/>
      <c r="C57" s="276" t="n"/>
      <c r="D57" s="276" t="n"/>
      <c r="E57" s="276" t="n"/>
      <c r="F57" s="276" t="n"/>
      <c r="G57" s="276" t="n"/>
      <c r="H57" s="276" t="n"/>
      <c r="I57" s="276" t="n"/>
      <c r="J57" s="277" t="n"/>
    </row>
    <row r="58">
      <c r="A58" s="275" t="n"/>
      <c r="B58" s="276" t="n"/>
      <c r="C58" s="276" t="n"/>
      <c r="D58" s="276" t="n"/>
      <c r="E58" s="276" t="n"/>
      <c r="F58" s="276" t="n"/>
      <c r="G58" s="276" t="n"/>
      <c r="H58" s="276" t="n"/>
      <c r="I58" s="276" t="n"/>
      <c r="J58" s="277" t="n"/>
    </row>
    <row r="59">
      <c r="A59" s="275" t="n"/>
      <c r="B59" s="276" t="n"/>
      <c r="C59" s="276" t="n"/>
      <c r="D59" s="276" t="n"/>
      <c r="E59" s="276" t="n"/>
      <c r="F59" s="276" t="n"/>
      <c r="G59" s="276" t="n"/>
      <c r="H59" s="276" t="n"/>
      <c r="I59" s="276" t="n"/>
      <c r="J59" s="277" t="n"/>
    </row>
    <row r="60">
      <c r="A60" s="278" t="n"/>
      <c r="B60" s="279" t="n"/>
      <c r="C60" s="279" t="n"/>
      <c r="D60" s="279" t="n"/>
      <c r="E60" s="279" t="n"/>
      <c r="F60" s="279" t="n"/>
      <c r="G60" s="279" t="n"/>
      <c r="H60" s="279" t="n"/>
      <c r="I60" s="279" t="n"/>
      <c r="J60" s="280" t="n"/>
    </row>
  </sheetData>
  <mergeCells count="3">
    <mergeCell ref="A2:L2"/>
    <mergeCell ref="A1:L1"/>
    <mergeCell ref="A5:L5"/>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L80"/>
  <sheetViews>
    <sheetView showGridLines="0" workbookViewId="0">
      <selection activeCell="A1" sqref="A1"/>
    </sheetView>
  </sheetViews>
  <sheetFormatPr baseColWidth="8" defaultRowHeight="15"/>
  <sheetData>
    <row r="1" ht="27" customHeight="1" s="242">
      <c r="A1" s="390" t="inlineStr">
        <is>
          <t>16 — Control What-If</t>
        </is>
      </c>
    </row>
    <row r="2" ht="34" customHeight="1" s="242">
      <c r="A2" s="247" t="inlineStr">
        <is>
          <t>One-level maturity uplift using the same reference-relative attack-path method.</t>
        </is>
      </c>
    </row>
    <row r="5">
      <c r="A5" s="333" t="inlineStr">
        <is>
          <t>ENGINE OUTPUT — do not edit. Run the Python engine after changing inputs or sector packs.</t>
        </is>
      </c>
    </row>
    <row r="15">
      <c r="A15" s="235" t="inlineStr">
        <is>
          <t>Control ID</t>
        </is>
      </c>
      <c r="B15" s="236" t="inlineStr">
        <is>
          <t>Control family</t>
        </is>
      </c>
      <c r="C15" s="236" t="inlineStr">
        <is>
          <t>Current maturity</t>
        </is>
      </c>
      <c r="D15" s="236" t="inlineStr">
        <is>
          <t>What-if maturity</t>
        </is>
      </c>
      <c r="E15" s="236" t="inlineStr">
        <is>
          <t>Analytic current AAL</t>
        </is>
      </c>
      <c r="F15" s="236" t="inlineStr">
        <is>
          <t>Analytic what-if AAL</t>
        </is>
      </c>
      <c r="G15" s="236" t="inlineStr">
        <is>
          <t>AAL reduction</t>
        </is>
      </c>
      <c r="H15" s="236" t="inlineStr">
        <is>
          <t>Reduction %</t>
        </is>
      </c>
      <c r="I15" s="236" t="inlineStr">
        <is>
          <t>Method</t>
        </is>
      </c>
      <c r="J15" s="237" t="inlineStr">
        <is>
          <t>View</t>
        </is>
      </c>
    </row>
    <row r="16">
      <c r="A16" s="275" t="inlineStr">
        <is>
          <t>C03</t>
        </is>
      </c>
      <c r="B16" s="276" t="inlineStr">
        <is>
          <t>Privileged access management</t>
        </is>
      </c>
      <c r="C16" s="276" t="inlineStr">
        <is>
          <t>Developing</t>
        </is>
      </c>
      <c r="D16" s="276" t="inlineStr">
        <is>
          <t>Managed</t>
        </is>
      </c>
      <c r="E16" s="276" t="n">
        <v>1308717.568109714</v>
      </c>
      <c r="F16" s="276" t="n">
        <v>1200150.233771676</v>
      </c>
      <c r="G16" s="276" t="n">
        <v>108567.3343380382</v>
      </c>
      <c r="H16" s="276" t="n">
        <v>0.08295703900028693</v>
      </c>
      <c r="I16" s="276" t="inlineStr">
        <is>
          <t>One-level uplift</t>
        </is>
      </c>
      <c r="J16" s="277" t="inlineStr">
        <is>
          <t>Prudent</t>
        </is>
      </c>
    </row>
    <row r="17">
      <c r="A17" s="275" t="inlineStr">
        <is>
          <t>C13</t>
        </is>
      </c>
      <c r="B17" s="276" t="inlineStr">
        <is>
          <t>DDoS protection and service resilience</t>
        </is>
      </c>
      <c r="C17" s="276" t="inlineStr">
        <is>
          <t>Developing</t>
        </is>
      </c>
      <c r="D17" s="276" t="inlineStr">
        <is>
          <t>Managed</t>
        </is>
      </c>
      <c r="E17" s="276" t="n">
        <v>1308717.568109714</v>
      </c>
      <c r="F17" s="276" t="n">
        <v>1214101.664743152</v>
      </c>
      <c r="G17" s="276" t="n">
        <v>94615.90336656268</v>
      </c>
      <c r="H17" s="276" t="n">
        <v>0.07229665565139774</v>
      </c>
      <c r="I17" s="276" t="inlineStr">
        <is>
          <t>One-level uplift</t>
        </is>
      </c>
      <c r="J17" s="277" t="inlineStr">
        <is>
          <t>Prudent</t>
        </is>
      </c>
    </row>
    <row r="18">
      <c r="A18" s="275" t="inlineStr">
        <is>
          <t>C15</t>
        </is>
      </c>
      <c r="B18" s="276" t="inlineStr">
        <is>
          <t>Payment and fraud controls</t>
        </is>
      </c>
      <c r="C18" s="276" t="inlineStr">
        <is>
          <t>Developing</t>
        </is>
      </c>
      <c r="D18" s="276" t="inlineStr">
        <is>
          <t>Managed</t>
        </is>
      </c>
      <c r="E18" s="276" t="n">
        <v>1308717.568109714</v>
      </c>
      <c r="F18" s="276" t="n">
        <v>1228605.390562024</v>
      </c>
      <c r="G18" s="276" t="n">
        <v>80112.17754769069</v>
      </c>
      <c r="H18" s="276" t="n">
        <v>0.06121426005108431</v>
      </c>
      <c r="I18" s="276" t="inlineStr">
        <is>
          <t>One-level uplift</t>
        </is>
      </c>
      <c r="J18" s="277" t="inlineStr">
        <is>
          <t>Prudent</t>
        </is>
      </c>
    </row>
    <row r="19">
      <c r="A19" s="275" t="inlineStr">
        <is>
          <t>C11</t>
        </is>
      </c>
      <c r="B19" s="276" t="inlineStr">
        <is>
          <t>Data protection and DLP</t>
        </is>
      </c>
      <c r="C19" s="276" t="inlineStr">
        <is>
          <t>Developing</t>
        </is>
      </c>
      <c r="D19" s="276" t="inlineStr">
        <is>
          <t>Managed</t>
        </is>
      </c>
      <c r="E19" s="276" t="n">
        <v>1308717.568109714</v>
      </c>
      <c r="F19" s="276" t="n">
        <v>1232570.974224569</v>
      </c>
      <c r="G19" s="276" t="n">
        <v>76146.59388514492</v>
      </c>
      <c r="H19" s="276" t="n">
        <v>0.05818413058757173</v>
      </c>
      <c r="I19" s="276" t="inlineStr">
        <is>
          <t>One-level uplift</t>
        </is>
      </c>
      <c r="J19" s="277" t="inlineStr">
        <is>
          <t>Prudent</t>
        </is>
      </c>
    </row>
    <row r="20">
      <c r="A20" s="275" t="inlineStr">
        <is>
          <t>C02</t>
        </is>
      </c>
      <c r="B20" s="276" t="inlineStr">
        <is>
          <t>Identity, authentication and MFA</t>
        </is>
      </c>
      <c r="C20" s="276" t="inlineStr">
        <is>
          <t>Developing</t>
        </is>
      </c>
      <c r="D20" s="276" t="inlineStr">
        <is>
          <t>Managed</t>
        </is>
      </c>
      <c r="E20" s="276" t="n">
        <v>1308717.568109714</v>
      </c>
      <c r="F20" s="276" t="n">
        <v>1236947.178422538</v>
      </c>
      <c r="G20" s="276" t="n">
        <v>71770.38968717586</v>
      </c>
      <c r="H20" s="276" t="n">
        <v>0.0548402431785489</v>
      </c>
      <c r="I20" s="276" t="inlineStr">
        <is>
          <t>One-level uplift</t>
        </is>
      </c>
      <c r="J20" s="277" t="inlineStr">
        <is>
          <t>Prudent</t>
        </is>
      </c>
    </row>
    <row r="21">
      <c r="A21" s="275" t="inlineStr">
        <is>
          <t>C08</t>
        </is>
      </c>
      <c r="B21" s="276" t="inlineStr">
        <is>
          <t>Cloud and SaaS security</t>
        </is>
      </c>
      <c r="C21" s="276" t="inlineStr">
        <is>
          <t>Developing</t>
        </is>
      </c>
      <c r="D21" s="276" t="inlineStr">
        <is>
          <t>Managed</t>
        </is>
      </c>
      <c r="E21" s="276" t="n">
        <v>1308717.568109714</v>
      </c>
      <c r="F21" s="276" t="n">
        <v>1244828.973392778</v>
      </c>
      <c r="G21" s="276" t="n">
        <v>63888.59471693612</v>
      </c>
      <c r="H21" s="276" t="n">
        <v>0.04881771000385939</v>
      </c>
      <c r="I21" s="276" t="inlineStr">
        <is>
          <t>One-level uplift</t>
        </is>
      </c>
      <c r="J21" s="277" t="inlineStr">
        <is>
          <t>Prudent</t>
        </is>
      </c>
    </row>
    <row r="22">
      <c r="A22" s="275" t="inlineStr">
        <is>
          <t>C10</t>
        </is>
      </c>
      <c r="B22" s="276" t="inlineStr">
        <is>
          <t>Logging, detection and threat response</t>
        </is>
      </c>
      <c r="C22" s="276" t="inlineStr">
        <is>
          <t>Developing</t>
        </is>
      </c>
      <c r="D22" s="276" t="inlineStr">
        <is>
          <t>Managed</t>
        </is>
      </c>
      <c r="E22" s="276" t="n">
        <v>1308717.568109714</v>
      </c>
      <c r="F22" s="276" t="n">
        <v>1260077.024556199</v>
      </c>
      <c r="G22" s="276" t="n">
        <v>48640.5435535151</v>
      </c>
      <c r="H22" s="276" t="n">
        <v>0.0371665703424235</v>
      </c>
      <c r="I22" s="276" t="inlineStr">
        <is>
          <t>One-level uplift</t>
        </is>
      </c>
      <c r="J22" s="277" t="inlineStr">
        <is>
          <t>Prudent</t>
        </is>
      </c>
    </row>
    <row r="23">
      <c r="A23" s="275" t="inlineStr">
        <is>
          <t>C14</t>
        </is>
      </c>
      <c r="B23" s="276" t="inlineStr">
        <is>
          <t>Backup, recovery and crisis management</t>
        </is>
      </c>
      <c r="C23" s="276" t="inlineStr">
        <is>
          <t>Developing</t>
        </is>
      </c>
      <c r="D23" s="276" t="inlineStr">
        <is>
          <t>Managed</t>
        </is>
      </c>
      <c r="E23" s="276" t="n">
        <v>1308717.568109714</v>
      </c>
      <c r="F23" s="276" t="n">
        <v>1268294.694886749</v>
      </c>
      <c r="G23" s="276" t="n">
        <v>40422.87322296505</v>
      </c>
      <c r="H23" s="276" t="n">
        <v>0.03088739251919041</v>
      </c>
      <c r="I23" s="276" t="inlineStr">
        <is>
          <t>One-level uplift</t>
        </is>
      </c>
      <c r="J23" s="277" t="inlineStr">
        <is>
          <t>Prudent</t>
        </is>
      </c>
    </row>
    <row r="24">
      <c r="A24" s="275" t="inlineStr">
        <is>
          <t>C05</t>
        </is>
      </c>
      <c r="B24" s="276" t="inlineStr">
        <is>
          <t>Endpoint protection and execution control</t>
        </is>
      </c>
      <c r="C24" s="276" t="inlineStr">
        <is>
          <t>Developing</t>
        </is>
      </c>
      <c r="D24" s="276" t="inlineStr">
        <is>
          <t>Managed</t>
        </is>
      </c>
      <c r="E24" s="276" t="n">
        <v>1308717.568109714</v>
      </c>
      <c r="F24" s="276" t="n">
        <v>1280563.657155061</v>
      </c>
      <c r="G24" s="276" t="n">
        <v>28153.91095465329</v>
      </c>
      <c r="H24" s="276" t="n">
        <v>0.02151259495608226</v>
      </c>
      <c r="I24" s="276" t="inlineStr">
        <is>
          <t>One-level uplift</t>
        </is>
      </c>
      <c r="J24" s="277" t="inlineStr">
        <is>
          <t>Prudent</t>
        </is>
      </c>
    </row>
    <row r="25">
      <c r="A25" s="275" t="inlineStr">
        <is>
          <t>C04</t>
        </is>
      </c>
      <c r="B25" s="276" t="inlineStr">
        <is>
          <t>Email, web security and awareness</t>
        </is>
      </c>
      <c r="C25" s="276" t="inlineStr">
        <is>
          <t>Developing</t>
        </is>
      </c>
      <c r="D25" s="276" t="inlineStr">
        <is>
          <t>Managed</t>
        </is>
      </c>
      <c r="E25" s="276" t="n">
        <v>1308717.568109714</v>
      </c>
      <c r="F25" s="276" t="n">
        <v>1283819.995608387</v>
      </c>
      <c r="G25" s="276" t="n">
        <v>24897.57250132691</v>
      </c>
      <c r="H25" s="276" t="n">
        <v>0.01902440458355616</v>
      </c>
      <c r="I25" s="276" t="inlineStr">
        <is>
          <t>One-level uplift</t>
        </is>
      </c>
      <c r="J25" s="277" t="inlineStr">
        <is>
          <t>Prudent</t>
        </is>
      </c>
    </row>
    <row r="26">
      <c r="A26" s="275" t="inlineStr">
        <is>
          <t>C12</t>
        </is>
      </c>
      <c r="B26" s="276" t="inlineStr">
        <is>
          <t>Third-party and supply-chain security</t>
        </is>
      </c>
      <c r="C26" s="276" t="inlineStr">
        <is>
          <t>Developing</t>
        </is>
      </c>
      <c r="D26" s="276" t="inlineStr">
        <is>
          <t>Managed</t>
        </is>
      </c>
      <c r="E26" s="276" t="n">
        <v>1308717.568109714</v>
      </c>
      <c r="F26" s="276" t="n">
        <v>1291144.937516251</v>
      </c>
      <c r="G26" s="276" t="n">
        <v>17572.63059346355</v>
      </c>
      <c r="H26" s="276" t="n">
        <v>0.01342736662337704</v>
      </c>
      <c r="I26" s="276" t="inlineStr">
        <is>
          <t>One-level uplift</t>
        </is>
      </c>
      <c r="J26" s="277" t="inlineStr">
        <is>
          <t>Prudent</t>
        </is>
      </c>
    </row>
    <row r="27">
      <c r="A27" s="275" t="inlineStr">
        <is>
          <t>C09</t>
        </is>
      </c>
      <c r="B27" s="276" t="inlineStr">
        <is>
          <t>Application and API security</t>
        </is>
      </c>
      <c r="C27" s="276" t="inlineStr">
        <is>
          <t>Developing</t>
        </is>
      </c>
      <c r="D27" s="276" t="inlineStr">
        <is>
          <t>Managed</t>
        </is>
      </c>
      <c r="E27" s="276" t="n">
        <v>1308717.568109714</v>
      </c>
      <c r="F27" s="276" t="n">
        <v>1291447.434102037</v>
      </c>
      <c r="G27" s="276" t="n">
        <v>17270.13400767697</v>
      </c>
      <c r="H27" s="276" t="n">
        <v>0.01319622692359942</v>
      </c>
      <c r="I27" s="276" t="inlineStr">
        <is>
          <t>One-level uplift</t>
        </is>
      </c>
      <c r="J27" s="277" t="inlineStr">
        <is>
          <t>Prudent</t>
        </is>
      </c>
    </row>
    <row r="28">
      <c r="A28" s="275" t="inlineStr">
        <is>
          <t>C07</t>
        </is>
      </c>
      <c r="B28" s="276" t="inlineStr">
        <is>
          <t>Network security and segmentation</t>
        </is>
      </c>
      <c r="C28" s="276" t="inlineStr">
        <is>
          <t>Developing</t>
        </is>
      </c>
      <c r="D28" s="276" t="inlineStr">
        <is>
          <t>Managed</t>
        </is>
      </c>
      <c r="E28" s="276" t="n">
        <v>1308717.568109714</v>
      </c>
      <c r="F28" s="276" t="n">
        <v>1292784.644611031</v>
      </c>
      <c r="G28" s="276" t="n">
        <v>15932.92349868314</v>
      </c>
      <c r="H28" s="276" t="n">
        <v>0.01217445527356704</v>
      </c>
      <c r="I28" s="276" t="inlineStr">
        <is>
          <t>One-level uplift</t>
        </is>
      </c>
      <c r="J28" s="277" t="inlineStr">
        <is>
          <t>Prudent</t>
        </is>
      </c>
    </row>
    <row r="29">
      <c r="A29" s="275" t="inlineStr">
        <is>
          <t>C06</t>
        </is>
      </c>
      <c r="B29" s="276" t="inlineStr">
        <is>
          <t>Secure configuration and patching</t>
        </is>
      </c>
      <c r="C29" s="276" t="inlineStr">
        <is>
          <t>Developing</t>
        </is>
      </c>
      <c r="D29" s="276" t="inlineStr">
        <is>
          <t>Managed</t>
        </is>
      </c>
      <c r="E29" s="276" t="n">
        <v>1308717.568109714</v>
      </c>
      <c r="F29" s="276" t="n">
        <v>1295305.877713883</v>
      </c>
      <c r="G29" s="276" t="n">
        <v>13411.69039583136</v>
      </c>
      <c r="H29" s="276" t="n">
        <v>0.01024796390194635</v>
      </c>
      <c r="I29" s="276" t="inlineStr">
        <is>
          <t>One-level uplift</t>
        </is>
      </c>
      <c r="J29" s="277" t="inlineStr">
        <is>
          <t>Prudent</t>
        </is>
      </c>
    </row>
    <row r="30">
      <c r="A30" s="275" t="inlineStr">
        <is>
          <t>C01</t>
        </is>
      </c>
      <c r="B30" s="276" t="inlineStr">
        <is>
          <t>Asset and vulnerability management</t>
        </is>
      </c>
      <c r="C30" s="276" t="inlineStr">
        <is>
          <t>Developing</t>
        </is>
      </c>
      <c r="D30" s="276" t="inlineStr">
        <is>
          <t>Managed</t>
        </is>
      </c>
      <c r="E30" s="276" t="n">
        <v>1308717.568109714</v>
      </c>
      <c r="F30" s="276" t="n">
        <v>1307519.293077835</v>
      </c>
      <c r="G30" s="276" t="n">
        <v>1198.275031878846</v>
      </c>
      <c r="H30" s="276" t="n">
        <v>0.0009156101064721019</v>
      </c>
      <c r="I30" s="276" t="inlineStr">
        <is>
          <t>One-level uplift</t>
        </is>
      </c>
      <c r="J30" s="277" t="inlineStr">
        <is>
          <t>Prudent</t>
        </is>
      </c>
    </row>
    <row r="31">
      <c r="A31" s="275" t="n"/>
      <c r="B31" s="276" t="n"/>
      <c r="C31" s="276" t="n"/>
      <c r="D31" s="276" t="n"/>
      <c r="E31" s="276" t="n"/>
      <c r="F31" s="276" t="n"/>
      <c r="G31" s="276" t="n"/>
      <c r="H31" s="276" t="n"/>
      <c r="I31" s="276" t="n"/>
      <c r="J31" s="277" t="n"/>
    </row>
    <row r="32">
      <c r="A32" s="275" t="n"/>
      <c r="B32" s="276" t="n"/>
      <c r="C32" s="276" t="n"/>
      <c r="D32" s="276" t="n"/>
      <c r="E32" s="276" t="n"/>
      <c r="F32" s="276" t="n"/>
      <c r="G32" s="276" t="n"/>
      <c r="H32" s="276" t="n"/>
      <c r="I32" s="276" t="n"/>
      <c r="J32" s="277" t="n"/>
    </row>
    <row r="33">
      <c r="A33" s="275" t="n"/>
      <c r="B33" s="276" t="n"/>
      <c r="C33" s="276" t="n"/>
      <c r="D33" s="276" t="n"/>
      <c r="E33" s="276" t="n"/>
      <c r="F33" s="276" t="n"/>
      <c r="G33" s="276" t="n"/>
      <c r="H33" s="276" t="n"/>
      <c r="I33" s="276" t="n"/>
      <c r="J33" s="277" t="n"/>
    </row>
    <row r="34">
      <c r="A34" s="275" t="n"/>
      <c r="B34" s="276" t="n"/>
      <c r="C34" s="276" t="n"/>
      <c r="D34" s="276" t="n"/>
      <c r="E34" s="276" t="n"/>
      <c r="F34" s="276" t="n"/>
      <c r="G34" s="276" t="n"/>
      <c r="H34" s="276" t="n"/>
      <c r="I34" s="276" t="n"/>
      <c r="J34" s="277" t="n"/>
    </row>
    <row r="35">
      <c r="A35" s="275" t="n"/>
      <c r="B35" s="276" t="n"/>
      <c r="C35" s="276" t="n"/>
      <c r="D35" s="276" t="n"/>
      <c r="E35" s="276" t="n"/>
      <c r="F35" s="276" t="n"/>
      <c r="G35" s="276" t="n"/>
      <c r="H35" s="276" t="n"/>
      <c r="I35" s="276" t="n"/>
      <c r="J35" s="277" t="n"/>
    </row>
    <row r="36">
      <c r="A36" s="275" t="n"/>
      <c r="B36" s="276" t="n"/>
      <c r="C36" s="276" t="n"/>
      <c r="D36" s="276" t="n"/>
      <c r="E36" s="276" t="n"/>
      <c r="F36" s="276" t="n"/>
      <c r="G36" s="276" t="n"/>
      <c r="H36" s="276" t="n"/>
      <c r="I36" s="276" t="n"/>
      <c r="J36" s="277" t="n"/>
    </row>
    <row r="37">
      <c r="A37" s="275" t="n"/>
      <c r="B37" s="276" t="n"/>
      <c r="C37" s="276" t="n"/>
      <c r="D37" s="276" t="n"/>
      <c r="E37" s="276" t="n"/>
      <c r="F37" s="276" t="n"/>
      <c r="G37" s="276" t="n"/>
      <c r="H37" s="276" t="n"/>
      <c r="I37" s="276" t="n"/>
      <c r="J37" s="277" t="n"/>
    </row>
    <row r="38">
      <c r="A38" s="275" t="n"/>
      <c r="B38" s="276" t="n"/>
      <c r="C38" s="276" t="n"/>
      <c r="D38" s="276" t="n"/>
      <c r="E38" s="276" t="n"/>
      <c r="F38" s="276" t="n"/>
      <c r="G38" s="276" t="n"/>
      <c r="H38" s="276" t="n"/>
      <c r="I38" s="276" t="n"/>
      <c r="J38" s="277" t="n"/>
    </row>
    <row r="39">
      <c r="A39" s="275" t="n"/>
      <c r="B39" s="276" t="n"/>
      <c r="C39" s="276" t="n"/>
      <c r="D39" s="276" t="n"/>
      <c r="E39" s="276" t="n"/>
      <c r="F39" s="276" t="n"/>
      <c r="G39" s="276" t="n"/>
      <c r="H39" s="276" t="n"/>
      <c r="I39" s="276" t="n"/>
      <c r="J39" s="277" t="n"/>
    </row>
    <row r="40">
      <c r="A40" s="275" t="n"/>
      <c r="B40" s="276" t="n"/>
      <c r="C40" s="276" t="n"/>
      <c r="D40" s="276" t="n"/>
      <c r="E40" s="276" t="n"/>
      <c r="F40" s="276" t="n"/>
      <c r="G40" s="276" t="n"/>
      <c r="H40" s="276" t="n"/>
      <c r="I40" s="276" t="n"/>
      <c r="J40" s="277" t="n"/>
    </row>
    <row r="41">
      <c r="A41" s="275" t="n"/>
      <c r="B41" s="276" t="n"/>
      <c r="C41" s="276" t="n"/>
      <c r="D41" s="276" t="n"/>
      <c r="E41" s="276" t="n"/>
      <c r="F41" s="276" t="n"/>
      <c r="G41" s="276" t="n"/>
      <c r="H41" s="276" t="n"/>
      <c r="I41" s="276" t="n"/>
      <c r="J41" s="277" t="n"/>
    </row>
    <row r="42">
      <c r="A42" s="275" t="n"/>
      <c r="B42" s="276" t="n"/>
      <c r="C42" s="276" t="n"/>
      <c r="D42" s="276" t="n"/>
      <c r="E42" s="276" t="n"/>
      <c r="F42" s="276" t="n"/>
      <c r="G42" s="276" t="n"/>
      <c r="H42" s="276" t="n"/>
      <c r="I42" s="276" t="n"/>
      <c r="J42" s="277" t="n"/>
    </row>
    <row r="43">
      <c r="A43" s="275" t="n"/>
      <c r="B43" s="276" t="n"/>
      <c r="C43" s="276" t="n"/>
      <c r="D43" s="276" t="n"/>
      <c r="E43" s="276" t="n"/>
      <c r="F43" s="276" t="n"/>
      <c r="G43" s="276" t="n"/>
      <c r="H43" s="276" t="n"/>
      <c r="I43" s="276" t="n"/>
      <c r="J43" s="277" t="n"/>
    </row>
    <row r="44">
      <c r="A44" s="275" t="n"/>
      <c r="B44" s="276" t="n"/>
      <c r="C44" s="276" t="n"/>
      <c r="D44" s="276" t="n"/>
      <c r="E44" s="276" t="n"/>
      <c r="F44" s="276" t="n"/>
      <c r="G44" s="276" t="n"/>
      <c r="H44" s="276" t="n"/>
      <c r="I44" s="276" t="n"/>
      <c r="J44" s="277" t="n"/>
    </row>
    <row r="45">
      <c r="A45" s="275" t="n"/>
      <c r="B45" s="276" t="n"/>
      <c r="C45" s="276" t="n"/>
      <c r="D45" s="276" t="n"/>
      <c r="E45" s="276" t="n"/>
      <c r="F45" s="276" t="n"/>
      <c r="G45" s="276" t="n"/>
      <c r="H45" s="276" t="n"/>
      <c r="I45" s="276" t="n"/>
      <c r="J45" s="277" t="n"/>
    </row>
    <row r="46">
      <c r="A46" s="275" t="n"/>
      <c r="B46" s="276" t="n"/>
      <c r="C46" s="276" t="n"/>
      <c r="D46" s="276" t="n"/>
      <c r="E46" s="276" t="n"/>
      <c r="F46" s="276" t="n"/>
      <c r="G46" s="276" t="n"/>
      <c r="H46" s="276" t="n"/>
      <c r="I46" s="276" t="n"/>
      <c r="J46" s="277" t="n"/>
    </row>
    <row r="47">
      <c r="A47" s="275" t="n"/>
      <c r="B47" s="276" t="n"/>
      <c r="C47" s="276" t="n"/>
      <c r="D47" s="276" t="n"/>
      <c r="E47" s="276" t="n"/>
      <c r="F47" s="276" t="n"/>
      <c r="G47" s="276" t="n"/>
      <c r="H47" s="276" t="n"/>
      <c r="I47" s="276" t="n"/>
      <c r="J47" s="277" t="n"/>
    </row>
    <row r="48">
      <c r="A48" s="275" t="n"/>
      <c r="B48" s="276" t="n"/>
      <c r="C48" s="276" t="n"/>
      <c r="D48" s="276" t="n"/>
      <c r="E48" s="276" t="n"/>
      <c r="F48" s="276" t="n"/>
      <c r="G48" s="276" t="n"/>
      <c r="H48" s="276" t="n"/>
      <c r="I48" s="276" t="n"/>
      <c r="J48" s="277" t="n"/>
    </row>
    <row r="49">
      <c r="A49" s="275" t="n"/>
      <c r="B49" s="276" t="n"/>
      <c r="C49" s="276" t="n"/>
      <c r="D49" s="276" t="n"/>
      <c r="E49" s="276" t="n"/>
      <c r="F49" s="276" t="n"/>
      <c r="G49" s="276" t="n"/>
      <c r="H49" s="276" t="n"/>
      <c r="I49" s="276" t="n"/>
      <c r="J49" s="277" t="n"/>
    </row>
    <row r="50">
      <c r="A50" s="275" t="n"/>
      <c r="B50" s="276" t="n"/>
      <c r="C50" s="276" t="n"/>
      <c r="D50" s="276" t="n"/>
      <c r="E50" s="276" t="n"/>
      <c r="F50" s="276" t="n"/>
      <c r="G50" s="276" t="n"/>
      <c r="H50" s="276" t="n"/>
      <c r="I50" s="276" t="n"/>
      <c r="J50" s="277" t="n"/>
    </row>
    <row r="51">
      <c r="A51" s="275" t="n"/>
      <c r="B51" s="276" t="n"/>
      <c r="C51" s="276" t="n"/>
      <c r="D51" s="276" t="n"/>
      <c r="E51" s="276" t="n"/>
      <c r="F51" s="276" t="n"/>
      <c r="G51" s="276" t="n"/>
      <c r="H51" s="276" t="n"/>
      <c r="I51" s="276" t="n"/>
      <c r="J51" s="277" t="n"/>
    </row>
    <row r="52">
      <c r="A52" s="275" t="n"/>
      <c r="B52" s="276" t="n"/>
      <c r="C52" s="276" t="n"/>
      <c r="D52" s="276" t="n"/>
      <c r="E52" s="276" t="n"/>
      <c r="F52" s="276" t="n"/>
      <c r="G52" s="276" t="n"/>
      <c r="H52" s="276" t="n"/>
      <c r="I52" s="276" t="n"/>
      <c r="J52" s="277" t="n"/>
    </row>
    <row r="53">
      <c r="A53" s="275" t="n"/>
      <c r="B53" s="276" t="n"/>
      <c r="C53" s="276" t="n"/>
      <c r="D53" s="276" t="n"/>
      <c r="E53" s="276" t="n"/>
      <c r="F53" s="276" t="n"/>
      <c r="G53" s="276" t="n"/>
      <c r="H53" s="276" t="n"/>
      <c r="I53" s="276" t="n"/>
      <c r="J53" s="277" t="n"/>
    </row>
    <row r="54">
      <c r="A54" s="275" t="n"/>
      <c r="B54" s="276" t="n"/>
      <c r="C54" s="276" t="n"/>
      <c r="D54" s="276" t="n"/>
      <c r="E54" s="276" t="n"/>
      <c r="F54" s="276" t="n"/>
      <c r="G54" s="276" t="n"/>
      <c r="H54" s="276" t="n"/>
      <c r="I54" s="276" t="n"/>
      <c r="J54" s="277" t="n"/>
    </row>
    <row r="55">
      <c r="A55" s="275" t="n"/>
      <c r="B55" s="276" t="n"/>
      <c r="C55" s="276" t="n"/>
      <c r="D55" s="276" t="n"/>
      <c r="E55" s="276" t="n"/>
      <c r="F55" s="276" t="n"/>
      <c r="G55" s="276" t="n"/>
      <c r="H55" s="276" t="n"/>
      <c r="I55" s="276" t="n"/>
      <c r="J55" s="277" t="n"/>
    </row>
    <row r="56">
      <c r="A56" s="275" t="n"/>
      <c r="B56" s="276" t="n"/>
      <c r="C56" s="276" t="n"/>
      <c r="D56" s="276" t="n"/>
      <c r="E56" s="276" t="n"/>
      <c r="F56" s="276" t="n"/>
      <c r="G56" s="276" t="n"/>
      <c r="H56" s="276" t="n"/>
      <c r="I56" s="276" t="n"/>
      <c r="J56" s="277" t="n"/>
    </row>
    <row r="57">
      <c r="A57" s="275" t="n"/>
      <c r="B57" s="276" t="n"/>
      <c r="C57" s="276" t="n"/>
      <c r="D57" s="276" t="n"/>
      <c r="E57" s="276" t="n"/>
      <c r="F57" s="276" t="n"/>
      <c r="G57" s="276" t="n"/>
      <c r="H57" s="276" t="n"/>
      <c r="I57" s="276" t="n"/>
      <c r="J57" s="277" t="n"/>
    </row>
    <row r="58">
      <c r="A58" s="275" t="n"/>
      <c r="B58" s="276" t="n"/>
      <c r="C58" s="276" t="n"/>
      <c r="D58" s="276" t="n"/>
      <c r="E58" s="276" t="n"/>
      <c r="F58" s="276" t="n"/>
      <c r="G58" s="276" t="n"/>
      <c r="H58" s="276" t="n"/>
      <c r="I58" s="276" t="n"/>
      <c r="J58" s="277" t="n"/>
    </row>
    <row r="59">
      <c r="A59" s="275" t="n"/>
      <c r="B59" s="276" t="n"/>
      <c r="C59" s="276" t="n"/>
      <c r="D59" s="276" t="n"/>
      <c r="E59" s="276" t="n"/>
      <c r="F59" s="276" t="n"/>
      <c r="G59" s="276" t="n"/>
      <c r="H59" s="276" t="n"/>
      <c r="I59" s="276" t="n"/>
      <c r="J59" s="277" t="n"/>
    </row>
    <row r="60">
      <c r="A60" s="275" t="n"/>
      <c r="B60" s="276" t="n"/>
      <c r="C60" s="276" t="n"/>
      <c r="D60" s="276" t="n"/>
      <c r="E60" s="276" t="n"/>
      <c r="F60" s="276" t="n"/>
      <c r="G60" s="276" t="n"/>
      <c r="H60" s="276" t="n"/>
      <c r="I60" s="276" t="n"/>
      <c r="J60" s="277" t="n"/>
    </row>
    <row r="61">
      <c r="A61" s="275" t="n"/>
      <c r="B61" s="276" t="n"/>
      <c r="C61" s="276" t="n"/>
      <c r="D61" s="276" t="n"/>
      <c r="E61" s="276" t="n"/>
      <c r="F61" s="276" t="n"/>
      <c r="G61" s="276" t="n"/>
      <c r="H61" s="276" t="n"/>
      <c r="I61" s="276" t="n"/>
      <c r="J61" s="277" t="n"/>
    </row>
    <row r="62">
      <c r="A62" s="275" t="n"/>
      <c r="B62" s="276" t="n"/>
      <c r="C62" s="276" t="n"/>
      <c r="D62" s="276" t="n"/>
      <c r="E62" s="276" t="n"/>
      <c r="F62" s="276" t="n"/>
      <c r="G62" s="276" t="n"/>
      <c r="H62" s="276" t="n"/>
      <c r="I62" s="276" t="n"/>
      <c r="J62" s="277" t="n"/>
    </row>
    <row r="63">
      <c r="A63" s="275" t="n"/>
      <c r="B63" s="276" t="n"/>
      <c r="C63" s="276" t="n"/>
      <c r="D63" s="276" t="n"/>
      <c r="E63" s="276" t="n"/>
      <c r="F63" s="276" t="n"/>
      <c r="G63" s="276" t="n"/>
      <c r="H63" s="276" t="n"/>
      <c r="I63" s="276" t="n"/>
      <c r="J63" s="277" t="n"/>
    </row>
    <row r="64">
      <c r="A64" s="275" t="n"/>
      <c r="B64" s="276" t="n"/>
      <c r="C64" s="276" t="n"/>
      <c r="D64" s="276" t="n"/>
      <c r="E64" s="276" t="n"/>
      <c r="F64" s="276" t="n"/>
      <c r="G64" s="276" t="n"/>
      <c r="H64" s="276" t="n"/>
      <c r="I64" s="276" t="n"/>
      <c r="J64" s="277" t="n"/>
    </row>
    <row r="65">
      <c r="A65" s="275" t="n"/>
      <c r="B65" s="276" t="n"/>
      <c r="C65" s="276" t="n"/>
      <c r="D65" s="276" t="n"/>
      <c r="E65" s="276" t="n"/>
      <c r="F65" s="276" t="n"/>
      <c r="G65" s="276" t="n"/>
      <c r="H65" s="276" t="n"/>
      <c r="I65" s="276" t="n"/>
      <c r="J65" s="277" t="n"/>
    </row>
    <row r="66">
      <c r="A66" s="275" t="n"/>
      <c r="B66" s="276" t="n"/>
      <c r="C66" s="276" t="n"/>
      <c r="D66" s="276" t="n"/>
      <c r="E66" s="276" t="n"/>
      <c r="F66" s="276" t="n"/>
      <c r="G66" s="276" t="n"/>
      <c r="H66" s="276" t="n"/>
      <c r="I66" s="276" t="n"/>
      <c r="J66" s="277" t="n"/>
    </row>
    <row r="67">
      <c r="A67" s="275" t="n"/>
      <c r="B67" s="276" t="n"/>
      <c r="C67" s="276" t="n"/>
      <c r="D67" s="276" t="n"/>
      <c r="E67" s="276" t="n"/>
      <c r="F67" s="276" t="n"/>
      <c r="G67" s="276" t="n"/>
      <c r="H67" s="276" t="n"/>
      <c r="I67" s="276" t="n"/>
      <c r="J67" s="277" t="n"/>
    </row>
    <row r="68">
      <c r="A68" s="275" t="n"/>
      <c r="B68" s="276" t="n"/>
      <c r="C68" s="276" t="n"/>
      <c r="D68" s="276" t="n"/>
      <c r="E68" s="276" t="n"/>
      <c r="F68" s="276" t="n"/>
      <c r="G68" s="276" t="n"/>
      <c r="H68" s="276" t="n"/>
      <c r="I68" s="276" t="n"/>
      <c r="J68" s="277" t="n"/>
    </row>
    <row r="69">
      <c r="A69" s="275" t="n"/>
      <c r="B69" s="276" t="n"/>
      <c r="C69" s="276" t="n"/>
      <c r="D69" s="276" t="n"/>
      <c r="E69" s="276" t="n"/>
      <c r="F69" s="276" t="n"/>
      <c r="G69" s="276" t="n"/>
      <c r="H69" s="276" t="n"/>
      <c r="I69" s="276" t="n"/>
      <c r="J69" s="277" t="n"/>
    </row>
    <row r="70">
      <c r="A70" s="275" t="n"/>
      <c r="B70" s="276" t="n"/>
      <c r="C70" s="276" t="n"/>
      <c r="D70" s="276" t="n"/>
      <c r="E70" s="276" t="n"/>
      <c r="F70" s="276" t="n"/>
      <c r="G70" s="276" t="n"/>
      <c r="H70" s="276" t="n"/>
      <c r="I70" s="276" t="n"/>
      <c r="J70" s="277" t="n"/>
    </row>
    <row r="71">
      <c r="A71" s="275" t="n"/>
      <c r="B71" s="276" t="n"/>
      <c r="C71" s="276" t="n"/>
      <c r="D71" s="276" t="n"/>
      <c r="E71" s="276" t="n"/>
      <c r="F71" s="276" t="n"/>
      <c r="G71" s="276" t="n"/>
      <c r="H71" s="276" t="n"/>
      <c r="I71" s="276" t="n"/>
      <c r="J71" s="277" t="n"/>
    </row>
    <row r="72">
      <c r="A72" s="275" t="n"/>
      <c r="B72" s="276" t="n"/>
      <c r="C72" s="276" t="n"/>
      <c r="D72" s="276" t="n"/>
      <c r="E72" s="276" t="n"/>
      <c r="F72" s="276" t="n"/>
      <c r="G72" s="276" t="n"/>
      <c r="H72" s="276" t="n"/>
      <c r="I72" s="276" t="n"/>
      <c r="J72" s="277" t="n"/>
    </row>
    <row r="73">
      <c r="A73" s="275" t="n"/>
      <c r="B73" s="276" t="n"/>
      <c r="C73" s="276" t="n"/>
      <c r="D73" s="276" t="n"/>
      <c r="E73" s="276" t="n"/>
      <c r="F73" s="276" t="n"/>
      <c r="G73" s="276" t="n"/>
      <c r="H73" s="276" t="n"/>
      <c r="I73" s="276" t="n"/>
      <c r="J73" s="277" t="n"/>
    </row>
    <row r="74">
      <c r="A74" s="275" t="n"/>
      <c r="B74" s="276" t="n"/>
      <c r="C74" s="276" t="n"/>
      <c r="D74" s="276" t="n"/>
      <c r="E74" s="276" t="n"/>
      <c r="F74" s="276" t="n"/>
      <c r="G74" s="276" t="n"/>
      <c r="H74" s="276" t="n"/>
      <c r="I74" s="276" t="n"/>
      <c r="J74" s="277" t="n"/>
    </row>
    <row r="75">
      <c r="A75" s="275" t="n"/>
      <c r="B75" s="276" t="n"/>
      <c r="C75" s="276" t="n"/>
      <c r="D75" s="276" t="n"/>
      <c r="E75" s="276" t="n"/>
      <c r="F75" s="276" t="n"/>
      <c r="G75" s="276" t="n"/>
      <c r="H75" s="276" t="n"/>
      <c r="I75" s="276" t="n"/>
      <c r="J75" s="277" t="n"/>
    </row>
    <row r="76">
      <c r="A76" s="275" t="n"/>
      <c r="B76" s="276" t="n"/>
      <c r="C76" s="276" t="n"/>
      <c r="D76" s="276" t="n"/>
      <c r="E76" s="276" t="n"/>
      <c r="F76" s="276" t="n"/>
      <c r="G76" s="276" t="n"/>
      <c r="H76" s="276" t="n"/>
      <c r="I76" s="276" t="n"/>
      <c r="J76" s="277" t="n"/>
    </row>
    <row r="77">
      <c r="A77" s="275" t="n"/>
      <c r="B77" s="276" t="n"/>
      <c r="C77" s="276" t="n"/>
      <c r="D77" s="276" t="n"/>
      <c r="E77" s="276" t="n"/>
      <c r="F77" s="276" t="n"/>
      <c r="G77" s="276" t="n"/>
      <c r="H77" s="276" t="n"/>
      <c r="I77" s="276" t="n"/>
      <c r="J77" s="277" t="n"/>
    </row>
    <row r="78">
      <c r="A78" s="275" t="n"/>
      <c r="B78" s="276" t="n"/>
      <c r="C78" s="276" t="n"/>
      <c r="D78" s="276" t="n"/>
      <c r="E78" s="276" t="n"/>
      <c r="F78" s="276" t="n"/>
      <c r="G78" s="276" t="n"/>
      <c r="H78" s="276" t="n"/>
      <c r="I78" s="276" t="n"/>
      <c r="J78" s="277" t="n"/>
    </row>
    <row r="79">
      <c r="A79" s="275" t="n"/>
      <c r="B79" s="276" t="n"/>
      <c r="C79" s="276" t="n"/>
      <c r="D79" s="276" t="n"/>
      <c r="E79" s="276" t="n"/>
      <c r="F79" s="276" t="n"/>
      <c r="G79" s="276" t="n"/>
      <c r="H79" s="276" t="n"/>
      <c r="I79" s="276" t="n"/>
      <c r="J79" s="277" t="n"/>
    </row>
    <row r="80">
      <c r="A80" s="278" t="n"/>
      <c r="B80" s="279" t="n"/>
      <c r="C80" s="279" t="n"/>
      <c r="D80" s="279" t="n"/>
      <c r="E80" s="279" t="n"/>
      <c r="F80" s="279" t="n"/>
      <c r="G80" s="279" t="n"/>
      <c r="H80" s="279" t="n"/>
      <c r="I80" s="279" t="n"/>
      <c r="J80" s="280" t="n"/>
    </row>
  </sheetData>
  <mergeCells count="3">
    <mergeCell ref="A2:L2"/>
    <mergeCell ref="A1:L1"/>
    <mergeCell ref="A5:L5"/>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40"/>
  <sheetViews>
    <sheetView showGridLines="0" workbookViewId="0">
      <selection activeCell="A1" sqref="A1"/>
    </sheetView>
  </sheetViews>
  <sheetFormatPr baseColWidth="8" defaultRowHeight="15"/>
  <sheetData>
    <row r="1" ht="27" customHeight="1" s="242">
      <c r="A1" s="390" t="inlineStr">
        <is>
          <t>17 — Aggregate Loss-Exceedance Curves</t>
        </is>
      </c>
    </row>
    <row r="2" ht="34" customHeight="1" s="242">
      <c r="A2" s="247" t="inlineStr">
        <is>
          <t>AEP and OEP points for best-estimate and prudent annual loss.</t>
        </is>
      </c>
    </row>
    <row r="5">
      <c r="A5" s="333" t="inlineStr">
        <is>
          <t>ENGINE OUTPUT — do not edit. Run the Python engine after changing inputs or sector packs.</t>
        </is>
      </c>
    </row>
    <row r="15">
      <c r="A15" s="235" t="inlineStr">
        <is>
          <t>Return period</t>
        </is>
      </c>
      <c r="B15" s="236" t="inlineStr">
        <is>
          <t>Exceedance probability</t>
        </is>
      </c>
      <c r="C15" s="236" t="inlineStr">
        <is>
          <t>Best AEP</t>
        </is>
      </c>
      <c r="D15" s="236" t="inlineStr">
        <is>
          <t>Best OEP</t>
        </is>
      </c>
      <c r="E15" s="236" t="inlineStr">
        <is>
          <t>Prudent AEP</t>
        </is>
      </c>
      <c r="F15" s="236" t="inlineStr">
        <is>
          <t>Prudent OEP</t>
        </is>
      </c>
      <c r="G15" s="273" t="n"/>
      <c r="H15" s="273" t="n"/>
      <c r="I15" s="274" t="n"/>
    </row>
    <row r="16">
      <c r="A16" s="275" t="n">
        <v>2</v>
      </c>
      <c r="B16" s="276" t="n">
        <v>0.5</v>
      </c>
      <c r="C16" s="276" t="n">
        <v>0</v>
      </c>
      <c r="D16" s="276" t="n">
        <v>0</v>
      </c>
      <c r="E16" s="276" t="n">
        <v>0</v>
      </c>
      <c r="F16" s="276" t="n">
        <v>0</v>
      </c>
      <c r="G16" s="276" t="n"/>
      <c r="H16" s="276" t="n"/>
      <c r="I16" s="277" t="n"/>
    </row>
    <row r="17">
      <c r="A17" s="275" t="n">
        <v>5</v>
      </c>
      <c r="B17" s="276" t="n">
        <v>0.2</v>
      </c>
      <c r="C17" s="276" t="n">
        <v>0</v>
      </c>
      <c r="D17" s="276" t="n">
        <v>0</v>
      </c>
      <c r="E17" s="276" t="n">
        <v>0</v>
      </c>
      <c r="F17" s="276" t="n">
        <v>0</v>
      </c>
      <c r="G17" s="276" t="n"/>
      <c r="H17" s="276" t="n"/>
      <c r="I17" s="277" t="n"/>
    </row>
    <row r="18">
      <c r="A18" s="275" t="n">
        <v>10</v>
      </c>
      <c r="B18" s="276" t="n">
        <v>0.1</v>
      </c>
      <c r="C18" s="276" t="n">
        <v>1129968.648055559</v>
      </c>
      <c r="D18" s="276" t="n">
        <v>1125096.332396951</v>
      </c>
      <c r="E18" s="276" t="n">
        <v>2334831.253654553</v>
      </c>
      <c r="F18" s="276" t="n">
        <v>2302523.306675853</v>
      </c>
      <c r="G18" s="276" t="n"/>
      <c r="H18" s="276" t="n"/>
      <c r="I18" s="277" t="n"/>
    </row>
    <row r="19">
      <c r="A19" s="275" t="n">
        <v>20</v>
      </c>
      <c r="B19" s="276" t="n">
        <v>0.05</v>
      </c>
      <c r="C19" s="276" t="n">
        <v>5487402.480652438</v>
      </c>
      <c r="D19" s="276" t="n">
        <v>5365555.605939533</v>
      </c>
      <c r="E19" s="276" t="n">
        <v>7125947.960562246</v>
      </c>
      <c r="F19" s="276" t="n">
        <v>6877809.045849238</v>
      </c>
      <c r="G19" s="276" t="n"/>
      <c r="H19" s="276" t="n"/>
      <c r="I19" s="277" t="n"/>
    </row>
    <row r="20">
      <c r="A20" s="275" t="n">
        <v>25</v>
      </c>
      <c r="B20" s="276" t="n">
        <v>0.04</v>
      </c>
      <c r="C20" s="276" t="n">
        <v>7219261.099474549</v>
      </c>
      <c r="D20" s="276" t="n">
        <v>7013988.331928013</v>
      </c>
      <c r="E20" s="276" t="n">
        <v>9033416.981644811</v>
      </c>
      <c r="F20" s="276" t="n">
        <v>8724690.735705161</v>
      </c>
      <c r="G20" s="276" t="n"/>
      <c r="H20" s="276" t="n"/>
      <c r="I20" s="277" t="n"/>
    </row>
    <row r="21">
      <c r="A21" s="275" t="n">
        <v>50</v>
      </c>
      <c r="B21" s="276" t="n">
        <v>0.02</v>
      </c>
      <c r="C21" s="276" t="n">
        <v>13910287.2801606</v>
      </c>
      <c r="D21" s="276" t="n">
        <v>13453879.46863602</v>
      </c>
      <c r="E21" s="276" t="n">
        <v>16402001.81628016</v>
      </c>
      <c r="F21" s="276" t="n">
        <v>15693035.65094238</v>
      </c>
      <c r="G21" s="276" t="n"/>
      <c r="H21" s="276" t="n"/>
      <c r="I21" s="277" t="n"/>
    </row>
    <row r="22">
      <c r="A22" s="275" t="n">
        <v>100</v>
      </c>
      <c r="B22" s="276" t="n">
        <v>0.01</v>
      </c>
      <c r="C22" s="276" t="n">
        <v>22824448.16996593</v>
      </c>
      <c r="D22" s="276" t="n">
        <v>22150405.95213009</v>
      </c>
      <c r="E22" s="276" t="n">
        <v>26218158.96702391</v>
      </c>
      <c r="F22" s="276" t="n">
        <v>25214416.2520637</v>
      </c>
      <c r="G22" s="276" t="n"/>
      <c r="H22" s="276" t="n"/>
      <c r="I22" s="277" t="n"/>
    </row>
    <row r="23">
      <c r="A23" s="275" t="n">
        <v>200</v>
      </c>
      <c r="B23" s="276" t="n">
        <v>0.005</v>
      </c>
      <c r="C23" s="276" t="n">
        <v>34164819.81496142</v>
      </c>
      <c r="D23" s="276" t="n">
        <v>33340555.88715506</v>
      </c>
      <c r="E23" s="276" t="n">
        <v>39100629.8822308</v>
      </c>
      <c r="F23" s="276" t="n">
        <v>37983892.99004589</v>
      </c>
      <c r="G23" s="276" t="n"/>
      <c r="H23" s="276" t="n"/>
      <c r="I23" s="277" t="n"/>
    </row>
    <row r="24">
      <c r="A24" s="275" t="n">
        <v>250</v>
      </c>
      <c r="B24" s="276" t="n">
        <v>0.004</v>
      </c>
      <c r="C24" s="276" t="n">
        <v>38734254.17690624</v>
      </c>
      <c r="D24" s="276" t="n">
        <v>37843498.41248246</v>
      </c>
      <c r="E24" s="276" t="n">
        <v>44082083.53446813</v>
      </c>
      <c r="F24" s="276" t="n">
        <v>42528113.2917143</v>
      </c>
      <c r="G24" s="276" t="n"/>
      <c r="H24" s="276" t="n"/>
      <c r="I24" s="277" t="n"/>
    </row>
    <row r="25">
      <c r="A25" s="275" t="n">
        <v>500</v>
      </c>
      <c r="B25" s="276" t="n">
        <v>0.002</v>
      </c>
      <c r="C25" s="276" t="n">
        <v>56099056.66162974</v>
      </c>
      <c r="D25" s="276" t="n">
        <v>54762579.00790916</v>
      </c>
      <c r="E25" s="276" t="n">
        <v>61587867.59736592</v>
      </c>
      <c r="F25" s="276" t="n">
        <v>60373105.35121121</v>
      </c>
      <c r="G25" s="276" t="n"/>
      <c r="H25" s="276" t="n"/>
      <c r="I25" s="277" t="n"/>
    </row>
    <row r="26">
      <c r="A26" s="275" t="n"/>
      <c r="B26" s="276" t="n"/>
      <c r="C26" s="276" t="n"/>
      <c r="D26" s="276" t="n"/>
      <c r="E26" s="276" t="n"/>
      <c r="F26" s="276" t="n"/>
      <c r="G26" s="276" t="n"/>
      <c r="H26" s="276" t="n"/>
      <c r="I26" s="277" t="n"/>
    </row>
    <row r="27">
      <c r="A27" s="275" t="n"/>
      <c r="B27" s="276" t="n"/>
      <c r="C27" s="276" t="n"/>
      <c r="D27" s="276" t="n"/>
      <c r="E27" s="276" t="n"/>
      <c r="F27" s="276" t="n"/>
      <c r="G27" s="276" t="n"/>
      <c r="H27" s="276" t="n"/>
      <c r="I27" s="277" t="n"/>
    </row>
    <row r="28">
      <c r="A28" s="275" t="n"/>
      <c r="B28" s="276" t="n"/>
      <c r="C28" s="276" t="n"/>
      <c r="D28" s="276" t="n"/>
      <c r="E28" s="276" t="n"/>
      <c r="F28" s="276" t="n"/>
      <c r="G28" s="276" t="n"/>
      <c r="H28" s="276" t="n"/>
      <c r="I28" s="277" t="n"/>
    </row>
    <row r="29">
      <c r="A29" s="275" t="n"/>
      <c r="B29" s="276" t="n"/>
      <c r="C29" s="276" t="n"/>
      <c r="D29" s="276" t="n"/>
      <c r="E29" s="276" t="n"/>
      <c r="F29" s="276" t="n"/>
      <c r="G29" s="276" t="n"/>
      <c r="H29" s="276" t="n"/>
      <c r="I29" s="277" t="n"/>
    </row>
    <row r="30">
      <c r="A30" s="275" t="n"/>
      <c r="B30" s="276" t="n"/>
      <c r="C30" s="276" t="n"/>
      <c r="D30" s="276" t="n"/>
      <c r="E30" s="276" t="n"/>
      <c r="F30" s="276" t="n"/>
      <c r="G30" s="276" t="n"/>
      <c r="H30" s="276" t="n"/>
      <c r="I30" s="277" t="n"/>
    </row>
    <row r="31">
      <c r="A31" s="275" t="n"/>
      <c r="B31" s="276" t="n"/>
      <c r="C31" s="276" t="n"/>
      <c r="D31" s="276" t="n"/>
      <c r="E31" s="276" t="n"/>
      <c r="F31" s="276" t="n"/>
      <c r="G31" s="276" t="n"/>
      <c r="H31" s="276" t="n"/>
      <c r="I31" s="277" t="n"/>
    </row>
    <row r="32">
      <c r="A32" s="275" t="n"/>
      <c r="B32" s="276" t="n"/>
      <c r="C32" s="276" t="n"/>
      <c r="D32" s="276" t="n"/>
      <c r="E32" s="276" t="n"/>
      <c r="F32" s="276" t="n"/>
      <c r="G32" s="276" t="n"/>
      <c r="H32" s="276" t="n"/>
      <c r="I32" s="277" t="n"/>
    </row>
    <row r="33">
      <c r="A33" s="275" t="n"/>
      <c r="B33" s="276" t="n"/>
      <c r="C33" s="276" t="n"/>
      <c r="D33" s="276" t="n"/>
      <c r="E33" s="276" t="n"/>
      <c r="F33" s="276" t="n"/>
      <c r="G33" s="276" t="n"/>
      <c r="H33" s="276" t="n"/>
      <c r="I33" s="277" t="n"/>
    </row>
    <row r="34">
      <c r="A34" s="275" t="n"/>
      <c r="B34" s="276" t="n"/>
      <c r="C34" s="276" t="n"/>
      <c r="D34" s="276" t="n"/>
      <c r="E34" s="276" t="n"/>
      <c r="F34" s="276" t="n"/>
      <c r="G34" s="276" t="n"/>
      <c r="H34" s="276" t="n"/>
      <c r="I34" s="277" t="n"/>
    </row>
    <row r="35">
      <c r="A35" s="275" t="n"/>
      <c r="B35" s="276" t="n"/>
      <c r="C35" s="276" t="n"/>
      <c r="D35" s="276" t="n"/>
      <c r="E35" s="276" t="n"/>
      <c r="F35" s="276" t="n"/>
      <c r="G35" s="276" t="n"/>
      <c r="H35" s="276" t="n"/>
      <c r="I35" s="277" t="n"/>
    </row>
    <row r="36">
      <c r="A36" s="275" t="n"/>
      <c r="B36" s="276" t="n"/>
      <c r="C36" s="276" t="n"/>
      <c r="D36" s="276" t="n"/>
      <c r="E36" s="276" t="n"/>
      <c r="F36" s="276" t="n"/>
      <c r="G36" s="276" t="n"/>
      <c r="H36" s="276" t="n"/>
      <c r="I36" s="277" t="n"/>
    </row>
    <row r="37">
      <c r="A37" s="275" t="n"/>
      <c r="B37" s="276" t="n"/>
      <c r="C37" s="276" t="n"/>
      <c r="D37" s="276" t="n"/>
      <c r="E37" s="276" t="n"/>
      <c r="F37" s="276" t="n"/>
      <c r="G37" s="276" t="n"/>
      <c r="H37" s="276" t="n"/>
      <c r="I37" s="277" t="n"/>
    </row>
    <row r="38">
      <c r="A38" s="275" t="n"/>
      <c r="B38" s="276" t="n"/>
      <c r="C38" s="276" t="n"/>
      <c r="D38" s="276" t="n"/>
      <c r="E38" s="276" t="n"/>
      <c r="F38" s="276" t="n"/>
      <c r="G38" s="276" t="n"/>
      <c r="H38" s="276" t="n"/>
      <c r="I38" s="277" t="n"/>
    </row>
    <row r="39">
      <c r="A39" s="275" t="n"/>
      <c r="B39" s="276" t="n"/>
      <c r="C39" s="276" t="n"/>
      <c r="D39" s="276" t="n"/>
      <c r="E39" s="276" t="n"/>
      <c r="F39" s="276" t="n"/>
      <c r="G39" s="276" t="n"/>
      <c r="H39" s="276" t="n"/>
      <c r="I39" s="277" t="n"/>
    </row>
    <row r="40">
      <c r="A40" s="278" t="n"/>
      <c r="B40" s="279" t="n"/>
      <c r="C40" s="279" t="n"/>
      <c r="D40" s="279" t="n"/>
      <c r="E40" s="279" t="n"/>
      <c r="F40" s="279" t="n"/>
      <c r="G40" s="279" t="n"/>
      <c r="H40" s="279" t="n"/>
      <c r="I40" s="280" t="n"/>
    </row>
  </sheetData>
  <mergeCells count="3">
    <mergeCell ref="A2:L2"/>
    <mergeCell ref="A1:L1"/>
    <mergeCell ref="A5:L5"/>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40"/>
  <sheetViews>
    <sheetView showGridLines="0" workbookViewId="0">
      <selection activeCell="A1" sqref="A1"/>
    </sheetView>
  </sheetViews>
  <sheetFormatPr baseColWidth="8" defaultRowHeight="15"/>
  <sheetData>
    <row r="1" ht="27" customHeight="1" s="242">
      <c r="A1" s="390" t="inlineStr">
        <is>
          <t>18 — Scenario Loss-Exceedance Curves</t>
        </is>
      </c>
    </row>
    <row r="2" ht="34" customHeight="1" s="242">
      <c r="A2" s="247" t="inlineStr">
        <is>
          <t>Scenario-specific AEP points for the selected reporting basis.</t>
        </is>
      </c>
    </row>
    <row r="5">
      <c r="A5" s="333" t="inlineStr">
        <is>
          <t>ENGINE OUTPUT — do not edit. Run the Python engine after changing inputs or sector packs.</t>
        </is>
      </c>
    </row>
    <row r="15">
      <c r="A15" s="235" t="inlineStr">
        <is>
          <t>Return period</t>
        </is>
      </c>
      <c r="B15" s="236" t="inlineStr">
        <is>
          <t>Exceedance probability</t>
        </is>
      </c>
      <c r="C15" s="236" t="inlineStr">
        <is>
          <t>Critical business-service disruption</t>
        </is>
      </c>
      <c r="D15" s="236" t="inlineStr">
        <is>
          <t>Sensitive-data compromise</t>
        </is>
      </c>
      <c r="E15" s="236" t="inlineStr">
        <is>
          <t>Data or transaction-integrity compromise</t>
        </is>
      </c>
      <c r="F15" s="236" t="inlineStr">
        <is>
          <t>Cyber-enabled theft or fraud</t>
        </is>
      </c>
      <c r="G15" s="273" t="n"/>
      <c r="H15" s="273" t="n"/>
      <c r="I15" s="273" t="n"/>
      <c r="J15" s="273" t="n"/>
      <c r="K15" s="274" t="n"/>
    </row>
    <row r="16">
      <c r="A16" s="275" t="n">
        <v>2</v>
      </c>
      <c r="B16" s="276" t="n">
        <v>0.5</v>
      </c>
      <c r="C16" s="276" t="n">
        <v>0</v>
      </c>
      <c r="D16" s="276" t="n">
        <v>0</v>
      </c>
      <c r="E16" s="276" t="n">
        <v>0</v>
      </c>
      <c r="F16" s="276" t="n">
        <v>0</v>
      </c>
      <c r="G16" s="276" t="n"/>
      <c r="H16" s="276" t="n"/>
      <c r="I16" s="276" t="n"/>
      <c r="J16" s="276" t="n"/>
      <c r="K16" s="277" t="n"/>
    </row>
    <row r="17">
      <c r="A17" s="275" t="n">
        <v>5</v>
      </c>
      <c r="B17" s="276" t="n">
        <v>0.2</v>
      </c>
      <c r="C17" s="276" t="n">
        <v>0</v>
      </c>
      <c r="D17" s="276" t="n">
        <v>0</v>
      </c>
      <c r="E17" s="276" t="n">
        <v>0</v>
      </c>
      <c r="F17" s="276" t="n">
        <v>0</v>
      </c>
      <c r="G17" s="276" t="n"/>
      <c r="H17" s="276" t="n"/>
      <c r="I17" s="276" t="n"/>
      <c r="J17" s="276" t="n"/>
      <c r="K17" s="277" t="n"/>
    </row>
    <row r="18">
      <c r="A18" s="275" t="n">
        <v>10</v>
      </c>
      <c r="B18" s="276" t="n">
        <v>0.1</v>
      </c>
      <c r="C18" s="276" t="n">
        <v>0</v>
      </c>
      <c r="D18" s="276" t="n">
        <v>0</v>
      </c>
      <c r="E18" s="276" t="n">
        <v>0</v>
      </c>
      <c r="F18" s="276" t="n">
        <v>0</v>
      </c>
      <c r="G18" s="276" t="n"/>
      <c r="H18" s="276" t="n"/>
      <c r="I18" s="276" t="n"/>
      <c r="J18" s="276" t="n"/>
      <c r="K18" s="277" t="n"/>
    </row>
    <row r="19">
      <c r="A19" s="275" t="n">
        <v>20</v>
      </c>
      <c r="B19" s="276" t="n">
        <v>0.05</v>
      </c>
      <c r="C19" s="276" t="n">
        <v>421378.5425899314</v>
      </c>
      <c r="D19" s="276" t="n">
        <v>0</v>
      </c>
      <c r="E19" s="276" t="n">
        <v>0</v>
      </c>
      <c r="F19" s="276" t="n">
        <v>355893.8290772875</v>
      </c>
      <c r="G19" s="276" t="n"/>
      <c r="H19" s="276" t="n"/>
      <c r="I19" s="276" t="n"/>
      <c r="J19" s="276" t="n"/>
      <c r="K19" s="277" t="n"/>
    </row>
    <row r="20">
      <c r="A20" s="275" t="n">
        <v>25</v>
      </c>
      <c r="B20" s="276" t="n">
        <v>0.04</v>
      </c>
      <c r="C20" s="276" t="n">
        <v>2339461.312910381</v>
      </c>
      <c r="D20" s="276" t="n">
        <v>0</v>
      </c>
      <c r="E20" s="276" t="n">
        <v>0</v>
      </c>
      <c r="F20" s="276" t="n">
        <v>1028185.815599755</v>
      </c>
      <c r="G20" s="276" t="n"/>
      <c r="H20" s="276" t="n"/>
      <c r="I20" s="276" t="n"/>
      <c r="J20" s="276" t="n"/>
      <c r="K20" s="277" t="n"/>
    </row>
    <row r="21">
      <c r="A21" s="275" t="n">
        <v>50</v>
      </c>
      <c r="B21" s="276" t="n">
        <v>0.02</v>
      </c>
      <c r="C21" s="276" t="n">
        <v>7600857.864281361</v>
      </c>
      <c r="D21" s="276" t="n">
        <v>2813518.221985083</v>
      </c>
      <c r="E21" s="276" t="n">
        <v>0</v>
      </c>
      <c r="F21" s="276" t="n">
        <v>3408565.42529263</v>
      </c>
      <c r="G21" s="276" t="n"/>
      <c r="H21" s="276" t="n"/>
      <c r="I21" s="276" t="n"/>
      <c r="J21" s="276" t="n"/>
      <c r="K21" s="277" t="n"/>
    </row>
    <row r="22">
      <c r="A22" s="275" t="n">
        <v>100</v>
      </c>
      <c r="B22" s="276" t="n">
        <v>0.01</v>
      </c>
      <c r="C22" s="276" t="n">
        <v>15039968.980985</v>
      </c>
      <c r="D22" s="276" t="n">
        <v>8461016.095281372</v>
      </c>
      <c r="E22" s="276" t="n">
        <v>5108821.525497334</v>
      </c>
      <c r="F22" s="276" t="n">
        <v>6844977.241671136</v>
      </c>
      <c r="G22" s="276" t="n"/>
      <c r="H22" s="276" t="n"/>
      <c r="I22" s="276" t="n"/>
      <c r="J22" s="276" t="n"/>
      <c r="K22" s="277" t="n"/>
    </row>
    <row r="23">
      <c r="A23" s="275" t="n">
        <v>200</v>
      </c>
      <c r="B23" s="276" t="n">
        <v>0.005</v>
      </c>
      <c r="C23" s="276" t="n">
        <v>25192120.38204723</v>
      </c>
      <c r="D23" s="276" t="n">
        <v>15650431.9202578</v>
      </c>
      <c r="E23" s="276" t="n">
        <v>10508730.17849782</v>
      </c>
      <c r="F23" s="276" t="n">
        <v>11530858.70495447</v>
      </c>
      <c r="G23" s="276" t="n"/>
      <c r="H23" s="276" t="n"/>
      <c r="I23" s="276" t="n"/>
      <c r="J23" s="276" t="n"/>
      <c r="K23" s="277" t="n"/>
    </row>
    <row r="24">
      <c r="A24" s="275" t="n">
        <v>250</v>
      </c>
      <c r="B24" s="276" t="n">
        <v>0.004</v>
      </c>
      <c r="C24" s="276" t="n">
        <v>29232496.71252434</v>
      </c>
      <c r="D24" s="276" t="n">
        <v>18573322.37477338</v>
      </c>
      <c r="E24" s="276" t="n">
        <v>12521023.68729367</v>
      </c>
      <c r="F24" s="276" t="n">
        <v>13369946.7387218</v>
      </c>
      <c r="G24" s="276" t="n"/>
      <c r="H24" s="276" t="n"/>
      <c r="I24" s="276" t="n"/>
      <c r="J24" s="276" t="n"/>
      <c r="K24" s="277" t="n"/>
    </row>
    <row r="25">
      <c r="A25" s="275" t="n">
        <v>500</v>
      </c>
      <c r="B25" s="276" t="n">
        <v>0.002</v>
      </c>
      <c r="C25" s="276" t="n">
        <v>44605621.00123333</v>
      </c>
      <c r="D25" s="276" t="n">
        <v>29439196.40196487</v>
      </c>
      <c r="E25" s="276" t="n">
        <v>20150316.17853083</v>
      </c>
      <c r="F25" s="276" t="n">
        <v>20118215.82087766</v>
      </c>
      <c r="G25" s="276" t="n"/>
      <c r="H25" s="276" t="n"/>
      <c r="I25" s="276" t="n"/>
      <c r="J25" s="276" t="n"/>
      <c r="K25" s="277" t="n"/>
    </row>
    <row r="26">
      <c r="A26" s="275" t="n"/>
      <c r="B26" s="276" t="n"/>
      <c r="C26" s="276" t="n"/>
      <c r="D26" s="276" t="n"/>
      <c r="E26" s="276" t="n"/>
      <c r="F26" s="276" t="n"/>
      <c r="G26" s="276" t="n"/>
      <c r="H26" s="276" t="n"/>
      <c r="I26" s="276" t="n"/>
      <c r="J26" s="276" t="n"/>
      <c r="K26" s="277" t="n"/>
    </row>
    <row r="27">
      <c r="A27" s="275" t="n"/>
      <c r="B27" s="276" t="n"/>
      <c r="C27" s="276" t="n"/>
      <c r="D27" s="276" t="n"/>
      <c r="E27" s="276" t="n"/>
      <c r="F27" s="276" t="n"/>
      <c r="G27" s="276" t="n"/>
      <c r="H27" s="276" t="n"/>
      <c r="I27" s="276" t="n"/>
      <c r="J27" s="276" t="n"/>
      <c r="K27" s="277" t="n"/>
    </row>
    <row r="28">
      <c r="A28" s="275" t="n"/>
      <c r="B28" s="276" t="n"/>
      <c r="C28" s="276" t="n"/>
      <c r="D28" s="276" t="n"/>
      <c r="E28" s="276" t="n"/>
      <c r="F28" s="276" t="n"/>
      <c r="G28" s="276" t="n"/>
      <c r="H28" s="276" t="n"/>
      <c r="I28" s="276" t="n"/>
      <c r="J28" s="276" t="n"/>
      <c r="K28" s="277" t="n"/>
    </row>
    <row r="29">
      <c r="A29" s="275" t="n"/>
      <c r="B29" s="276" t="n"/>
      <c r="C29" s="276" t="n"/>
      <c r="D29" s="276" t="n"/>
      <c r="E29" s="276" t="n"/>
      <c r="F29" s="276" t="n"/>
      <c r="G29" s="276" t="n"/>
      <c r="H29" s="276" t="n"/>
      <c r="I29" s="276" t="n"/>
      <c r="J29" s="276" t="n"/>
      <c r="K29" s="277" t="n"/>
    </row>
    <row r="30">
      <c r="A30" s="275" t="n"/>
      <c r="B30" s="276" t="n"/>
      <c r="C30" s="276" t="n"/>
      <c r="D30" s="276" t="n"/>
      <c r="E30" s="276" t="n"/>
      <c r="F30" s="276" t="n"/>
      <c r="G30" s="276" t="n"/>
      <c r="H30" s="276" t="n"/>
      <c r="I30" s="276" t="n"/>
      <c r="J30" s="276" t="n"/>
      <c r="K30" s="277" t="n"/>
    </row>
    <row r="31">
      <c r="A31" s="275" t="n"/>
      <c r="B31" s="276" t="n"/>
      <c r="C31" s="276" t="n"/>
      <c r="D31" s="276" t="n"/>
      <c r="E31" s="276" t="n"/>
      <c r="F31" s="276" t="n"/>
      <c r="G31" s="276" t="n"/>
      <c r="H31" s="276" t="n"/>
      <c r="I31" s="276" t="n"/>
      <c r="J31" s="276" t="n"/>
      <c r="K31" s="277" t="n"/>
    </row>
    <row r="32">
      <c r="A32" s="275" t="n"/>
      <c r="B32" s="276" t="n"/>
      <c r="C32" s="276" t="n"/>
      <c r="D32" s="276" t="n"/>
      <c r="E32" s="276" t="n"/>
      <c r="F32" s="276" t="n"/>
      <c r="G32" s="276" t="n"/>
      <c r="H32" s="276" t="n"/>
      <c r="I32" s="276" t="n"/>
      <c r="J32" s="276" t="n"/>
      <c r="K32" s="277" t="n"/>
    </row>
    <row r="33">
      <c r="A33" s="275" t="n"/>
      <c r="B33" s="276" t="n"/>
      <c r="C33" s="276" t="n"/>
      <c r="D33" s="276" t="n"/>
      <c r="E33" s="276" t="n"/>
      <c r="F33" s="276" t="n"/>
      <c r="G33" s="276" t="n"/>
      <c r="H33" s="276" t="n"/>
      <c r="I33" s="276" t="n"/>
      <c r="J33" s="276" t="n"/>
      <c r="K33" s="277" t="n"/>
    </row>
    <row r="34">
      <c r="A34" s="275" t="n"/>
      <c r="B34" s="276" t="n"/>
      <c r="C34" s="276" t="n"/>
      <c r="D34" s="276" t="n"/>
      <c r="E34" s="276" t="n"/>
      <c r="F34" s="276" t="n"/>
      <c r="G34" s="276" t="n"/>
      <c r="H34" s="276" t="n"/>
      <c r="I34" s="276" t="n"/>
      <c r="J34" s="276" t="n"/>
      <c r="K34" s="277" t="n"/>
    </row>
    <row r="35">
      <c r="A35" s="275" t="n"/>
      <c r="B35" s="276" t="n"/>
      <c r="C35" s="276" t="n"/>
      <c r="D35" s="276" t="n"/>
      <c r="E35" s="276" t="n"/>
      <c r="F35" s="276" t="n"/>
      <c r="G35" s="276" t="n"/>
      <c r="H35" s="276" t="n"/>
      <c r="I35" s="276" t="n"/>
      <c r="J35" s="276" t="n"/>
      <c r="K35" s="277" t="n"/>
    </row>
    <row r="36">
      <c r="A36" s="275" t="n"/>
      <c r="B36" s="276" t="n"/>
      <c r="C36" s="276" t="n"/>
      <c r="D36" s="276" t="n"/>
      <c r="E36" s="276" t="n"/>
      <c r="F36" s="276" t="n"/>
      <c r="G36" s="276" t="n"/>
      <c r="H36" s="276" t="n"/>
      <c r="I36" s="276" t="n"/>
      <c r="J36" s="276" t="n"/>
      <c r="K36" s="277" t="n"/>
    </row>
    <row r="37">
      <c r="A37" s="275" t="n"/>
      <c r="B37" s="276" t="n"/>
      <c r="C37" s="276" t="n"/>
      <c r="D37" s="276" t="n"/>
      <c r="E37" s="276" t="n"/>
      <c r="F37" s="276" t="n"/>
      <c r="G37" s="276" t="n"/>
      <c r="H37" s="276" t="n"/>
      <c r="I37" s="276" t="n"/>
      <c r="J37" s="276" t="n"/>
      <c r="K37" s="277" t="n"/>
    </row>
    <row r="38">
      <c r="A38" s="275" t="n"/>
      <c r="B38" s="276" t="n"/>
      <c r="C38" s="276" t="n"/>
      <c r="D38" s="276" t="n"/>
      <c r="E38" s="276" t="n"/>
      <c r="F38" s="276" t="n"/>
      <c r="G38" s="276" t="n"/>
      <c r="H38" s="276" t="n"/>
      <c r="I38" s="276" t="n"/>
      <c r="J38" s="276" t="n"/>
      <c r="K38" s="277" t="n"/>
    </row>
    <row r="39">
      <c r="A39" s="275" t="n"/>
      <c r="B39" s="276" t="n"/>
      <c r="C39" s="276" t="n"/>
      <c r="D39" s="276" t="n"/>
      <c r="E39" s="276" t="n"/>
      <c r="F39" s="276" t="n"/>
      <c r="G39" s="276" t="n"/>
      <c r="H39" s="276" t="n"/>
      <c r="I39" s="276" t="n"/>
      <c r="J39" s="276" t="n"/>
      <c r="K39" s="277" t="n"/>
    </row>
    <row r="40">
      <c r="A40" s="278" t="n"/>
      <c r="B40" s="279" t="n"/>
      <c r="C40" s="279" t="n"/>
      <c r="D40" s="279" t="n"/>
      <c r="E40" s="279" t="n"/>
      <c r="F40" s="279" t="n"/>
      <c r="G40" s="279" t="n"/>
      <c r="H40" s="279" t="n"/>
      <c r="I40" s="279" t="n"/>
      <c r="J40" s="279" t="n"/>
      <c r="K40" s="280" t="n"/>
    </row>
  </sheetData>
  <mergeCells count="3">
    <mergeCell ref="A2:L2"/>
    <mergeCell ref="A1:L1"/>
    <mergeCell ref="A5:L5"/>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L40"/>
  <sheetViews>
    <sheetView showGridLines="0" workbookViewId="0">
      <selection activeCell="A1" sqref="A1"/>
    </sheetView>
  </sheetViews>
  <sheetFormatPr baseColWidth="8" defaultRowHeight="15"/>
  <sheetData>
    <row r="1" ht="27" customHeight="1" s="242">
      <c r="A1" s="390" t="inlineStr">
        <is>
          <t>19 — Actor Loss-Exceedance Curves</t>
        </is>
      </c>
    </row>
    <row r="2" ht="34" customHeight="1" s="242">
      <c r="A2" s="247" t="inlineStr">
        <is>
          <t>Actor-specific AEP points for the selected reporting basis.</t>
        </is>
      </c>
    </row>
    <row r="5">
      <c r="A5" s="333" t="inlineStr">
        <is>
          <t>ENGINE OUTPUT — do not edit. Run the Python engine after changing inputs or sector packs.</t>
        </is>
      </c>
    </row>
    <row r="15">
      <c r="A15" s="235" t="inlineStr">
        <is>
          <t>Return period</t>
        </is>
      </c>
      <c r="B15" s="236" t="inlineStr">
        <is>
          <t>Exceedance probability</t>
        </is>
      </c>
      <c r="C15" s="236" t="inlineStr">
        <is>
          <t>Nation-state</t>
        </is>
      </c>
      <c r="D15" s="236" t="inlineStr">
        <is>
          <t>Cybercriminal</t>
        </is>
      </c>
      <c r="E15" s="236" t="inlineStr">
        <is>
          <t>Malicious insider</t>
        </is>
      </c>
      <c r="F15" s="236" t="inlineStr">
        <is>
          <t>Hacktivist</t>
        </is>
      </c>
      <c r="G15" s="274" t="n"/>
    </row>
    <row r="16">
      <c r="A16" s="275" t="n">
        <v>2</v>
      </c>
      <c r="B16" s="276" t="n">
        <v>0.5</v>
      </c>
      <c r="C16" s="276" t="n">
        <v>0</v>
      </c>
      <c r="D16" s="276" t="n">
        <v>0</v>
      </c>
      <c r="E16" s="276" t="n">
        <v>0</v>
      </c>
      <c r="F16" s="276" t="n">
        <v>0</v>
      </c>
      <c r="G16" s="277" t="n"/>
    </row>
    <row r="17">
      <c r="A17" s="275" t="n">
        <v>5</v>
      </c>
      <c r="B17" s="276" t="n">
        <v>0.2</v>
      </c>
      <c r="C17" s="276" t="n">
        <v>0</v>
      </c>
      <c r="D17" s="276" t="n">
        <v>0</v>
      </c>
      <c r="E17" s="276" t="n">
        <v>0</v>
      </c>
      <c r="F17" s="276" t="n">
        <v>0</v>
      </c>
      <c r="G17" s="277" t="n"/>
    </row>
    <row r="18">
      <c r="A18" s="275" t="n">
        <v>10</v>
      </c>
      <c r="B18" s="276" t="n">
        <v>0.1</v>
      </c>
      <c r="C18" s="276" t="n">
        <v>0</v>
      </c>
      <c r="D18" s="276" t="n">
        <v>0</v>
      </c>
      <c r="E18" s="276" t="n">
        <v>0</v>
      </c>
      <c r="F18" s="276" t="n">
        <v>0</v>
      </c>
      <c r="G18" s="277" t="n"/>
    </row>
    <row r="19">
      <c r="A19" s="275" t="n">
        <v>20</v>
      </c>
      <c r="B19" s="276" t="n">
        <v>0.05</v>
      </c>
      <c r="C19" s="276" t="n">
        <v>0</v>
      </c>
      <c r="D19" s="276" t="n">
        <v>2309382.945993542</v>
      </c>
      <c r="E19" s="276" t="n">
        <v>0</v>
      </c>
      <c r="F19" s="276" t="n">
        <v>0</v>
      </c>
      <c r="G19" s="277" t="n"/>
    </row>
    <row r="20">
      <c r="A20" s="275" t="n">
        <v>25</v>
      </c>
      <c r="B20" s="276" t="n">
        <v>0.04</v>
      </c>
      <c r="C20" s="276" t="n">
        <v>0</v>
      </c>
      <c r="D20" s="276" t="n">
        <v>3598845.964665617</v>
      </c>
      <c r="E20" s="276" t="n">
        <v>0</v>
      </c>
      <c r="F20" s="276" t="n">
        <v>0</v>
      </c>
      <c r="G20" s="277" t="n"/>
    </row>
    <row r="21">
      <c r="A21" s="275" t="n">
        <v>50</v>
      </c>
      <c r="B21" s="276" t="n">
        <v>0.02</v>
      </c>
      <c r="C21" s="276" t="n">
        <v>0</v>
      </c>
      <c r="D21" s="276" t="n">
        <v>8800838.21085163</v>
      </c>
      <c r="E21" s="276" t="n">
        <v>3554874.327304179</v>
      </c>
      <c r="F21" s="276" t="n">
        <v>1869379.186444166</v>
      </c>
      <c r="G21" s="277" t="n"/>
    </row>
    <row r="22">
      <c r="A22" s="275" t="n">
        <v>100</v>
      </c>
      <c r="B22" s="276" t="n">
        <v>0.01</v>
      </c>
      <c r="C22" s="276" t="n">
        <v>2412035.617793122</v>
      </c>
      <c r="D22" s="276" t="n">
        <v>16138274.54115757</v>
      </c>
      <c r="E22" s="276" t="n">
        <v>8325961.937160157</v>
      </c>
      <c r="F22" s="276" t="n">
        <v>6353896.742187921</v>
      </c>
      <c r="G22" s="277" t="n"/>
    </row>
    <row r="23">
      <c r="A23" s="275" t="n">
        <v>200</v>
      </c>
      <c r="B23" s="276" t="n">
        <v>0.005</v>
      </c>
      <c r="C23" s="276" t="n">
        <v>6678825.236677342</v>
      </c>
      <c r="D23" s="276" t="n">
        <v>26076029.48281705</v>
      </c>
      <c r="E23" s="276" t="n">
        <v>14709660.45526661</v>
      </c>
      <c r="F23" s="276" t="n">
        <v>12493850.18516942</v>
      </c>
      <c r="G23" s="277" t="n"/>
    </row>
    <row r="24">
      <c r="A24" s="275" t="n">
        <v>250</v>
      </c>
      <c r="B24" s="276" t="n">
        <v>0.004</v>
      </c>
      <c r="C24" s="276" t="n">
        <v>8291438.176869499</v>
      </c>
      <c r="D24" s="276" t="n">
        <v>29616977.41286696</v>
      </c>
      <c r="E24" s="276" t="n">
        <v>17204672.00706466</v>
      </c>
      <c r="F24" s="276" t="n">
        <v>15039968.980985</v>
      </c>
      <c r="G24" s="277" t="n"/>
    </row>
    <row r="25">
      <c r="A25" s="275" t="n">
        <v>500</v>
      </c>
      <c r="B25" s="276" t="n">
        <v>0.002</v>
      </c>
      <c r="C25" s="276" t="n">
        <v>14614692.4278042</v>
      </c>
      <c r="D25" s="276" t="n">
        <v>43843923.67528984</v>
      </c>
      <c r="E25" s="276" t="n">
        <v>26816945.8479207</v>
      </c>
      <c r="F25" s="276" t="n">
        <v>24515310.93010651</v>
      </c>
      <c r="G25" s="277" t="n"/>
    </row>
    <row r="26">
      <c r="A26" s="275" t="n"/>
      <c r="B26" s="276" t="n"/>
      <c r="C26" s="276" t="n"/>
      <c r="D26" s="276" t="n"/>
      <c r="E26" s="276" t="n"/>
      <c r="F26" s="276" t="n"/>
      <c r="G26" s="277" t="n"/>
    </row>
    <row r="27">
      <c r="A27" s="275" t="n"/>
      <c r="B27" s="276" t="n"/>
      <c r="C27" s="276" t="n"/>
      <c r="D27" s="276" t="n"/>
      <c r="E27" s="276" t="n"/>
      <c r="F27" s="276" t="n"/>
      <c r="G27" s="277" t="n"/>
    </row>
    <row r="28">
      <c r="A28" s="275" t="n"/>
      <c r="B28" s="276" t="n"/>
      <c r="C28" s="276" t="n"/>
      <c r="D28" s="276" t="n"/>
      <c r="E28" s="276" t="n"/>
      <c r="F28" s="276" t="n"/>
      <c r="G28" s="277" t="n"/>
    </row>
    <row r="29">
      <c r="A29" s="275" t="n"/>
      <c r="B29" s="276" t="n"/>
      <c r="C29" s="276" t="n"/>
      <c r="D29" s="276" t="n"/>
      <c r="E29" s="276" t="n"/>
      <c r="F29" s="276" t="n"/>
      <c r="G29" s="277" t="n"/>
    </row>
    <row r="30">
      <c r="A30" s="275" t="n"/>
      <c r="B30" s="276" t="n"/>
      <c r="C30" s="276" t="n"/>
      <c r="D30" s="276" t="n"/>
      <c r="E30" s="276" t="n"/>
      <c r="F30" s="276" t="n"/>
      <c r="G30" s="277" t="n"/>
    </row>
    <row r="31">
      <c r="A31" s="275" t="n"/>
      <c r="B31" s="276" t="n"/>
      <c r="C31" s="276" t="n"/>
      <c r="D31" s="276" t="n"/>
      <c r="E31" s="276" t="n"/>
      <c r="F31" s="276" t="n"/>
      <c r="G31" s="277" t="n"/>
    </row>
    <row r="32">
      <c r="A32" s="275" t="n"/>
      <c r="B32" s="276" t="n"/>
      <c r="C32" s="276" t="n"/>
      <c r="D32" s="276" t="n"/>
      <c r="E32" s="276" t="n"/>
      <c r="F32" s="276" t="n"/>
      <c r="G32" s="277" t="n"/>
    </row>
    <row r="33">
      <c r="A33" s="275" t="n"/>
      <c r="B33" s="276" t="n"/>
      <c r="C33" s="276" t="n"/>
      <c r="D33" s="276" t="n"/>
      <c r="E33" s="276" t="n"/>
      <c r="F33" s="276" t="n"/>
      <c r="G33" s="277" t="n"/>
    </row>
    <row r="34">
      <c r="A34" s="275" t="n"/>
      <c r="B34" s="276" t="n"/>
      <c r="C34" s="276" t="n"/>
      <c r="D34" s="276" t="n"/>
      <c r="E34" s="276" t="n"/>
      <c r="F34" s="276" t="n"/>
      <c r="G34" s="277" t="n"/>
    </row>
    <row r="35">
      <c r="A35" s="275" t="n"/>
      <c r="B35" s="276" t="n"/>
      <c r="C35" s="276" t="n"/>
      <c r="D35" s="276" t="n"/>
      <c r="E35" s="276" t="n"/>
      <c r="F35" s="276" t="n"/>
      <c r="G35" s="277" t="n"/>
    </row>
    <row r="36">
      <c r="A36" s="275" t="n"/>
      <c r="B36" s="276" t="n"/>
      <c r="C36" s="276" t="n"/>
      <c r="D36" s="276" t="n"/>
      <c r="E36" s="276" t="n"/>
      <c r="F36" s="276" t="n"/>
      <c r="G36" s="277" t="n"/>
    </row>
    <row r="37">
      <c r="A37" s="275" t="n"/>
      <c r="B37" s="276" t="n"/>
      <c r="C37" s="276" t="n"/>
      <c r="D37" s="276" t="n"/>
      <c r="E37" s="276" t="n"/>
      <c r="F37" s="276" t="n"/>
      <c r="G37" s="277" t="n"/>
    </row>
    <row r="38">
      <c r="A38" s="275" t="n"/>
      <c r="B38" s="276" t="n"/>
      <c r="C38" s="276" t="n"/>
      <c r="D38" s="276" t="n"/>
      <c r="E38" s="276" t="n"/>
      <c r="F38" s="276" t="n"/>
      <c r="G38" s="277" t="n"/>
    </row>
    <row r="39">
      <c r="A39" s="275" t="n"/>
      <c r="B39" s="276" t="n"/>
      <c r="C39" s="276" t="n"/>
      <c r="D39" s="276" t="n"/>
      <c r="E39" s="276" t="n"/>
      <c r="F39" s="276" t="n"/>
      <c r="G39" s="277" t="n"/>
    </row>
    <row r="40">
      <c r="A40" s="278" t="n"/>
      <c r="B40" s="279" t="n"/>
      <c r="C40" s="279" t="n"/>
      <c r="D40" s="279" t="n"/>
      <c r="E40" s="279" t="n"/>
      <c r="F40" s="279" t="n"/>
      <c r="G40" s="280" t="n"/>
    </row>
  </sheetData>
  <mergeCells count="3">
    <mergeCell ref="A2:L2"/>
    <mergeCell ref="A1:L1"/>
    <mergeCell ref="A5:L5"/>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L39"/>
  <sheetViews>
    <sheetView showGridLines="0" workbookViewId="0">
      <selection activeCell="A1" sqref="A1"/>
    </sheetView>
  </sheetViews>
  <sheetFormatPr baseColWidth="8" defaultRowHeight="15"/>
  <sheetData>
    <row r="1" ht="27" customHeight="1" s="242">
      <c r="A1" s="284" t="inlineStr">
        <is>
          <t>20 — Risk Charts</t>
        </is>
      </c>
    </row>
    <row r="2" ht="34" customHeight="1" s="242">
      <c r="A2" s="743" t="inlineStr">
        <is>
          <t>Legacy helper ranges retained for engine compatibility. Interactive presentation moved to the 00 Dashboard suite.</t>
        </is>
      </c>
    </row>
    <row r="4">
      <c r="A4" s="392" t="inlineStr">
        <is>
          <t>Charts refresh when the Python engine rewrites the result workbook.</t>
        </is>
      </c>
    </row>
    <row r="15">
      <c r="A15" t="inlineStr">
        <is>
          <t>Threat actor</t>
        </is>
      </c>
      <c r="B15" t="inlineStr">
        <is>
          <t>AAL</t>
        </is>
      </c>
    </row>
    <row r="16">
      <c r="A16" t="inlineStr">
        <is>
          <t>Nation-state</t>
        </is>
      </c>
      <c r="B16" t="n">
        <v>119201.1446964419</v>
      </c>
    </row>
    <row r="17">
      <c r="A17" t="inlineStr">
        <is>
          <t>Cybercriminal</t>
        </is>
      </c>
      <c r="B17" t="n">
        <v>651035.5348534692</v>
      </c>
    </row>
    <row r="18">
      <c r="A18" t="inlineStr">
        <is>
          <t>Malicious insider</t>
        </is>
      </c>
      <c r="B18" t="n">
        <v>301385.8387835206</v>
      </c>
    </row>
    <row r="19">
      <c r="A19" t="inlineStr">
        <is>
          <t>Hacktivist</t>
        </is>
      </c>
      <c r="B19" t="n">
        <v>240056.8423071318</v>
      </c>
    </row>
    <row r="22">
      <c r="A22" t="inlineStr">
        <is>
          <t>Scenario</t>
        </is>
      </c>
      <c r="B22" t="inlineStr">
        <is>
          <t>AAL</t>
        </is>
      </c>
    </row>
    <row r="23">
      <c r="A23" t="inlineStr">
        <is>
          <t>Critical business-service disruption</t>
        </is>
      </c>
      <c r="B23" t="n">
        <v>575998.2123608057</v>
      </c>
    </row>
    <row r="24">
      <c r="A24" t="inlineStr">
        <is>
          <t>Sensitive-data compromise</t>
        </is>
      </c>
      <c r="B24" t="n">
        <v>292163.9879803411</v>
      </c>
    </row>
    <row r="25">
      <c r="A25" t="inlineStr">
        <is>
          <t>Data or transaction-integrity compromise</t>
        </is>
      </c>
      <c r="B25" t="n">
        <v>183681.8782473958</v>
      </c>
    </row>
    <row r="26">
      <c r="A26" t="inlineStr">
        <is>
          <t>Cyber-enabled theft or fraud</t>
        </is>
      </c>
      <c r="B26" t="n">
        <v>259835.2820520208</v>
      </c>
    </row>
    <row r="29">
      <c r="A29" t="inlineStr">
        <is>
          <t>Return period</t>
        </is>
      </c>
      <c r="B29" t="inlineStr">
        <is>
          <t>Best AEP</t>
        </is>
      </c>
      <c r="C29" t="inlineStr">
        <is>
          <t>Prudent AEP</t>
        </is>
      </c>
    </row>
    <row r="30">
      <c r="A30" t="n">
        <v>2</v>
      </c>
      <c r="B30" t="n">
        <v>0</v>
      </c>
      <c r="C30" t="n">
        <v>0</v>
      </c>
    </row>
    <row r="31">
      <c r="A31" t="n">
        <v>5</v>
      </c>
      <c r="B31" t="n">
        <v>0</v>
      </c>
      <c r="C31" t="n">
        <v>0</v>
      </c>
    </row>
    <row r="32">
      <c r="A32" t="n">
        <v>10</v>
      </c>
      <c r="B32" t="n">
        <v>1129968.648055559</v>
      </c>
      <c r="C32" t="n">
        <v>2334831.253654553</v>
      </c>
    </row>
    <row r="33">
      <c r="A33" t="n">
        <v>20</v>
      </c>
      <c r="B33" t="n">
        <v>5487402.480652438</v>
      </c>
      <c r="C33" t="n">
        <v>7125947.960562246</v>
      </c>
    </row>
    <row r="34">
      <c r="A34" t="n">
        <v>25</v>
      </c>
      <c r="B34" t="n">
        <v>7219261.099474549</v>
      </c>
      <c r="C34" t="n">
        <v>9033416.981644811</v>
      </c>
    </row>
    <row r="35">
      <c r="A35" t="n">
        <v>50</v>
      </c>
      <c r="B35" t="n">
        <v>13910287.2801606</v>
      </c>
      <c r="C35" t="n">
        <v>16402001.81628016</v>
      </c>
    </row>
    <row r="36">
      <c r="A36" t="n">
        <v>100</v>
      </c>
      <c r="B36" t="n">
        <v>22824448.16996593</v>
      </c>
      <c r="C36" t="n">
        <v>26218158.96702391</v>
      </c>
    </row>
    <row r="37">
      <c r="A37" t="n">
        <v>200</v>
      </c>
      <c r="B37" t="n">
        <v>34164819.81496142</v>
      </c>
      <c r="C37" t="n">
        <v>39100629.8822308</v>
      </c>
    </row>
    <row r="38">
      <c r="A38" t="n">
        <v>250</v>
      </c>
      <c r="B38" t="n">
        <v>38734254.17690624</v>
      </c>
      <c r="C38" t="n">
        <v>44082083.53446813</v>
      </c>
    </row>
    <row r="39">
      <c r="A39" t="n">
        <v>500</v>
      </c>
      <c r="B39" t="n">
        <v>56099056.66162974</v>
      </c>
      <c r="C39" t="n">
        <v>61587867.59736592</v>
      </c>
    </row>
  </sheetData>
  <mergeCells count="4">
    <mergeCell ref="A1:L1"/>
    <mergeCell ref="A2:L2"/>
    <mergeCell ref="A2:C2"/>
    <mergeCell ref="A4:L4"/>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L22"/>
  <sheetViews>
    <sheetView showGridLines="0" workbookViewId="0">
      <selection activeCell="A1" sqref="A1"/>
    </sheetView>
  </sheetViews>
  <sheetFormatPr baseColWidth="8" defaultRowHeight="15"/>
  <cols>
    <col width="10" customWidth="1" style="242" min="1" max="1"/>
    <col width="26.67000007629395" customWidth="1" style="242" min="2" max="2"/>
    <col width="52.22000122070312" customWidth="1" style="242" min="3" max="3"/>
    <col width="43.33000183105469" customWidth="1" style="242" min="4" max="4"/>
    <col width="43.33000183105469" customWidth="1" style="242" min="5" max="5"/>
  </cols>
  <sheetData>
    <row r="1" ht="27" customHeight="1" s="242">
      <c r="A1" s="390" t="inlineStr">
        <is>
          <t>21 — Sources and Evidence</t>
        </is>
      </c>
    </row>
    <row r="2" ht="34" customHeight="1" s="242">
      <c r="A2" s="247" t="inlineStr">
        <is>
          <t>Core methodology sources and important limitations. Pack-specific sources remain in the separate sector workbook.</t>
        </is>
      </c>
    </row>
    <row r="15">
      <c r="A15" s="400" t="inlineStr">
        <is>
          <t>Source ID</t>
        </is>
      </c>
      <c r="B15" s="401" t="inlineStr">
        <is>
          <t>Source</t>
        </is>
      </c>
      <c r="C15" s="401" t="inlineStr">
        <is>
          <t>URL / file</t>
        </is>
      </c>
      <c r="D15" s="401" t="inlineStr">
        <is>
          <t>How used</t>
        </is>
      </c>
      <c r="E15" s="402" t="inlineStr">
        <is>
          <t>Limitation</t>
        </is>
      </c>
    </row>
    <row r="16">
      <c r="A16" s="272" t="inlineStr">
        <is>
          <t>CORE-01</t>
        </is>
      </c>
      <c r="B16" s="273" t="inlineStr">
        <is>
          <t>MITRE Enterprise ATT&amp;CK</t>
        </is>
      </c>
      <c r="C16" s="273" t="inlineStr">
        <is>
          <t>https://attack.mitre.org/matrices/enterprise/</t>
        </is>
      </c>
      <c r="D16" s="273" t="inlineStr">
        <is>
          <t>Technique taxonomy</t>
        </is>
      </c>
      <c r="E16" s="274" t="inlineStr">
        <is>
          <t>Not a probability dataset</t>
        </is>
      </c>
    </row>
    <row r="17">
      <c r="A17" s="275" t="inlineStr">
        <is>
          <t>CORE-02</t>
        </is>
      </c>
      <c r="B17" s="276" t="inlineStr">
        <is>
          <t>MITRE Enterprise mitigations</t>
        </is>
      </c>
      <c r="C17" s="276" t="inlineStr">
        <is>
          <t>https://attack.mitre.org/mitigations/enterprise/</t>
        </is>
      </c>
      <c r="D17" s="276" t="inlineStr">
        <is>
          <t>Control-mitigation mapping</t>
        </is>
      </c>
      <c r="E17" s="277" t="inlineStr">
        <is>
          <t>Does not quantify efficacy</t>
        </is>
      </c>
    </row>
    <row r="18">
      <c r="A18" s="275" t="inlineStr">
        <is>
          <t>CORE-03</t>
        </is>
      </c>
      <c r="B18" s="276" t="inlineStr">
        <is>
          <t>NIST CSF 2.0</t>
        </is>
      </c>
      <c r="C18" s="276" t="inlineStr">
        <is>
          <t>https://nvlpubs.nist.gov/nistpubs/CSWP/NIST.CSWP.29.pdf</t>
        </is>
      </c>
      <c r="D18" s="276" t="inlineStr">
        <is>
          <t>Control-family governance</t>
        </is>
      </c>
      <c r="E18" s="277" t="inlineStr">
        <is>
          <t>Outcome framework</t>
        </is>
      </c>
    </row>
    <row r="19">
      <c r="A19" s="275" t="inlineStr">
        <is>
          <t>CORE-04</t>
        </is>
      </c>
      <c r="B19" s="276" t="inlineStr">
        <is>
          <t>CISA KEV</t>
        </is>
      </c>
      <c r="C19" s="276" t="inlineStr">
        <is>
          <t>https://www.cisa.gov/known-exploited-vulnerabilities-catalog</t>
        </is>
      </c>
      <c r="D19" s="276" t="inlineStr">
        <is>
          <t>Future exposure-model evidence</t>
        </is>
      </c>
      <c r="E19" s="277" t="inlineStr">
        <is>
          <t>Not annual organisation frequency</t>
        </is>
      </c>
    </row>
    <row r="20">
      <c r="A20" s="275" t="inlineStr">
        <is>
          <t>CORE-05</t>
        </is>
      </c>
      <c r="B20" s="276" t="inlineStr">
        <is>
          <t>FIRST EPSS</t>
        </is>
      </c>
      <c r="C20" s="276" t="inlineStr">
        <is>
          <t>https://www.first.org/epss/</t>
        </is>
      </c>
      <c r="D20" s="276" t="inlineStr">
        <is>
          <t>Future exposure-model evidence</t>
        </is>
      </c>
      <c r="E20" s="277" t="inlineStr">
        <is>
          <t>30-day population probability only</t>
        </is>
      </c>
    </row>
    <row r="21">
      <c r="A21" s="275" t="inlineStr">
        <is>
          <t>CORE-06</t>
        </is>
      </c>
      <c r="B21" s="276" t="inlineStr">
        <is>
          <t>Guided OT CRQ v1.7</t>
        </is>
      </c>
      <c r="C21" s="276" t="inlineStr">
        <is>
          <t>Guided_OT_CRQ_Model_v1_7.xlsx</t>
        </is>
      </c>
      <c r="D21" s="276" t="inlineStr">
        <is>
          <t>Reference-relative controls, composite stages, Monte Carlo and reporting architecture</t>
        </is>
      </c>
      <c r="E21" s="277" t="inlineStr">
        <is>
          <t>OT content not reused as IT calibration</t>
        </is>
      </c>
    </row>
    <row r="22">
      <c r="A22" s="278" t="inlineStr">
        <is>
          <t>CORE-07</t>
        </is>
      </c>
      <c r="B22" s="279" t="inlineStr">
        <is>
          <t>Balbix Breach Impact Model</t>
        </is>
      </c>
      <c r="C22" s="279" t="inlineStr">
        <is>
          <t>Balbix Breach Impact Model.xlsx</t>
        </is>
      </c>
      <c r="D22" s="279" t="inlineStr">
        <is>
          <t>Impact-driver structure and identifiable rate assumptions</t>
        </is>
      </c>
      <c r="E22" s="280" t="inlineStr">
        <is>
          <t>Taxonomy and formulas rebuilt for this model</t>
        </is>
      </c>
    </row>
  </sheetData>
  <mergeCells count="2">
    <mergeCell ref="A2:L2"/>
    <mergeCell ref="A1:L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L100"/>
  <sheetViews>
    <sheetView showGridLines="0" workbookViewId="0">
      <selection activeCell="A1" sqref="A1"/>
    </sheetView>
  </sheetViews>
  <sheetFormatPr baseColWidth="8" defaultRowHeight="15"/>
  <cols>
    <col width="50" customWidth="1" style="242" min="1" max="1"/>
    <col width="11.10999965667725" customWidth="1" style="242" min="2" max="2"/>
    <col width="20" customWidth="1" style="242" min="3" max="3"/>
    <col width="20" customWidth="1" style="242" min="4" max="4"/>
    <col width="47.77999877929688" customWidth="1" style="242" min="5" max="5"/>
  </cols>
  <sheetData>
    <row r="1" ht="27" customHeight="1" s="242">
      <c r="A1" s="403" t="inlineStr">
        <is>
          <t>22 — Validation Tests</t>
        </is>
      </c>
    </row>
    <row r="2" ht="34" customHeight="1" s="242">
      <c r="A2" s="247" t="inlineStr">
        <is>
          <t>Python-populated structural, numerical, monotonicity and pack-interface checks.</t>
        </is>
      </c>
    </row>
    <row r="15">
      <c r="A15" s="239" t="inlineStr">
        <is>
          <t>Test</t>
        </is>
      </c>
      <c r="B15" s="240" t="inlineStr">
        <is>
          <t>Status</t>
        </is>
      </c>
      <c r="C15" s="240" t="inlineStr">
        <is>
          <t>Actual</t>
        </is>
      </c>
      <c r="D15" s="240" t="inlineStr">
        <is>
          <t>Expected</t>
        </is>
      </c>
      <c r="E15" s="241" t="inlineStr">
        <is>
          <t>Location / remediation</t>
        </is>
      </c>
    </row>
    <row r="16">
      <c r="A16" s="272" t="inlineStr">
        <is>
          <t>Sector-pack schema</t>
        </is>
      </c>
      <c r="B16" s="273" t="inlineStr">
        <is>
          <t>PASS</t>
        </is>
      </c>
      <c r="C16" s="273" t="inlineStr">
        <is>
          <t>CRQ-PACK-1.1</t>
        </is>
      </c>
      <c r="D16" s="273" t="inlineStr">
        <is>
          <t>CRQ-PACK-1.1</t>
        </is>
      </c>
      <c r="E16" s="274" t="inlineStr">
        <is>
          <t>Update pack or engine.</t>
        </is>
      </c>
    </row>
    <row r="17">
      <c r="A17" s="275" t="inlineStr">
        <is>
          <t>Evidence grades valid</t>
        </is>
      </c>
      <c r="B17" s="276" t="inlineStr">
        <is>
          <t>PASS</t>
        </is>
      </c>
      <c r="C17" s="276" t="inlineStr">
        <is>
          <t>Valid</t>
        </is>
      </c>
      <c r="D17" s="276" t="inlineStr">
        <is>
          <t>A-D</t>
        </is>
      </c>
      <c r="E17" s="277" t="inlineStr">
        <is>
          <t>Correct pack grade.</t>
        </is>
      </c>
    </row>
    <row r="18">
      <c r="A18" s="275" t="inlineStr">
        <is>
          <t>Exposure switch neutralisation</t>
        </is>
      </c>
      <c r="B18" s="276" t="inlineStr">
        <is>
          <t>PASS</t>
        </is>
      </c>
      <c r="C18" s="276" t="inlineStr">
        <is>
          <t>Neutral</t>
        </is>
      </c>
      <c r="D18" s="276" t="inlineStr">
        <is>
          <t>Neutral when No</t>
        </is>
      </c>
      <c r="E18" s="277" t="inlineStr">
        <is>
          <t>Review exposure interface.</t>
        </is>
      </c>
    </row>
    <row r="19">
      <c r="A19" s="275" t="inlineStr">
        <is>
          <t>Baseline attempt frequency preserved</t>
        </is>
      </c>
      <c r="B19" s="276" t="inlineStr">
        <is>
          <t>PASS</t>
        </is>
      </c>
      <c r="C19" s="276" t="n">
        <v>1</v>
      </c>
      <c r="D19" s="276" t="n">
        <v>1</v>
      </c>
      <c r="E19" s="277" t="inlineStr">
        <is>
          <t>Review route renormalisation.</t>
        </is>
      </c>
    </row>
    <row r="20">
      <c r="A20" s="275" t="inlineStr">
        <is>
          <t>Positive actor-scenario cells have valid paths</t>
        </is>
      </c>
      <c r="B20" s="276" t="inlineStr">
        <is>
          <t>PASS</t>
        </is>
      </c>
      <c r="C20" s="276" t="inlineStr">
        <is>
          <t>Covered</t>
        </is>
      </c>
      <c r="D20" s="276" t="inlineStr">
        <is>
          <t>Covered</t>
        </is>
      </c>
      <c r="E20" s="277" t="inlineStr">
        <is>
          <t>Review stage and ATT&amp;CK applicability.</t>
        </is>
      </c>
    </row>
    <row r="21">
      <c r="A21" s="275" t="inlineStr">
        <is>
          <t>No dead route-technique mappings</t>
        </is>
      </c>
      <c r="B21" s="276" t="inlineStr">
        <is>
          <t>PASS</t>
        </is>
      </c>
      <c r="C21" s="276" t="inlineStr">
        <is>
          <t>None</t>
        </is>
      </c>
      <c r="D21" s="276" t="inlineStr">
        <is>
          <t>None</t>
        </is>
      </c>
      <c r="E21" s="277" t="inlineStr">
        <is>
          <t>Correct mapping.</t>
        </is>
      </c>
    </row>
    <row r="22">
      <c r="A22" s="275" t="inlineStr">
        <is>
          <t>All-zero stage masks inactive</t>
        </is>
      </c>
      <c r="B22" s="276" t="inlineStr">
        <is>
          <t>PASS</t>
        </is>
      </c>
      <c r="C22" s="276" t="inlineStr">
        <is>
          <t>None</t>
        </is>
      </c>
      <c r="D22" s="276" t="inlineStr">
        <is>
          <t>None with non-zero pooled route propensity</t>
        </is>
      </c>
      <c r="E22" s="277" t="inlineStr">
        <is>
          <t>Set at least one required stage or zero the route propensity.</t>
        </is>
      </c>
    </row>
    <row r="23">
      <c r="A23" s="275" t="inlineStr">
        <is>
          <t>Loss-block P99 &gt;= P50</t>
        </is>
      </c>
      <c r="B23" s="276" t="inlineStr">
        <is>
          <t>PASS</t>
        </is>
      </c>
      <c r="C23" s="276" t="inlineStr">
        <is>
          <t>Ordered</t>
        </is>
      </c>
      <c r="D23" s="276" t="inlineStr">
        <is>
          <t>Ordered</t>
        </is>
      </c>
      <c r="E23" s="277" t="inlineStr">
        <is>
          <t>Review impact assumptions.</t>
        </is>
      </c>
    </row>
    <row r="24">
      <c r="A24" s="275" t="inlineStr">
        <is>
          <t>Control ratios bounded</t>
        </is>
      </c>
      <c r="B24" s="276" t="inlineStr">
        <is>
          <t>PASS</t>
        </is>
      </c>
      <c r="C24" s="276" t="inlineStr">
        <is>
          <t>Bounded</t>
        </is>
      </c>
      <c r="D24" s="276" t="inlineStr">
        <is>
          <t>Within pack bounds</t>
        </is>
      </c>
      <c r="E24" s="277" t="inlineStr">
        <is>
          <t>Review aggregation.</t>
        </is>
      </c>
    </row>
    <row r="25">
      <c r="A25" s="275" t="inlineStr">
        <is>
          <t>Common random numbers reproducible</t>
        </is>
      </c>
      <c r="B25" s="276" t="inlineStr">
        <is>
          <t>PASS</t>
        </is>
      </c>
      <c r="C25" s="276" t="inlineStr">
        <is>
          <t>Exact match</t>
        </is>
      </c>
      <c r="D25" s="276" t="inlineStr">
        <is>
          <t>Exact match</t>
        </is>
      </c>
      <c r="E25" s="277" t="inlineStr">
        <is>
          <t>Use same seed/order.</t>
        </is>
      </c>
    </row>
    <row r="26">
      <c r="A26" s="275" t="inlineStr">
        <is>
          <t>Simulation AAL reconciles to analytic AAL</t>
        </is>
      </c>
      <c r="B26" s="276" t="inlineStr">
        <is>
          <t>PASS</t>
        </is>
      </c>
      <c r="C26" s="276" t="n">
        <v>1059877.254455533</v>
      </c>
      <c r="D26" s="276" t="n">
        <v>1046974.054487771</v>
      </c>
      <c r="E26" s="277" t="inlineStr">
        <is>
          <t>Increase years or review means.</t>
        </is>
      </c>
    </row>
    <row r="27">
      <c r="A27" s="275" t="inlineStr">
        <is>
          <t>TVaR not below VaR</t>
        </is>
      </c>
      <c r="B27" s="276" t="inlineStr">
        <is>
          <t>PASS</t>
        </is>
      </c>
      <c r="C27" s="276" t="inlineStr">
        <is>
          <t>Valid</t>
        </is>
      </c>
      <c r="D27" s="276" t="inlineStr">
        <is>
          <t>TVaR &gt;= VaR</t>
        </is>
      </c>
      <c r="E27" s="277" t="inlineStr">
        <is>
          <t>Review tail metrics.</t>
        </is>
      </c>
    </row>
    <row r="28">
      <c r="A28" s="275" t="inlineStr">
        <is>
          <t>Sparse-loss exact TVaR</t>
        </is>
      </c>
      <c r="B28" s="276" t="inlineStr">
        <is>
          <t>PASS</t>
        </is>
      </c>
      <c r="C28" s="276" t="n">
        <v>19.99999999999998</v>
      </c>
      <c r="D28" s="276" t="n">
        <v>20</v>
      </c>
      <c r="E28" s="277" t="inlineStr">
        <is>
          <t>Restore fractional upper-tail expected shortfall.</t>
        </is>
      </c>
    </row>
    <row r="29">
      <c r="A29" s="275" t="inlineStr">
        <is>
          <t>Diminishing-return control aggregation</t>
        </is>
      </c>
      <c r="B29" s="276" t="inlineStr">
        <is>
          <t>PASS</t>
        </is>
      </c>
      <c r="C29" s="276" t="n">
        <v>0.5805092839436838</v>
      </c>
      <c r="D29" s="276" t="n">
        <v>0.5805092839436838</v>
      </c>
      <c r="E29" s="277" t="inlineStr">
        <is>
          <t>Use remaining-gap OT recursion and barrier cap.</t>
        </is>
      </c>
    </row>
    <row r="30">
      <c r="A30" s="275" t="inlineStr">
        <is>
          <t>Reporting-view resolution</t>
        </is>
      </c>
      <c r="B30" s="276" t="inlineStr">
        <is>
          <t>PASS</t>
        </is>
      </c>
      <c r="C30" s="276" t="inlineStr">
        <is>
          <t>Prudent</t>
        </is>
      </c>
      <c r="D30" s="276" t="inlineStr">
        <is>
          <t>Prudent</t>
        </is>
      </c>
      <c r="E30" s="277" t="inlineStr">
        <is>
          <t>Use one reporting-view resolver for outputs and what-ifs.</t>
        </is>
      </c>
    </row>
    <row r="31">
      <c r="A31" s="275" t="inlineStr">
        <is>
          <t>AEP/OEP valid</t>
        </is>
      </c>
      <c r="B31" s="276" t="inlineStr">
        <is>
          <t>PASS</t>
        </is>
      </c>
      <c r="C31" s="276" t="inlineStr">
        <is>
          <t>Valid</t>
        </is>
      </c>
      <c r="D31" s="276" t="inlineStr">
        <is>
          <t>Monotonic; OEP &lt;= AEP</t>
        </is>
      </c>
      <c r="E31" s="277" t="inlineStr">
        <is>
          <t>Review curves.</t>
        </is>
      </c>
    </row>
    <row r="32">
      <c r="A32" s="275" t="inlineStr">
        <is>
          <t>Control what-ifs non-increasing</t>
        </is>
      </c>
      <c r="B32" s="276" t="inlineStr">
        <is>
          <t>PASS</t>
        </is>
      </c>
      <c r="C32" s="276" t="n">
        <v>1198.275031878846</v>
      </c>
      <c r="D32" s="276" t="inlineStr">
        <is>
          <t>&gt;= 0</t>
        </is>
      </c>
      <c r="E32" s="277" t="inlineStr">
        <is>
          <t>Review control channels.</t>
        </is>
      </c>
    </row>
    <row r="33">
      <c r="A33" s="275" t="inlineStr">
        <is>
          <t>Actor/scenario AAL reconcile</t>
        </is>
      </c>
      <c r="B33" s="276" t="inlineStr">
        <is>
          <t>PASS</t>
        </is>
      </c>
      <c r="C33" s="276" t="n">
        <v>2.328306436538696e-10</v>
      </c>
      <c r="D33" s="276" t="n">
        <v>0</v>
      </c>
      <c r="E33" s="277" t="inlineStr">
        <is>
          <t>Review decomposition.</t>
        </is>
      </c>
    </row>
    <row r="34">
      <c r="A34" s="275" t="inlineStr">
        <is>
          <t>Simulation finite</t>
        </is>
      </c>
      <c r="B34" s="276" t="inlineStr">
        <is>
          <t>PASS</t>
        </is>
      </c>
      <c r="C34" s="276" t="inlineStr">
        <is>
          <t>Finite</t>
        </is>
      </c>
      <c r="D34" s="276" t="inlineStr">
        <is>
          <t>Finite</t>
        </is>
      </c>
      <c r="E34" s="277" t="inlineStr">
        <is>
          <t>Review inputs.</t>
        </is>
      </c>
    </row>
    <row r="35">
      <c r="A35" s="275" t="n"/>
      <c r="B35" s="276" t="n"/>
      <c r="C35" s="276" t="n"/>
      <c r="D35" s="276" t="n"/>
      <c r="E35" s="277" t="n"/>
    </row>
    <row r="36">
      <c r="A36" s="275" t="n"/>
      <c r="B36" s="276" t="n"/>
      <c r="C36" s="276" t="n"/>
      <c r="D36" s="276" t="n"/>
      <c r="E36" s="277" t="n"/>
    </row>
    <row r="37">
      <c r="A37" s="275" t="n"/>
      <c r="B37" s="276" t="n"/>
      <c r="C37" s="276" t="n"/>
      <c r="D37" s="276" t="n"/>
      <c r="E37" s="277" t="n"/>
    </row>
    <row r="38">
      <c r="A38" s="275" t="n"/>
      <c r="B38" s="276" t="n"/>
      <c r="C38" s="276" t="n"/>
      <c r="D38" s="276" t="n"/>
      <c r="E38" s="277" t="n"/>
    </row>
    <row r="39">
      <c r="A39" s="275" t="n"/>
      <c r="B39" s="276" t="n"/>
      <c r="C39" s="276" t="n"/>
      <c r="D39" s="276" t="n"/>
      <c r="E39" s="277" t="n"/>
    </row>
    <row r="40">
      <c r="A40" s="275" t="n"/>
      <c r="B40" s="276" t="n"/>
      <c r="C40" s="276" t="n"/>
      <c r="D40" s="276" t="n"/>
      <c r="E40" s="277" t="n"/>
    </row>
    <row r="41">
      <c r="A41" s="275" t="n"/>
      <c r="B41" s="276" t="n"/>
      <c r="C41" s="276" t="n"/>
      <c r="D41" s="276" t="n"/>
      <c r="E41" s="277" t="n"/>
    </row>
    <row r="42">
      <c r="A42" s="275" t="n"/>
      <c r="B42" s="276" t="n"/>
      <c r="C42" s="276" t="n"/>
      <c r="D42" s="276" t="n"/>
      <c r="E42" s="277" t="n"/>
    </row>
    <row r="43">
      <c r="A43" s="275" t="n"/>
      <c r="B43" s="276" t="n"/>
      <c r="C43" s="276" t="n"/>
      <c r="D43" s="276" t="n"/>
      <c r="E43" s="277" t="n"/>
    </row>
    <row r="44">
      <c r="A44" s="275" t="n"/>
      <c r="B44" s="276" t="n"/>
      <c r="C44" s="276" t="n"/>
      <c r="D44" s="276" t="n"/>
      <c r="E44" s="277" t="n"/>
    </row>
    <row r="45">
      <c r="A45" s="275" t="n"/>
      <c r="B45" s="276" t="n"/>
      <c r="C45" s="276" t="n"/>
      <c r="D45" s="276" t="n"/>
      <c r="E45" s="277" t="n"/>
    </row>
    <row r="46">
      <c r="A46" s="275" t="n"/>
      <c r="B46" s="276" t="n"/>
      <c r="C46" s="276" t="n"/>
      <c r="D46" s="276" t="n"/>
      <c r="E46" s="277" t="n"/>
    </row>
    <row r="47">
      <c r="A47" s="275" t="n"/>
      <c r="B47" s="276" t="n"/>
      <c r="C47" s="276" t="n"/>
      <c r="D47" s="276" t="n"/>
      <c r="E47" s="277" t="n"/>
    </row>
    <row r="48">
      <c r="A48" s="275" t="n"/>
      <c r="B48" s="276" t="n"/>
      <c r="C48" s="276" t="n"/>
      <c r="D48" s="276" t="n"/>
      <c r="E48" s="277" t="n"/>
    </row>
    <row r="49">
      <c r="A49" s="275" t="n"/>
      <c r="B49" s="276" t="n"/>
      <c r="C49" s="276" t="n"/>
      <c r="D49" s="276" t="n"/>
      <c r="E49" s="277" t="n"/>
    </row>
    <row r="50">
      <c r="A50" s="275" t="n"/>
      <c r="B50" s="276" t="n"/>
      <c r="C50" s="276" t="n"/>
      <c r="D50" s="276" t="n"/>
      <c r="E50" s="277" t="n"/>
    </row>
    <row r="51">
      <c r="A51" s="275" t="n"/>
      <c r="B51" s="276" t="n"/>
      <c r="C51" s="276" t="n"/>
      <c r="D51" s="276" t="n"/>
      <c r="E51" s="277" t="n"/>
    </row>
    <row r="52">
      <c r="A52" s="275" t="n"/>
      <c r="B52" s="276" t="n"/>
      <c r="C52" s="276" t="n"/>
      <c r="D52" s="276" t="n"/>
      <c r="E52" s="277" t="n"/>
    </row>
    <row r="53">
      <c r="A53" s="275" t="n"/>
      <c r="B53" s="276" t="n"/>
      <c r="C53" s="276" t="n"/>
      <c r="D53" s="276" t="n"/>
      <c r="E53" s="277" t="n"/>
    </row>
    <row r="54">
      <c r="A54" s="275" t="n"/>
      <c r="B54" s="276" t="n"/>
      <c r="C54" s="276" t="n"/>
      <c r="D54" s="276" t="n"/>
      <c r="E54" s="277" t="n"/>
    </row>
    <row r="55">
      <c r="A55" s="275" t="n"/>
      <c r="B55" s="276" t="n"/>
      <c r="C55" s="276" t="n"/>
      <c r="D55" s="276" t="n"/>
      <c r="E55" s="277" t="n"/>
    </row>
    <row r="56">
      <c r="A56" s="275" t="n"/>
      <c r="B56" s="276" t="n"/>
      <c r="C56" s="276" t="n"/>
      <c r="D56" s="276" t="n"/>
      <c r="E56" s="277" t="n"/>
    </row>
    <row r="57">
      <c r="A57" s="275" t="n"/>
      <c r="B57" s="276" t="n"/>
      <c r="C57" s="276" t="n"/>
      <c r="D57" s="276" t="n"/>
      <c r="E57" s="277" t="n"/>
    </row>
    <row r="58">
      <c r="A58" s="275" t="n"/>
      <c r="B58" s="276" t="n"/>
      <c r="C58" s="276" t="n"/>
      <c r="D58" s="276" t="n"/>
      <c r="E58" s="277" t="n"/>
    </row>
    <row r="59">
      <c r="A59" s="275" t="n"/>
      <c r="B59" s="276" t="n"/>
      <c r="C59" s="276" t="n"/>
      <c r="D59" s="276" t="n"/>
      <c r="E59" s="277" t="n"/>
    </row>
    <row r="60">
      <c r="A60" s="275" t="n"/>
      <c r="B60" s="276" t="n"/>
      <c r="C60" s="276" t="n"/>
      <c r="D60" s="276" t="n"/>
      <c r="E60" s="277" t="n"/>
    </row>
    <row r="61">
      <c r="A61" s="275" t="n"/>
      <c r="B61" s="276" t="n"/>
      <c r="C61" s="276" t="n"/>
      <c r="D61" s="276" t="n"/>
      <c r="E61" s="277" t="n"/>
    </row>
    <row r="62">
      <c r="A62" s="275" t="n"/>
      <c r="B62" s="276" t="n"/>
      <c r="C62" s="276" t="n"/>
      <c r="D62" s="276" t="n"/>
      <c r="E62" s="277" t="n"/>
    </row>
    <row r="63">
      <c r="A63" s="275" t="n"/>
      <c r="B63" s="276" t="n"/>
      <c r="C63" s="276" t="n"/>
      <c r="D63" s="276" t="n"/>
      <c r="E63" s="277" t="n"/>
    </row>
    <row r="64">
      <c r="A64" s="275" t="n"/>
      <c r="B64" s="276" t="n"/>
      <c r="C64" s="276" t="n"/>
      <c r="D64" s="276" t="n"/>
      <c r="E64" s="277" t="n"/>
    </row>
    <row r="65">
      <c r="A65" s="275" t="n"/>
      <c r="B65" s="276" t="n"/>
      <c r="C65" s="276" t="n"/>
      <c r="D65" s="276" t="n"/>
      <c r="E65" s="277" t="n"/>
    </row>
    <row r="66">
      <c r="A66" s="275" t="n"/>
      <c r="B66" s="276" t="n"/>
      <c r="C66" s="276" t="n"/>
      <c r="D66" s="276" t="n"/>
      <c r="E66" s="277" t="n"/>
    </row>
    <row r="67">
      <c r="A67" s="275" t="n"/>
      <c r="B67" s="276" t="n"/>
      <c r="C67" s="276" t="n"/>
      <c r="D67" s="276" t="n"/>
      <c r="E67" s="277" t="n"/>
    </row>
    <row r="68">
      <c r="A68" s="275" t="n"/>
      <c r="B68" s="276" t="n"/>
      <c r="C68" s="276" t="n"/>
      <c r="D68" s="276" t="n"/>
      <c r="E68" s="277" t="n"/>
    </row>
    <row r="69">
      <c r="A69" s="275" t="n"/>
      <c r="B69" s="276" t="n"/>
      <c r="C69" s="276" t="n"/>
      <c r="D69" s="276" t="n"/>
      <c r="E69" s="277" t="n"/>
    </row>
    <row r="70">
      <c r="A70" s="275" t="n"/>
      <c r="B70" s="276" t="n"/>
      <c r="C70" s="276" t="n"/>
      <c r="D70" s="276" t="n"/>
      <c r="E70" s="277" t="n"/>
    </row>
    <row r="71">
      <c r="A71" s="275" t="n"/>
      <c r="B71" s="276" t="n"/>
      <c r="C71" s="276" t="n"/>
      <c r="D71" s="276" t="n"/>
      <c r="E71" s="277" t="n"/>
    </row>
    <row r="72">
      <c r="A72" s="275" t="n"/>
      <c r="B72" s="276" t="n"/>
      <c r="C72" s="276" t="n"/>
      <c r="D72" s="276" t="n"/>
      <c r="E72" s="277" t="n"/>
    </row>
    <row r="73">
      <c r="A73" s="275" t="n"/>
      <c r="B73" s="276" t="n"/>
      <c r="C73" s="276" t="n"/>
      <c r="D73" s="276" t="n"/>
      <c r="E73" s="277" t="n"/>
    </row>
    <row r="74">
      <c r="A74" s="275" t="n"/>
      <c r="B74" s="276" t="n"/>
      <c r="C74" s="276" t="n"/>
      <c r="D74" s="276" t="n"/>
      <c r="E74" s="277" t="n"/>
    </row>
    <row r="75">
      <c r="A75" s="275" t="n"/>
      <c r="B75" s="276" t="n"/>
      <c r="C75" s="276" t="n"/>
      <c r="D75" s="276" t="n"/>
      <c r="E75" s="277" t="n"/>
    </row>
    <row r="76">
      <c r="A76" s="275" t="n"/>
      <c r="B76" s="276" t="n"/>
      <c r="C76" s="276" t="n"/>
      <c r="D76" s="276" t="n"/>
      <c r="E76" s="277" t="n"/>
    </row>
    <row r="77">
      <c r="A77" s="275" t="n"/>
      <c r="B77" s="276" t="n"/>
      <c r="C77" s="276" t="n"/>
      <c r="D77" s="276" t="n"/>
      <c r="E77" s="277" t="n"/>
    </row>
    <row r="78">
      <c r="A78" s="275" t="n"/>
      <c r="B78" s="276" t="n"/>
      <c r="C78" s="276" t="n"/>
      <c r="D78" s="276" t="n"/>
      <c r="E78" s="277" t="n"/>
    </row>
    <row r="79">
      <c r="A79" s="275" t="n"/>
      <c r="B79" s="276" t="n"/>
      <c r="C79" s="276" t="n"/>
      <c r="D79" s="276" t="n"/>
      <c r="E79" s="277" t="n"/>
    </row>
    <row r="80">
      <c r="A80" s="275" t="n"/>
      <c r="B80" s="276" t="n"/>
      <c r="C80" s="276" t="n"/>
      <c r="D80" s="276" t="n"/>
      <c r="E80" s="277" t="n"/>
    </row>
    <row r="81">
      <c r="A81" s="275" t="n"/>
      <c r="B81" s="276" t="n"/>
      <c r="C81" s="276" t="n"/>
      <c r="D81" s="276" t="n"/>
      <c r="E81" s="277" t="n"/>
    </row>
    <row r="82">
      <c r="A82" s="275" t="n"/>
      <c r="B82" s="276" t="n"/>
      <c r="C82" s="276" t="n"/>
      <c r="D82" s="276" t="n"/>
      <c r="E82" s="277" t="n"/>
    </row>
    <row r="83">
      <c r="A83" s="275" t="n"/>
      <c r="B83" s="276" t="n"/>
      <c r="C83" s="276" t="n"/>
      <c r="D83" s="276" t="n"/>
      <c r="E83" s="277" t="n"/>
    </row>
    <row r="84">
      <c r="A84" s="275" t="n"/>
      <c r="B84" s="276" t="n"/>
      <c r="C84" s="276" t="n"/>
      <c r="D84" s="276" t="n"/>
      <c r="E84" s="277" t="n"/>
    </row>
    <row r="85">
      <c r="A85" s="275" t="n"/>
      <c r="B85" s="276" t="n"/>
      <c r="C85" s="276" t="n"/>
      <c r="D85" s="276" t="n"/>
      <c r="E85" s="277" t="n"/>
    </row>
    <row r="86">
      <c r="A86" s="275" t="n"/>
      <c r="B86" s="276" t="n"/>
      <c r="C86" s="276" t="n"/>
      <c r="D86" s="276" t="n"/>
      <c r="E86" s="277" t="n"/>
    </row>
    <row r="87">
      <c r="A87" s="275" t="n"/>
      <c r="B87" s="276" t="n"/>
      <c r="C87" s="276" t="n"/>
      <c r="D87" s="276" t="n"/>
      <c r="E87" s="277" t="n"/>
    </row>
    <row r="88">
      <c r="A88" s="275" t="n"/>
      <c r="B88" s="276" t="n"/>
      <c r="C88" s="276" t="n"/>
      <c r="D88" s="276" t="n"/>
      <c r="E88" s="277" t="n"/>
    </row>
    <row r="89">
      <c r="A89" s="275" t="n"/>
      <c r="B89" s="276" t="n"/>
      <c r="C89" s="276" t="n"/>
      <c r="D89" s="276" t="n"/>
      <c r="E89" s="277" t="n"/>
    </row>
    <row r="90">
      <c r="A90" s="275" t="n"/>
      <c r="B90" s="276" t="n"/>
      <c r="C90" s="276" t="n"/>
      <c r="D90" s="276" t="n"/>
      <c r="E90" s="277" t="n"/>
    </row>
    <row r="91">
      <c r="A91" s="275" t="n"/>
      <c r="B91" s="276" t="n"/>
      <c r="C91" s="276" t="n"/>
      <c r="D91" s="276" t="n"/>
      <c r="E91" s="277" t="n"/>
    </row>
    <row r="92">
      <c r="A92" s="275" t="n"/>
      <c r="B92" s="276" t="n"/>
      <c r="C92" s="276" t="n"/>
      <c r="D92" s="276" t="n"/>
      <c r="E92" s="277" t="n"/>
    </row>
    <row r="93">
      <c r="A93" s="275" t="n"/>
      <c r="B93" s="276" t="n"/>
      <c r="C93" s="276" t="n"/>
      <c r="D93" s="276" t="n"/>
      <c r="E93" s="277" t="n"/>
    </row>
    <row r="94">
      <c r="A94" s="275" t="n"/>
      <c r="B94" s="276" t="n"/>
      <c r="C94" s="276" t="n"/>
      <c r="D94" s="276" t="n"/>
      <c r="E94" s="277" t="n"/>
    </row>
    <row r="95">
      <c r="A95" s="275" t="n"/>
      <c r="B95" s="276" t="n"/>
      <c r="C95" s="276" t="n"/>
      <c r="D95" s="276" t="n"/>
      <c r="E95" s="277" t="n"/>
    </row>
    <row r="96">
      <c r="A96" s="275" t="n"/>
      <c r="B96" s="276" t="n"/>
      <c r="C96" s="276" t="n"/>
      <c r="D96" s="276" t="n"/>
      <c r="E96" s="277" t="n"/>
    </row>
    <row r="97">
      <c r="A97" s="275" t="n"/>
      <c r="B97" s="276" t="n"/>
      <c r="C97" s="276" t="n"/>
      <c r="D97" s="276" t="n"/>
      <c r="E97" s="277" t="n"/>
    </row>
    <row r="98">
      <c r="A98" s="275" t="n"/>
      <c r="B98" s="276" t="n"/>
      <c r="C98" s="276" t="n"/>
      <c r="D98" s="276" t="n"/>
      <c r="E98" s="277" t="n"/>
    </row>
    <row r="99">
      <c r="A99" s="275" t="n"/>
      <c r="B99" s="276" t="n"/>
      <c r="C99" s="276" t="n"/>
      <c r="D99" s="276" t="n"/>
      <c r="E99" s="277" t="n"/>
    </row>
    <row r="100">
      <c r="A100" s="278" t="n"/>
      <c r="B100" s="279" t="n"/>
      <c r="C100" s="279" t="n"/>
      <c r="D100" s="279" t="n"/>
      <c r="E100" s="280" t="n"/>
    </row>
  </sheetData>
  <mergeCells count="2">
    <mergeCell ref="A2:L2"/>
    <mergeCell ref="A1:L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N80"/>
  <sheetViews>
    <sheetView showGridLines="0" workbookViewId="0">
      <selection activeCell="A1" sqref="A1"/>
    </sheetView>
  </sheetViews>
  <sheetFormatPr baseColWidth="8" defaultRowHeight="15"/>
  <cols>
    <col width="16" customWidth="1" style="242" min="1" max="1"/>
    <col width="16" customWidth="1" style="242" min="2" max="2"/>
    <col width="3" customWidth="1" style="242" min="3" max="3"/>
    <col width="16" customWidth="1" style="242" min="4" max="4"/>
    <col width="16" customWidth="1" style="242" min="5" max="5"/>
    <col width="3" customWidth="1" style="242" min="6" max="6"/>
    <col width="16" customWidth="1" style="242" min="7" max="7"/>
    <col width="16" customWidth="1" style="242" min="8" max="8"/>
    <col width="3" customWidth="1" style="242" min="9" max="9"/>
    <col width="16" customWidth="1" style="242" min="10" max="10"/>
    <col width="16" customWidth="1" style="242" min="11" max="11"/>
    <col width="3" customWidth="1" style="242" min="12" max="12"/>
    <col width="16" customWidth="1" style="242" min="13" max="13"/>
    <col width="16" customWidth="1" style="242" min="14" max="14"/>
  </cols>
  <sheetData>
    <row r="1">
      <c r="A1" s="448" t="inlineStr">
        <is>
          <t>IT CYBER RISK QUANTIFICATION | EXECUTIVE DASHBOARD</t>
        </is>
      </c>
    </row>
    <row r="2"/>
    <row r="3">
      <c r="A3" s="451" t="inlineStr">
        <is>
          <t>Decision view of financial risk, tail exposure, scenario/actor concentration and control opportunities. Engine output sheets remain the system of record.</t>
        </is>
      </c>
    </row>
    <row r="4">
      <c r="A4" s="453" t="inlineStr">
        <is>
          <t>Sector</t>
        </is>
      </c>
      <c r="B4" s="454">
        <f>'02 Executive Summary'!B22</f>
        <v/>
      </c>
      <c r="E4" s="453" t="inlineStr">
        <is>
          <t>Pack</t>
        </is>
      </c>
      <c r="F4" s="454">
        <f>'02 Executive Summary'!B23</f>
        <v/>
      </c>
      <c r="I4" s="453" t="inlineStr">
        <is>
          <t>Detailed view</t>
        </is>
      </c>
      <c r="J4" s="454">
        <f>'08 Tail Risk Settings'!B16</f>
        <v/>
      </c>
      <c r="L4" s="453" t="inlineStr">
        <is>
          <t>Last run</t>
        </is>
      </c>
      <c r="M4" s="454">
        <f>'02 Executive Summary'!B26</f>
        <v/>
      </c>
    </row>
    <row r="5">
      <c r="A5" s="444" t="n"/>
      <c r="B5" s="444" t="n"/>
      <c r="C5" s="444" t="n"/>
      <c r="D5" s="444" t="n"/>
      <c r="E5" s="444" t="n"/>
      <c r="F5" s="444" t="n"/>
      <c r="G5" s="444" t="n"/>
      <c r="H5" s="444" t="n"/>
      <c r="I5" s="444" t="n"/>
      <c r="J5" s="444" t="n"/>
      <c r="K5" s="444" t="n"/>
      <c r="L5" s="444" t="n"/>
      <c r="M5" s="444" t="n"/>
      <c r="N5" s="444" t="n"/>
    </row>
    <row r="6">
      <c r="A6" s="456" t="inlineStr">
        <is>
          <t>Reporting basis</t>
        </is>
      </c>
      <c r="B6" s="461" t="inlineStr">
        <is>
          <t>Prudent</t>
        </is>
      </c>
      <c r="C6" s="444" t="n"/>
      <c r="D6" s="456" t="inlineStr">
        <is>
          <t>Loss curve</t>
        </is>
      </c>
      <c r="E6" s="461" t="inlineStr">
        <is>
          <t>AEP</t>
        </is>
      </c>
      <c r="F6" s="444" t="n"/>
      <c r="G6" s="456" t="inlineStr">
        <is>
          <t>Return period</t>
        </is>
      </c>
      <c r="H6" s="461" t="n">
        <v>100</v>
      </c>
      <c r="I6" s="444" t="n"/>
      <c r="J6" s="455" t="inlineStr">
        <is>
          <t>Selected loss</t>
        </is>
      </c>
      <c r="K6" s="745">
        <f>IFERROR(IF($B$6="Best Estimate",IF($E$6="AEP",INDEX('17 Aggregate LECs'!$C$16:$C$25,MATCH($H$6,'17 Aggregate LECs'!$A$16:$A$25,0)),INDEX('17 Aggregate LECs'!$D$16:$D$25,MATCH($H$6,'17 Aggregate LECs'!$A$16:$A$25,0))),IF($E$6="AEP",INDEX('17 Aggregate LECs'!$E$16:$E$25,MATCH($H$6,'17 Aggregate LECs'!$A$16:$A$25,0)),INDEX('17 Aggregate LECs'!$F$16:$F$25,MATCH($H$6,'17 Aggregate LECs'!$A$16:$A$25,0)))),"")</f>
        <v/>
      </c>
    </row>
    <row r="7">
      <c r="A7" s="444" t="n"/>
      <c r="B7" s="444" t="n"/>
      <c r="C7" s="444" t="n"/>
      <c r="D7" s="444" t="n"/>
      <c r="E7" s="444" t="n"/>
      <c r="F7" s="444" t="n"/>
      <c r="G7" s="444" t="n"/>
      <c r="H7" s="444" t="n"/>
      <c r="I7" s="444" t="n"/>
      <c r="J7" s="444" t="n"/>
      <c r="K7" s="444" t="n"/>
      <c r="L7" s="444" t="n"/>
      <c r="M7" s="444" t="n"/>
      <c r="N7" s="444" t="n"/>
    </row>
    <row r="8">
      <c r="A8" s="746" t="inlineStr">
        <is>
          <t>ANNUAL AVERAGE LOSS</t>
        </is>
      </c>
      <c r="C8" s="444" t="n"/>
      <c r="D8" s="746" t="inlineStr">
        <is>
          <t>TVaR 95%</t>
        </is>
      </c>
      <c r="F8" s="444" t="n"/>
      <c r="G8" s="746" t="inlineStr">
        <is>
          <t>TVaR 99%</t>
        </is>
      </c>
      <c r="I8" s="444" t="n"/>
      <c r="J8" s="746" t="inlineStr">
        <is>
          <t>P(ANY SUCCESSFUL EVENT)</t>
        </is>
      </c>
      <c r="L8" s="444" t="n"/>
      <c r="M8" s="746" t="inlineStr">
        <is>
          <t>SUCCESSFUL EVENTS / YEAR</t>
        </is>
      </c>
    </row>
    <row r="9">
      <c r="A9" s="747">
        <f>IF($B$6="Best Estimate",'02 Executive Summary'!B7,'02 Executive Summary'!C7)</f>
        <v/>
      </c>
      <c r="C9" s="444" t="n"/>
      <c r="D9" s="747">
        <f>IF($B$6="Best Estimate",'02 Executive Summary'!B9,'02 Executive Summary'!C9)</f>
        <v/>
      </c>
      <c r="F9" s="444" t="n"/>
      <c r="G9" s="747">
        <f>IF($B$6="Best Estimate",'02 Executive Summary'!B11,'02 Executive Summary'!C11)</f>
        <v/>
      </c>
      <c r="I9" s="444" t="n"/>
      <c r="J9" s="748">
        <f>IF($B$6="Best Estimate",'02 Executive Summary'!B18,'02 Executive Summary'!C18)</f>
        <v/>
      </c>
      <c r="L9" s="444" t="n"/>
      <c r="M9" s="749">
        <f>IF($B$6="Best Estimate",'02 Executive Summary'!B19,'02 Executive Summary'!C19)</f>
        <v/>
      </c>
    </row>
    <row r="10">
      <c r="C10" s="444" t="n"/>
      <c r="F10" s="444" t="n"/>
      <c r="I10" s="444" t="n"/>
      <c r="L10" s="444" t="n"/>
    </row>
    <row r="11">
      <c r="C11" s="444" t="n"/>
      <c r="F11" s="444" t="n"/>
      <c r="I11" s="444" t="n"/>
      <c r="L11" s="444" t="n"/>
    </row>
    <row r="12">
      <c r="A12" s="750" t="inlineStr">
        <is>
          <t>MATERIAL CAMPAIGNS / YEAR</t>
        </is>
      </c>
      <c r="C12" s="444" t="n"/>
      <c r="D12" s="750" t="inlineStr">
        <is>
          <t>TAIL RISK CONTEXT</t>
        </is>
      </c>
      <c r="I12" s="444" t="n"/>
      <c r="J12" s="750" t="inlineStr">
        <is>
          <t>CURRENT RISK-TRANSFER INPUT</t>
        </is>
      </c>
    </row>
    <row r="13">
      <c r="A13" s="751">
        <f>IF($B$6="Best Estimate",'02 Executive Summary'!B20,'02 Executive Summary'!C20)</f>
        <v/>
      </c>
      <c r="C13" s="444" t="n"/>
      <c r="D13" s="752">
        <f>"1-in-20: "&amp;TEXT(IF($B$6="Best Estimate",'02 Executive Summary'!B8,'02 Executive Summary'!C8),"$#,##0")&amp;"  |  1-in-100: "&amp;TEXT(IF($B$6="Best Estimate",'02 Executive Summary'!B10,'02 Executive Summary'!C10),"$#,##0")</f>
        <v/>
      </c>
      <c r="I13" s="444" t="n"/>
      <c r="J13" s="752">
        <f>"Retention: "&amp;TEXT('02 Executive Summary'!B13,"$#,##0")&amp;"  |  Tail above retention: "&amp;TEXT(IF($B$6="Best Estimate",'02 Executive Summary'!B14,'02 Executive Summary'!C14),"$#,##0")</f>
        <v/>
      </c>
    </row>
    <row r="14">
      <c r="C14" s="444" t="n"/>
      <c r="I14" s="444" t="n"/>
    </row>
    <row r="15">
      <c r="A15" s="444" t="n"/>
      <c r="B15" s="444" t="n"/>
      <c r="C15" s="444" t="n"/>
      <c r="D15" s="444" t="n"/>
      <c r="E15" s="444" t="n"/>
      <c r="F15" s="444" t="n"/>
      <c r="G15" s="444" t="n"/>
      <c r="H15" s="444" t="n"/>
      <c r="I15" s="444" t="n"/>
      <c r="J15" s="444" t="n"/>
      <c r="K15" s="444" t="n"/>
      <c r="L15" s="444" t="n"/>
      <c r="M15" s="444" t="n"/>
      <c r="N15" s="444" t="n"/>
    </row>
    <row r="16" ht="22" customHeight="1" s="242">
      <c r="A16" s="580" t="inlineStr">
        <is>
          <t>AGGREGATE LOSS EXCEEDANCE</t>
        </is>
      </c>
      <c r="I16" s="444" t="n"/>
      <c r="J16" s="580" t="inlineStr">
        <is>
          <t>RISK CONCENTRATION</t>
        </is>
      </c>
    </row>
    <row r="17">
      <c r="A17" s="444" t="n"/>
      <c r="B17" s="444" t="n"/>
      <c r="C17" s="444" t="n"/>
      <c r="D17" s="444" t="n"/>
      <c r="E17" s="444" t="n"/>
      <c r="F17" s="444" t="n"/>
      <c r="G17" s="444" t="n"/>
      <c r="H17" s="444" t="n"/>
      <c r="I17" s="444" t="n"/>
      <c r="J17" s="444" t="n"/>
      <c r="K17" s="444" t="n"/>
      <c r="L17" s="444" t="n"/>
      <c r="M17" s="444" t="n"/>
      <c r="N17" s="444" t="n"/>
    </row>
    <row r="18">
      <c r="A18" s="444" t="n"/>
      <c r="B18" s="444" t="n"/>
      <c r="C18" s="444" t="n"/>
      <c r="D18" s="444" t="n"/>
      <c r="E18" s="444" t="n"/>
      <c r="F18" s="444" t="n"/>
      <c r="G18" s="444" t="n"/>
      <c r="H18" s="444" t="n"/>
      <c r="I18" s="444" t="n"/>
      <c r="J18" s="444" t="n"/>
      <c r="K18" s="444" t="n"/>
      <c r="L18" s="444" t="n"/>
      <c r="M18" s="444" t="n"/>
      <c r="N18" s="444" t="n"/>
    </row>
    <row r="19">
      <c r="A19" s="444" t="n"/>
      <c r="B19" s="444" t="n"/>
      <c r="C19" s="444" t="n"/>
      <c r="D19" s="444" t="n"/>
      <c r="E19" s="444" t="n"/>
      <c r="F19" s="444" t="n"/>
      <c r="G19" s="444" t="n"/>
      <c r="H19" s="444" t="n"/>
      <c r="I19" s="444" t="n"/>
      <c r="J19" s="444" t="n"/>
      <c r="K19" s="444" t="n"/>
      <c r="L19" s="444" t="n"/>
      <c r="M19" s="444" t="n"/>
      <c r="N19" s="444" t="n"/>
    </row>
    <row r="20">
      <c r="A20" s="444" t="n"/>
      <c r="B20" s="444" t="n"/>
      <c r="C20" s="444" t="n"/>
      <c r="D20" s="444" t="n"/>
      <c r="E20" s="444" t="n"/>
      <c r="F20" s="444" t="n"/>
      <c r="G20" s="444" t="n"/>
      <c r="H20" s="444" t="n"/>
      <c r="I20" s="444" t="n"/>
      <c r="J20" s="444" t="n"/>
      <c r="K20" s="444" t="n"/>
      <c r="L20" s="444" t="n"/>
      <c r="M20" s="444" t="n"/>
      <c r="N20" s="444" t="n"/>
    </row>
    <row r="21">
      <c r="A21" s="444" t="n"/>
      <c r="B21" s="444" t="n"/>
      <c r="C21" s="444" t="n"/>
      <c r="D21" s="444" t="n"/>
      <c r="E21" s="444" t="n"/>
      <c r="F21" s="444" t="n"/>
      <c r="G21" s="444" t="n"/>
      <c r="H21" s="444" t="n"/>
      <c r="I21" s="444" t="n"/>
      <c r="J21" s="444" t="n"/>
      <c r="K21" s="444" t="n"/>
      <c r="L21" s="444" t="n"/>
      <c r="M21" s="444" t="n"/>
      <c r="N21" s="444" t="n"/>
    </row>
    <row r="22">
      <c r="A22" s="444" t="n"/>
      <c r="B22" s="444" t="n"/>
      <c r="C22" s="444" t="n"/>
      <c r="D22" s="444" t="n"/>
      <c r="E22" s="444" t="n"/>
      <c r="F22" s="444" t="n"/>
      <c r="G22" s="444" t="n"/>
      <c r="H22" s="444" t="n"/>
      <c r="I22" s="444" t="n"/>
      <c r="J22" s="444" t="n"/>
      <c r="K22" s="444" t="n"/>
      <c r="L22" s="444" t="n"/>
      <c r="M22" s="444" t="n"/>
      <c r="N22" s="444" t="n"/>
    </row>
    <row r="23">
      <c r="A23" s="444" t="n"/>
      <c r="B23" s="444" t="n"/>
      <c r="C23" s="444" t="n"/>
      <c r="D23" s="444" t="n"/>
      <c r="E23" s="444" t="n"/>
      <c r="F23" s="444" t="n"/>
      <c r="G23" s="444" t="n"/>
      <c r="H23" s="444" t="n"/>
      <c r="I23" s="444" t="n"/>
      <c r="J23" s="444" t="n"/>
      <c r="K23" s="444" t="n"/>
      <c r="L23" s="444" t="n"/>
      <c r="M23" s="444" t="n"/>
      <c r="N23" s="444" t="n"/>
    </row>
    <row r="24">
      <c r="A24" s="444" t="n"/>
      <c r="B24" s="444" t="n"/>
      <c r="C24" s="444" t="n"/>
      <c r="D24" s="444" t="n"/>
      <c r="E24" s="444" t="n"/>
      <c r="F24" s="444" t="n"/>
      <c r="G24" s="444" t="n"/>
      <c r="H24" s="444" t="n"/>
      <c r="I24" s="444" t="n"/>
      <c r="J24" s="444" t="n"/>
      <c r="K24" s="444" t="n"/>
      <c r="L24" s="444" t="n"/>
      <c r="M24" s="444" t="n"/>
      <c r="N24" s="444" t="n"/>
    </row>
    <row r="25">
      <c r="A25" s="444" t="n"/>
      <c r="B25" s="444" t="n"/>
      <c r="C25" s="444" t="n"/>
      <c r="D25" s="444" t="n"/>
      <c r="E25" s="444" t="n"/>
      <c r="F25" s="444" t="n"/>
      <c r="G25" s="444" t="n"/>
      <c r="H25" s="444" t="n"/>
      <c r="I25" s="444" t="n"/>
      <c r="J25" s="444" t="n"/>
      <c r="K25" s="444" t="n"/>
      <c r="L25" s="444" t="n"/>
      <c r="M25" s="444" t="n"/>
      <c r="N25" s="444" t="n"/>
    </row>
    <row r="26">
      <c r="A26" s="444" t="n"/>
      <c r="B26" s="444" t="n"/>
      <c r="C26" s="444" t="n"/>
      <c r="D26" s="444" t="n"/>
      <c r="E26" s="444" t="n"/>
      <c r="F26" s="444" t="n"/>
      <c r="G26" s="444" t="n"/>
      <c r="H26" s="444" t="n"/>
      <c r="I26" s="444" t="n"/>
      <c r="J26" s="444" t="n"/>
      <c r="K26" s="444" t="n"/>
      <c r="L26" s="444" t="n"/>
      <c r="M26" s="444" t="n"/>
      <c r="N26" s="444" t="n"/>
    </row>
    <row r="27">
      <c r="A27" s="444" t="n"/>
      <c r="B27" s="444" t="n"/>
      <c r="C27" s="444" t="n"/>
      <c r="D27" s="444" t="n"/>
      <c r="E27" s="444" t="n"/>
      <c r="F27" s="444" t="n"/>
      <c r="G27" s="444" t="n"/>
      <c r="H27" s="444" t="n"/>
      <c r="I27" s="444" t="n"/>
      <c r="J27" s="444" t="n"/>
      <c r="K27" s="444" t="n"/>
      <c r="L27" s="444" t="n"/>
      <c r="M27" s="444" t="n"/>
      <c r="N27" s="444" t="n"/>
    </row>
    <row r="28">
      <c r="A28" s="444" t="n"/>
      <c r="B28" s="444" t="n"/>
      <c r="C28" s="444" t="n"/>
      <c r="D28" s="444" t="n"/>
      <c r="E28" s="444" t="n"/>
      <c r="F28" s="444" t="n"/>
      <c r="G28" s="444" t="n"/>
      <c r="H28" s="444" t="n"/>
      <c r="I28" s="444" t="n"/>
      <c r="J28" s="444" t="n"/>
      <c r="K28" s="444" t="n"/>
      <c r="L28" s="444" t="n"/>
      <c r="M28" s="444" t="n"/>
      <c r="N28" s="444" t="n"/>
    </row>
    <row r="29">
      <c r="A29" s="444" t="n"/>
      <c r="B29" s="444" t="n"/>
      <c r="C29" s="444" t="n"/>
      <c r="D29" s="444" t="n"/>
      <c r="E29" s="444" t="n"/>
      <c r="F29" s="444" t="n"/>
      <c r="G29" s="444" t="n"/>
      <c r="H29" s="444" t="n"/>
      <c r="I29" s="444" t="n"/>
      <c r="J29" s="444" t="n"/>
      <c r="K29" s="444" t="n"/>
      <c r="L29" s="444" t="n"/>
      <c r="M29" s="444" t="n"/>
      <c r="N29" s="444" t="n"/>
    </row>
    <row r="30">
      <c r="A30" s="444" t="n"/>
      <c r="B30" s="444" t="n"/>
      <c r="C30" s="444" t="n"/>
      <c r="D30" s="444" t="n"/>
      <c r="E30" s="444" t="n"/>
      <c r="F30" s="444" t="n"/>
      <c r="G30" s="444" t="n"/>
      <c r="H30" s="444" t="n"/>
      <c r="I30" s="444" t="n"/>
      <c r="J30" s="444" t="n"/>
      <c r="K30" s="444" t="n"/>
      <c r="L30" s="444" t="n"/>
      <c r="M30" s="444" t="n"/>
      <c r="N30" s="444" t="n"/>
    </row>
    <row r="31">
      <c r="A31" s="444" t="n"/>
      <c r="B31" s="444" t="n"/>
      <c r="C31" s="444" t="n"/>
      <c r="D31" s="444" t="n"/>
      <c r="E31" s="444" t="n"/>
      <c r="F31" s="444" t="n"/>
      <c r="G31" s="444" t="n"/>
      <c r="H31" s="444" t="n"/>
      <c r="I31" s="444" t="n"/>
      <c r="J31" s="444" t="n"/>
      <c r="K31" s="444" t="n"/>
      <c r="L31" s="444" t="n"/>
      <c r="M31" s="444" t="n"/>
      <c r="N31" s="444" t="n"/>
    </row>
    <row r="32">
      <c r="A32" s="444" t="n"/>
      <c r="B32" s="444" t="n"/>
      <c r="C32" s="444" t="n"/>
      <c r="D32" s="444" t="n"/>
      <c r="E32" s="444" t="n"/>
      <c r="F32" s="444" t="n"/>
      <c r="G32" s="444" t="n"/>
      <c r="H32" s="444" t="n"/>
      <c r="I32" s="444" t="n"/>
      <c r="J32" s="444" t="n"/>
      <c r="K32" s="444" t="n"/>
      <c r="L32" s="444" t="n"/>
      <c r="M32" s="444" t="n"/>
      <c r="N32" s="444" t="n"/>
    </row>
    <row r="33">
      <c r="A33" s="444" t="n"/>
      <c r="B33" s="444" t="n"/>
      <c r="C33" s="444" t="n"/>
      <c r="D33" s="444" t="n"/>
      <c r="E33" s="444" t="n"/>
      <c r="F33" s="444" t="n"/>
      <c r="G33" s="444" t="n"/>
      <c r="H33" s="444" t="n"/>
      <c r="I33" s="444" t="n"/>
      <c r="J33" s="444" t="n"/>
      <c r="K33" s="444" t="n"/>
      <c r="L33" s="444" t="n"/>
      <c r="M33" s="444" t="n"/>
      <c r="N33" s="444" t="n"/>
    </row>
    <row r="34">
      <c r="A34" s="444" t="n"/>
      <c r="B34" s="444" t="n"/>
      <c r="C34" s="444" t="n"/>
      <c r="D34" s="444" t="n"/>
      <c r="E34" s="444" t="n"/>
      <c r="F34" s="444" t="n"/>
      <c r="G34" s="444" t="n"/>
      <c r="H34" s="444" t="n"/>
      <c r="I34" s="444" t="n"/>
      <c r="J34" s="444" t="n"/>
      <c r="K34" s="444" t="n"/>
      <c r="L34" s="444" t="n"/>
      <c r="M34" s="444" t="n"/>
      <c r="N34" s="444" t="n"/>
    </row>
    <row r="35">
      <c r="A35" s="444" t="n"/>
      <c r="B35" s="444" t="n"/>
      <c r="C35" s="444" t="n"/>
      <c r="D35" s="444" t="n"/>
      <c r="E35" s="444" t="n"/>
      <c r="F35" s="444" t="n"/>
      <c r="G35" s="444" t="n"/>
      <c r="H35" s="444" t="n"/>
      <c r="I35" s="444" t="n"/>
      <c r="J35" s="444" t="n"/>
      <c r="K35" s="444" t="n"/>
      <c r="L35" s="444" t="n"/>
      <c r="M35" s="444" t="n"/>
      <c r="N35" s="444" t="n"/>
    </row>
    <row r="36" ht="22" customHeight="1" s="242">
      <c r="A36" s="580" t="inlineStr">
        <is>
          <t>TOP CONTROL OPPORTUNITIES — CURRENT ENGINE REPORTING VIEW</t>
        </is>
      </c>
    </row>
    <row r="37">
      <c r="A37" s="631" t="inlineStr">
        <is>
          <t>Control</t>
        </is>
      </c>
      <c r="D37" s="631" t="inlineStr">
        <is>
          <t>Maturity uplift</t>
        </is>
      </c>
      <c r="F37" s="631" t="inlineStr">
        <is>
          <t>AAL reduction</t>
        </is>
      </c>
      <c r="H37" s="631" t="inlineStr">
        <is>
          <t>Reduction %</t>
        </is>
      </c>
      <c r="I37" s="444" t="n"/>
      <c r="J37" s="753" t="inlineStr">
        <is>
          <t>Interpretation
AAL = expected annual aggregate loss.
TVaR = mean loss beyond the stated percentile.
Scenario, actor and what-if decompositions use the engine-selected detailed reporting view shown above.
Use the other dashboard tabs for route, loss-driver, control and risk-transfer drill-down.</t>
        </is>
      </c>
    </row>
    <row r="38">
      <c r="A38" s="632">
        <f>'16 Control What-If'!B16</f>
        <v/>
      </c>
      <c r="D38" s="633">
        <f>'16 Control What-If'!C16&amp;" → "&amp;'16 Control What-If'!D16</f>
        <v/>
      </c>
      <c r="F38" s="633">
        <f>'16 Control What-If'!G16</f>
        <v/>
      </c>
      <c r="H38" s="634">
        <f>'16 Control What-If'!H16</f>
        <v/>
      </c>
      <c r="I38" s="444" t="n"/>
    </row>
    <row r="39">
      <c r="A39" s="632">
        <f>'16 Control What-If'!B17</f>
        <v/>
      </c>
      <c r="D39" s="633">
        <f>'16 Control What-If'!C17&amp;" → "&amp;'16 Control What-If'!D17</f>
        <v/>
      </c>
      <c r="F39" s="633">
        <f>'16 Control What-If'!G17</f>
        <v/>
      </c>
      <c r="H39" s="634">
        <f>'16 Control What-If'!H17</f>
        <v/>
      </c>
      <c r="I39" s="444" t="n"/>
    </row>
    <row r="40">
      <c r="A40" s="632">
        <f>'16 Control What-If'!B18</f>
        <v/>
      </c>
      <c r="D40" s="633">
        <f>'16 Control What-If'!C18&amp;" → "&amp;'16 Control What-If'!D18</f>
        <v/>
      </c>
      <c r="F40" s="633">
        <f>'16 Control What-If'!G18</f>
        <v/>
      </c>
      <c r="H40" s="634">
        <f>'16 Control What-If'!H18</f>
        <v/>
      </c>
      <c r="I40" s="444" t="n"/>
    </row>
    <row r="41">
      <c r="A41" s="632">
        <f>'16 Control What-If'!B19</f>
        <v/>
      </c>
      <c r="D41" s="633">
        <f>'16 Control What-If'!C19&amp;" → "&amp;'16 Control What-If'!D19</f>
        <v/>
      </c>
      <c r="F41" s="633">
        <f>'16 Control What-If'!G19</f>
        <v/>
      </c>
      <c r="H41" s="634">
        <f>'16 Control What-If'!H19</f>
        <v/>
      </c>
      <c r="I41" s="444" t="n"/>
    </row>
    <row r="42">
      <c r="A42" s="754">
        <f>'16 Control What-If'!B20</f>
        <v/>
      </c>
      <c r="D42" s="755">
        <f>'16 Control What-If'!C20&amp;" → "&amp;'16 Control What-If'!D20</f>
        <v/>
      </c>
      <c r="F42" s="755">
        <f>'16 Control What-If'!G20</f>
        <v/>
      </c>
      <c r="H42" s="637">
        <f>'16 Control What-If'!H20</f>
        <v/>
      </c>
      <c r="I42" s="444" t="n"/>
    </row>
    <row r="43">
      <c r="A43" s="444" t="n"/>
      <c r="B43" s="444" t="n"/>
      <c r="C43" s="444" t="n"/>
      <c r="D43" s="444" t="n"/>
      <c r="E43" s="444" t="n"/>
      <c r="F43" s="444" t="n"/>
      <c r="G43" s="444" t="n"/>
      <c r="H43" s="444" t="n"/>
      <c r="I43" s="444" t="n"/>
      <c r="J43" s="444" t="n"/>
      <c r="K43" s="444" t="n"/>
      <c r="L43" s="444" t="n"/>
      <c r="M43" s="444" t="n"/>
      <c r="N43" s="444" t="n"/>
    </row>
    <row r="44">
      <c r="A44" s="444" t="n"/>
      <c r="B44" s="444" t="n"/>
      <c r="C44" s="444" t="n"/>
      <c r="D44" s="444" t="n"/>
      <c r="E44" s="444" t="n"/>
      <c r="F44" s="444" t="n"/>
      <c r="G44" s="444" t="n"/>
      <c r="H44" s="444" t="n"/>
      <c r="I44" s="444" t="n"/>
      <c r="J44" s="444" t="n"/>
      <c r="K44" s="444" t="n"/>
      <c r="L44" s="444" t="n"/>
      <c r="M44" s="444" t="n"/>
      <c r="N44" s="444" t="n"/>
    </row>
    <row r="45">
      <c r="A45" s="444" t="n"/>
      <c r="B45" s="444" t="n"/>
      <c r="C45" s="444" t="n"/>
      <c r="D45" s="444" t="n"/>
      <c r="E45" s="444" t="n"/>
      <c r="F45" s="444" t="n"/>
      <c r="G45" s="444" t="n"/>
      <c r="H45" s="444" t="n"/>
      <c r="I45" s="444" t="n"/>
      <c r="J45" s="444" t="n"/>
      <c r="K45" s="444" t="n"/>
      <c r="L45" s="444" t="n"/>
      <c r="M45" s="444" t="n"/>
      <c r="N45" s="444" t="n"/>
    </row>
    <row r="46">
      <c r="A46" s="444" t="n"/>
      <c r="B46" s="444" t="n"/>
      <c r="C46" s="444" t="n"/>
      <c r="D46" s="444" t="n"/>
      <c r="E46" s="444" t="n"/>
      <c r="F46" s="444" t="n"/>
      <c r="G46" s="444" t="n"/>
      <c r="H46" s="444" t="n"/>
      <c r="I46" s="444" t="n"/>
      <c r="J46" s="444" t="n"/>
      <c r="K46" s="444" t="n"/>
      <c r="L46" s="444" t="n"/>
      <c r="M46" s="444" t="n"/>
      <c r="N46" s="444" t="n"/>
    </row>
    <row r="47">
      <c r="A47" s="444" t="n"/>
      <c r="B47" s="444" t="n"/>
      <c r="C47" s="444" t="n"/>
      <c r="D47" s="444" t="n"/>
      <c r="E47" s="444" t="n"/>
      <c r="F47" s="444" t="n"/>
      <c r="G47" s="444" t="n"/>
      <c r="H47" s="444" t="n"/>
      <c r="I47" s="444" t="n"/>
      <c r="J47" s="444" t="n"/>
      <c r="K47" s="444" t="n"/>
      <c r="L47" s="444" t="n"/>
      <c r="M47" s="444" t="n"/>
      <c r="N47" s="444" t="n"/>
    </row>
    <row r="48">
      <c r="A48" s="444" t="n"/>
      <c r="B48" s="444" t="n"/>
      <c r="C48" s="444" t="n"/>
      <c r="D48" s="444" t="n"/>
      <c r="E48" s="444" t="n"/>
      <c r="F48" s="444" t="n"/>
      <c r="G48" s="444" t="n"/>
      <c r="H48" s="444" t="n"/>
      <c r="I48" s="444" t="n"/>
      <c r="J48" s="444" t="n"/>
      <c r="K48" s="444" t="n"/>
      <c r="L48" s="444" t="n"/>
      <c r="M48" s="444" t="n"/>
      <c r="N48" s="444" t="n"/>
    </row>
    <row r="49">
      <c r="A49" s="444" t="n"/>
      <c r="B49" s="444" t="n"/>
      <c r="C49" s="444" t="n"/>
      <c r="D49" s="444" t="n"/>
      <c r="E49" s="444" t="n"/>
      <c r="F49" s="444" t="n"/>
      <c r="G49" s="444" t="n"/>
      <c r="H49" s="444" t="n"/>
      <c r="I49" s="444" t="n"/>
      <c r="J49" s="444" t="n"/>
      <c r="K49" s="444" t="n"/>
      <c r="L49" s="444" t="n"/>
      <c r="M49" s="444" t="n"/>
      <c r="N49" s="444" t="n"/>
    </row>
    <row r="50">
      <c r="A50" s="444" t="n"/>
      <c r="B50" s="444" t="n"/>
      <c r="C50" s="444" t="n"/>
      <c r="D50" s="444" t="n"/>
      <c r="E50" s="444" t="n"/>
      <c r="F50" s="444" t="n"/>
      <c r="G50" s="444" t="n"/>
      <c r="H50" s="444" t="n"/>
      <c r="I50" s="444" t="n"/>
      <c r="J50" s="444" t="n"/>
      <c r="K50" s="444" t="n"/>
      <c r="L50" s="444" t="n"/>
      <c r="M50" s="444" t="n"/>
      <c r="N50" s="444" t="n"/>
    </row>
    <row r="51">
      <c r="A51" s="444" t="n"/>
      <c r="B51" s="444" t="n"/>
      <c r="C51" s="444" t="n"/>
      <c r="D51" s="444" t="n"/>
      <c r="E51" s="444" t="n"/>
      <c r="F51" s="444" t="n"/>
      <c r="G51" s="444" t="n"/>
      <c r="H51" s="444" t="n"/>
      <c r="I51" s="444" t="n"/>
      <c r="J51" s="444" t="n"/>
      <c r="K51" s="444" t="n"/>
      <c r="L51" s="444" t="n"/>
      <c r="M51" s="444" t="n"/>
      <c r="N51" s="444" t="n"/>
    </row>
    <row r="52">
      <c r="A52" s="444" t="n"/>
      <c r="B52" s="444" t="n"/>
      <c r="C52" s="444" t="n"/>
      <c r="D52" s="444" t="n"/>
      <c r="E52" s="444" t="n"/>
      <c r="F52" s="444" t="n"/>
      <c r="G52" s="444" t="n"/>
      <c r="H52" s="444" t="n"/>
      <c r="I52" s="444" t="n"/>
      <c r="J52" s="444" t="n"/>
      <c r="K52" s="444" t="n"/>
      <c r="L52" s="444" t="n"/>
      <c r="M52" s="444" t="n"/>
      <c r="N52" s="444" t="n"/>
    </row>
    <row r="53">
      <c r="A53" s="444" t="n"/>
      <c r="B53" s="444" t="n"/>
      <c r="C53" s="444" t="n"/>
      <c r="D53" s="444" t="n"/>
      <c r="E53" s="444" t="n"/>
      <c r="F53" s="444" t="n"/>
      <c r="G53" s="444" t="n"/>
      <c r="H53" s="444" t="n"/>
      <c r="I53" s="444" t="n"/>
      <c r="J53" s="444" t="n"/>
      <c r="K53" s="444" t="n"/>
      <c r="L53" s="444" t="n"/>
      <c r="M53" s="444" t="n"/>
      <c r="N53" s="444" t="n"/>
    </row>
    <row r="54">
      <c r="A54" s="444" t="n"/>
      <c r="B54" s="444" t="n"/>
      <c r="C54" s="444" t="n"/>
      <c r="D54" s="444" t="n"/>
      <c r="E54" s="444" t="n"/>
      <c r="F54" s="444" t="n"/>
      <c r="G54" s="444" t="n"/>
      <c r="H54" s="444" t="n"/>
      <c r="I54" s="444" t="n"/>
      <c r="J54" s="444" t="n"/>
      <c r="K54" s="444" t="n"/>
      <c r="L54" s="444" t="n"/>
      <c r="M54" s="444" t="n"/>
      <c r="N54" s="444" t="n"/>
    </row>
    <row r="55">
      <c r="A55" s="444" t="n"/>
      <c r="B55" s="444" t="n"/>
      <c r="C55" s="444" t="n"/>
      <c r="D55" s="444" t="n"/>
      <c r="E55" s="444" t="n"/>
      <c r="F55" s="444" t="n"/>
      <c r="G55" s="444" t="n"/>
      <c r="H55" s="444" t="n"/>
      <c r="I55" s="444" t="n"/>
      <c r="J55" s="444" t="n"/>
      <c r="K55" s="444" t="n"/>
      <c r="L55" s="444" t="n"/>
      <c r="M55" s="444" t="n"/>
      <c r="N55" s="444" t="n"/>
    </row>
    <row r="56">
      <c r="A56" s="444" t="n"/>
      <c r="B56" s="444" t="n"/>
      <c r="C56" s="444" t="n"/>
      <c r="D56" s="444" t="n"/>
      <c r="E56" s="444" t="n"/>
      <c r="F56" s="444" t="n"/>
      <c r="G56" s="444" t="n"/>
      <c r="H56" s="444" t="n"/>
      <c r="I56" s="444" t="n"/>
      <c r="J56" s="444" t="n"/>
      <c r="K56" s="444" t="n"/>
      <c r="L56" s="444" t="n"/>
      <c r="M56" s="444" t="n"/>
      <c r="N56" s="444" t="n"/>
    </row>
    <row r="57">
      <c r="A57" s="444" t="n"/>
      <c r="B57" s="444" t="n"/>
      <c r="C57" s="444" t="n"/>
      <c r="D57" s="444" t="n"/>
      <c r="E57" s="444" t="n"/>
      <c r="F57" s="444" t="n"/>
      <c r="G57" s="444" t="n"/>
      <c r="H57" s="444" t="n"/>
      <c r="I57" s="444" t="n"/>
      <c r="J57" s="444" t="n"/>
      <c r="K57" s="444" t="n"/>
      <c r="L57" s="444" t="n"/>
      <c r="M57" s="444" t="n"/>
      <c r="N57" s="444" t="n"/>
    </row>
    <row r="58">
      <c r="A58" s="444" t="n"/>
      <c r="B58" s="444" t="n"/>
      <c r="C58" s="444" t="n"/>
      <c r="D58" s="444" t="n"/>
      <c r="E58" s="444" t="n"/>
      <c r="F58" s="444" t="n"/>
      <c r="G58" s="444" t="n"/>
      <c r="H58" s="444" t="n"/>
      <c r="I58" s="444" t="n"/>
      <c r="J58" s="444" t="n"/>
      <c r="K58" s="444" t="n"/>
      <c r="L58" s="444" t="n"/>
      <c r="M58" s="444" t="n"/>
      <c r="N58" s="444" t="n"/>
    </row>
    <row r="59">
      <c r="A59" s="444" t="n"/>
      <c r="B59" s="444" t="n"/>
      <c r="C59" s="444" t="n"/>
      <c r="D59" s="444" t="n"/>
      <c r="E59" s="444" t="n"/>
      <c r="F59" s="444" t="n"/>
      <c r="G59" s="444" t="n"/>
      <c r="H59" s="444" t="n"/>
      <c r="I59" s="444" t="n"/>
      <c r="J59" s="444" t="n"/>
      <c r="K59" s="444" t="n"/>
      <c r="L59" s="444" t="n"/>
      <c r="M59" s="444" t="n"/>
      <c r="N59" s="444" t="n"/>
    </row>
    <row r="60">
      <c r="A60" s="444" t="n"/>
      <c r="B60" s="444" t="n"/>
      <c r="C60" s="444" t="n"/>
      <c r="D60" s="444" t="n"/>
      <c r="E60" s="444" t="n"/>
      <c r="F60" s="444" t="n"/>
      <c r="G60" s="444" t="n"/>
      <c r="H60" s="444" t="n"/>
      <c r="I60" s="444" t="n"/>
      <c r="J60" s="444" t="n"/>
      <c r="K60" s="444" t="n"/>
      <c r="L60" s="444" t="n"/>
      <c r="M60" s="444" t="n"/>
      <c r="N60" s="444" t="n"/>
    </row>
    <row r="61">
      <c r="A61" s="623" t="inlineStr">
        <is>
          <t>Return period</t>
        </is>
      </c>
      <c r="B61" s="623" t="inlineStr">
        <is>
          <t>Selected loss</t>
        </is>
      </c>
      <c r="C61" s="623" t="n"/>
      <c r="D61" s="623" t="inlineStr">
        <is>
          <t>Scenario</t>
        </is>
      </c>
      <c r="E61" s="623" t="inlineStr">
        <is>
          <t>AAL</t>
        </is>
      </c>
      <c r="F61" s="623" t="n"/>
      <c r="G61" s="623" t="inlineStr">
        <is>
          <t>Threat actor</t>
        </is>
      </c>
      <c r="H61" s="623" t="inlineStr">
        <is>
          <t>AAL</t>
        </is>
      </c>
      <c r="I61" s="444" t="n"/>
      <c r="J61" s="444" t="n"/>
      <c r="K61" s="444" t="n"/>
      <c r="L61" s="444" t="n"/>
      <c r="M61" s="444" t="n"/>
      <c r="N61" s="444" t="n"/>
    </row>
    <row r="62">
      <c r="A62" s="623">
        <f>'17 Aggregate LECs'!A16</f>
        <v/>
      </c>
      <c r="B62" s="623">
        <f>IF($B$6="Best Estimate",IF($E$6="AEP",'17 Aggregate LECs'!C16,'17 Aggregate LECs'!D16),IF($E$6="AEP",'17 Aggregate LECs'!E16,'17 Aggregate LECs'!F16))</f>
        <v/>
      </c>
      <c r="C62" s="623" t="n"/>
      <c r="D62" s="623">
        <f>'02 Executive Summary'!A37</f>
        <v/>
      </c>
      <c r="E62" s="623">
        <f>'02 Executive Summary'!B37</f>
        <v/>
      </c>
      <c r="F62" s="623" t="n"/>
      <c r="G62" s="623">
        <f>'02 Executive Summary'!A30</f>
        <v/>
      </c>
      <c r="H62" s="623">
        <f>'02 Executive Summary'!B30</f>
        <v/>
      </c>
      <c r="I62" s="444" t="n"/>
      <c r="J62" s="444" t="n"/>
      <c r="K62" s="444" t="n"/>
      <c r="L62" s="444" t="n"/>
      <c r="M62" s="444" t="n"/>
      <c r="N62" s="444" t="n"/>
    </row>
    <row r="63">
      <c r="A63" s="623">
        <f>'17 Aggregate LECs'!A17</f>
        <v/>
      </c>
      <c r="B63" s="623">
        <f>IF($B$6="Best Estimate",IF($E$6="AEP",'17 Aggregate LECs'!C17,'17 Aggregate LECs'!D17),IF($E$6="AEP",'17 Aggregate LECs'!E17,'17 Aggregate LECs'!F17))</f>
        <v/>
      </c>
      <c r="C63" s="623" t="n"/>
      <c r="D63" s="623">
        <f>'02 Executive Summary'!A38</f>
        <v/>
      </c>
      <c r="E63" s="623">
        <f>'02 Executive Summary'!B38</f>
        <v/>
      </c>
      <c r="F63" s="623" t="n"/>
      <c r="G63" s="623">
        <f>'02 Executive Summary'!A31</f>
        <v/>
      </c>
      <c r="H63" s="623">
        <f>'02 Executive Summary'!B31</f>
        <v/>
      </c>
      <c r="I63" s="444" t="n"/>
      <c r="J63" s="444" t="n"/>
      <c r="K63" s="444" t="n"/>
      <c r="L63" s="444" t="n"/>
      <c r="M63" s="444" t="n"/>
      <c r="N63" s="444" t="n"/>
    </row>
    <row r="64">
      <c r="A64" s="623">
        <f>'17 Aggregate LECs'!A18</f>
        <v/>
      </c>
      <c r="B64" s="623">
        <f>IF($B$6="Best Estimate",IF($E$6="AEP",'17 Aggregate LECs'!C18,'17 Aggregate LECs'!D18),IF($E$6="AEP",'17 Aggregate LECs'!E18,'17 Aggregate LECs'!F18))</f>
        <v/>
      </c>
      <c r="C64" s="623" t="n"/>
      <c r="D64" s="623">
        <f>'02 Executive Summary'!A39</f>
        <v/>
      </c>
      <c r="E64" s="623">
        <f>'02 Executive Summary'!B39</f>
        <v/>
      </c>
      <c r="F64" s="623" t="n"/>
      <c r="G64" s="623">
        <f>'02 Executive Summary'!A32</f>
        <v/>
      </c>
      <c r="H64" s="623">
        <f>'02 Executive Summary'!B32</f>
        <v/>
      </c>
      <c r="I64" s="444" t="n"/>
      <c r="J64" s="444" t="n"/>
      <c r="K64" s="444" t="n"/>
      <c r="L64" s="444" t="n"/>
      <c r="M64" s="444" t="n"/>
      <c r="N64" s="444" t="n"/>
    </row>
    <row r="65">
      <c r="A65" s="623">
        <f>'17 Aggregate LECs'!A19</f>
        <v/>
      </c>
      <c r="B65" s="623">
        <f>IF($B$6="Best Estimate",IF($E$6="AEP",'17 Aggregate LECs'!C19,'17 Aggregate LECs'!D19),IF($E$6="AEP",'17 Aggregate LECs'!E19,'17 Aggregate LECs'!F19))</f>
        <v/>
      </c>
      <c r="C65" s="623" t="n"/>
      <c r="D65" s="623">
        <f>'02 Executive Summary'!A40</f>
        <v/>
      </c>
      <c r="E65" s="623">
        <f>'02 Executive Summary'!B40</f>
        <v/>
      </c>
      <c r="F65" s="623" t="n"/>
      <c r="G65" s="623">
        <f>'02 Executive Summary'!A33</f>
        <v/>
      </c>
      <c r="H65" s="623">
        <f>'02 Executive Summary'!B33</f>
        <v/>
      </c>
      <c r="I65" s="444" t="n"/>
      <c r="J65" s="444" t="n"/>
      <c r="K65" s="444" t="n"/>
      <c r="L65" s="444" t="n"/>
      <c r="M65" s="444" t="n"/>
      <c r="N65" s="444" t="n"/>
    </row>
    <row r="66">
      <c r="A66" s="623">
        <f>'17 Aggregate LECs'!A20</f>
        <v/>
      </c>
      <c r="B66" s="623">
        <f>IF($B$6="Best Estimate",IF($E$6="AEP",'17 Aggregate LECs'!C20,'17 Aggregate LECs'!D20),IF($E$6="AEP",'17 Aggregate LECs'!E20,'17 Aggregate LECs'!F20))</f>
        <v/>
      </c>
      <c r="C66" s="623" t="n"/>
      <c r="D66" s="623" t="n"/>
      <c r="E66" s="623" t="n"/>
      <c r="F66" s="623" t="n"/>
      <c r="G66" s="623" t="n"/>
      <c r="H66" s="623" t="n"/>
      <c r="I66" s="444" t="n"/>
      <c r="J66" s="444" t="n"/>
      <c r="K66" s="444" t="n"/>
      <c r="L66" s="444" t="n"/>
      <c r="M66" s="444" t="n"/>
      <c r="N66" s="444" t="n"/>
    </row>
    <row r="67">
      <c r="A67" s="623">
        <f>'17 Aggregate LECs'!A21</f>
        <v/>
      </c>
      <c r="B67" s="623">
        <f>IF($B$6="Best Estimate",IF($E$6="AEP",'17 Aggregate LECs'!C21,'17 Aggregate LECs'!D21),IF($E$6="AEP",'17 Aggregate LECs'!E21,'17 Aggregate LECs'!F21))</f>
        <v/>
      </c>
      <c r="C67" s="623" t="n"/>
      <c r="D67" s="623" t="n"/>
      <c r="E67" s="623" t="n"/>
      <c r="F67" s="623" t="n"/>
      <c r="G67" s="623" t="n"/>
      <c r="H67" s="623" t="n"/>
      <c r="I67" s="444" t="n"/>
      <c r="J67" s="444" t="n"/>
      <c r="K67" s="444" t="n"/>
      <c r="L67" s="444" t="n"/>
      <c r="M67" s="444" t="n"/>
      <c r="N67" s="444" t="n"/>
    </row>
    <row r="68">
      <c r="A68" s="623">
        <f>'17 Aggregate LECs'!A22</f>
        <v/>
      </c>
      <c r="B68" s="623">
        <f>IF($B$6="Best Estimate",IF($E$6="AEP",'17 Aggregate LECs'!C22,'17 Aggregate LECs'!D22),IF($E$6="AEP",'17 Aggregate LECs'!E22,'17 Aggregate LECs'!F22))</f>
        <v/>
      </c>
      <c r="C68" s="623" t="n"/>
      <c r="D68" s="623" t="n"/>
      <c r="E68" s="623" t="n"/>
      <c r="F68" s="623" t="n"/>
      <c r="G68" s="623" t="n"/>
      <c r="H68" s="623" t="n"/>
      <c r="I68" s="444" t="n"/>
      <c r="J68" s="444" t="n"/>
      <c r="K68" s="444" t="n"/>
      <c r="L68" s="444" t="n"/>
      <c r="M68" s="444" t="n"/>
      <c r="N68" s="444" t="n"/>
    </row>
    <row r="69">
      <c r="A69" s="623">
        <f>'17 Aggregate LECs'!A23</f>
        <v/>
      </c>
      <c r="B69" s="623">
        <f>IF($B$6="Best Estimate",IF($E$6="AEP",'17 Aggregate LECs'!C23,'17 Aggregate LECs'!D23),IF($E$6="AEP",'17 Aggregate LECs'!E23,'17 Aggregate LECs'!F23))</f>
        <v/>
      </c>
      <c r="C69" s="623" t="n"/>
      <c r="D69" s="623" t="n"/>
      <c r="E69" s="623" t="n"/>
      <c r="F69" s="623" t="n"/>
      <c r="G69" s="623" t="n"/>
      <c r="H69" s="623" t="n"/>
      <c r="I69" s="444" t="n"/>
      <c r="J69" s="444" t="n"/>
      <c r="K69" s="444" t="n"/>
      <c r="L69" s="444" t="n"/>
      <c r="M69" s="444" t="n"/>
      <c r="N69" s="444" t="n"/>
    </row>
    <row r="70">
      <c r="A70" s="623">
        <f>'17 Aggregate LECs'!A24</f>
        <v/>
      </c>
      <c r="B70" s="623">
        <f>IF($B$6="Best Estimate",IF($E$6="AEP",'17 Aggregate LECs'!C24,'17 Aggregate LECs'!D24),IF($E$6="AEP",'17 Aggregate LECs'!E24,'17 Aggregate LECs'!F24))</f>
        <v/>
      </c>
      <c r="C70" s="623" t="n"/>
      <c r="D70" s="623" t="n"/>
      <c r="E70" s="623" t="n"/>
      <c r="F70" s="623" t="n"/>
      <c r="G70" s="623" t="n"/>
      <c r="H70" s="623" t="n"/>
      <c r="I70" s="444" t="n"/>
      <c r="J70" s="444" t="n"/>
      <c r="K70" s="444" t="n"/>
      <c r="L70" s="444" t="n"/>
      <c r="M70" s="444" t="n"/>
      <c r="N70" s="444" t="n"/>
    </row>
    <row r="71">
      <c r="A71" s="623">
        <f>'17 Aggregate LECs'!A25</f>
        <v/>
      </c>
      <c r="B71" s="623">
        <f>IF($B$6="Best Estimate",IF($E$6="AEP",'17 Aggregate LECs'!C25,'17 Aggregate LECs'!D25),IF($E$6="AEP",'17 Aggregate LECs'!E25,'17 Aggregate LECs'!F25))</f>
        <v/>
      </c>
      <c r="C71" s="623" t="n"/>
      <c r="D71" s="623" t="n"/>
      <c r="E71" s="623" t="n"/>
      <c r="F71" s="623" t="n"/>
      <c r="G71" s="623" t="n"/>
      <c r="H71" s="623" t="n"/>
      <c r="I71" s="444" t="n"/>
      <c r="J71" s="444" t="n"/>
      <c r="K71" s="444" t="n"/>
      <c r="L71" s="444" t="n"/>
      <c r="M71" s="444" t="n"/>
      <c r="N71" s="444" t="n"/>
    </row>
    <row r="72">
      <c r="A72" s="444" t="n"/>
      <c r="B72" s="444" t="n"/>
      <c r="C72" s="444" t="n"/>
      <c r="D72" s="444" t="n"/>
      <c r="E72" s="444" t="n"/>
      <c r="F72" s="444" t="n"/>
      <c r="G72" s="444" t="n"/>
      <c r="H72" s="444" t="n"/>
      <c r="I72" s="444" t="n"/>
      <c r="J72" s="444" t="n"/>
      <c r="K72" s="444" t="n"/>
      <c r="L72" s="444" t="n"/>
      <c r="M72" s="444" t="n"/>
      <c r="N72" s="444" t="n"/>
    </row>
    <row r="73">
      <c r="A73" s="444" t="n"/>
      <c r="B73" s="444" t="n"/>
      <c r="C73" s="444" t="n"/>
      <c r="D73" s="444" t="n"/>
      <c r="E73" s="444" t="n"/>
      <c r="F73" s="444" t="n"/>
      <c r="G73" s="444" t="n"/>
      <c r="H73" s="444" t="n"/>
      <c r="I73" s="444" t="n"/>
      <c r="J73" s="444" t="n"/>
      <c r="K73" s="444" t="n"/>
      <c r="L73" s="444" t="n"/>
      <c r="M73" s="444" t="n"/>
      <c r="N73" s="444" t="n"/>
    </row>
    <row r="74">
      <c r="A74" s="444" t="n"/>
      <c r="B74" s="444" t="n"/>
      <c r="C74" s="444" t="n"/>
      <c r="D74" s="444" t="n"/>
      <c r="E74" s="444" t="n"/>
      <c r="F74" s="444" t="n"/>
      <c r="G74" s="444" t="n"/>
      <c r="H74" s="444" t="n"/>
      <c r="I74" s="444" t="n"/>
      <c r="J74" s="444" t="n"/>
      <c r="K74" s="444" t="n"/>
      <c r="L74" s="444" t="n"/>
      <c r="M74" s="444" t="n"/>
      <c r="N74" s="444" t="n"/>
    </row>
    <row r="75">
      <c r="A75" s="444" t="n"/>
      <c r="B75" s="444" t="n"/>
      <c r="C75" s="444" t="n"/>
      <c r="D75" s="444" t="n"/>
      <c r="E75" s="444" t="n"/>
      <c r="F75" s="444" t="n"/>
      <c r="G75" s="444" t="n"/>
      <c r="H75" s="444" t="n"/>
      <c r="I75" s="444" t="n"/>
      <c r="J75" s="444" t="n"/>
      <c r="K75" s="444" t="n"/>
      <c r="L75" s="444" t="n"/>
      <c r="M75" s="444" t="n"/>
      <c r="N75" s="444" t="n"/>
    </row>
    <row r="76">
      <c r="A76" s="444" t="n"/>
      <c r="B76" s="444" t="n"/>
      <c r="C76" s="444" t="n"/>
      <c r="D76" s="444" t="n"/>
      <c r="E76" s="444" t="n"/>
      <c r="F76" s="444" t="n"/>
      <c r="G76" s="444" t="n"/>
      <c r="H76" s="444" t="n"/>
      <c r="I76" s="444" t="n"/>
      <c r="J76" s="444" t="n"/>
      <c r="K76" s="444" t="n"/>
      <c r="L76" s="444" t="n"/>
      <c r="M76" s="444" t="n"/>
      <c r="N76" s="444" t="n"/>
    </row>
    <row r="77">
      <c r="A77" s="444" t="n"/>
      <c r="B77" s="444" t="n"/>
      <c r="C77" s="444" t="n"/>
      <c r="D77" s="444" t="n"/>
      <c r="E77" s="444" t="n"/>
      <c r="F77" s="444" t="n"/>
      <c r="G77" s="444" t="n"/>
      <c r="H77" s="444" t="n"/>
      <c r="I77" s="444" t="n"/>
      <c r="J77" s="444" t="n"/>
      <c r="K77" s="444" t="n"/>
      <c r="L77" s="444" t="n"/>
      <c r="M77" s="444" t="n"/>
      <c r="N77" s="444" t="n"/>
    </row>
    <row r="78">
      <c r="A78" s="444" t="n"/>
      <c r="B78" s="444" t="n"/>
      <c r="C78" s="444" t="n"/>
      <c r="D78" s="444" t="n"/>
      <c r="E78" s="444" t="n"/>
      <c r="F78" s="444" t="n"/>
      <c r="G78" s="444" t="n"/>
      <c r="H78" s="444" t="n"/>
      <c r="I78" s="444" t="n"/>
      <c r="J78" s="444" t="n"/>
      <c r="K78" s="444" t="n"/>
      <c r="L78" s="444" t="n"/>
      <c r="M78" s="444" t="n"/>
      <c r="N78" s="444" t="n"/>
    </row>
    <row r="79">
      <c r="A79" s="444" t="n"/>
      <c r="B79" s="444" t="n"/>
      <c r="C79" s="444" t="n"/>
      <c r="D79" s="444" t="n"/>
      <c r="E79" s="444" t="n"/>
      <c r="F79" s="444" t="n"/>
      <c r="G79" s="444" t="n"/>
      <c r="H79" s="444" t="n"/>
      <c r="I79" s="444" t="n"/>
      <c r="J79" s="444" t="n"/>
      <c r="K79" s="444" t="n"/>
      <c r="L79" s="444" t="n"/>
      <c r="M79" s="444" t="n"/>
      <c r="N79" s="444" t="n"/>
    </row>
    <row r="80">
      <c r="A80" s="444" t="n"/>
      <c r="B80" s="444" t="n"/>
      <c r="C80" s="444" t="n"/>
      <c r="D80" s="444" t="n"/>
      <c r="E80" s="444" t="n"/>
      <c r="F80" s="444" t="n"/>
      <c r="G80" s="444" t="n"/>
      <c r="H80" s="444" t="n"/>
      <c r="I80" s="444" t="n"/>
      <c r="J80" s="444" t="n"/>
      <c r="K80" s="444" t="n"/>
      <c r="L80" s="444" t="n"/>
      <c r="M80" s="444" t="n"/>
      <c r="N80" s="444" t="n"/>
    </row>
  </sheetData>
  <mergeCells count="45">
    <mergeCell ref="D13:H14"/>
    <mergeCell ref="A41:C41"/>
    <mergeCell ref="J37:N42"/>
    <mergeCell ref="A37:C37"/>
    <mergeCell ref="A9:B11"/>
    <mergeCell ref="D40:E40"/>
    <mergeCell ref="G8:H8"/>
    <mergeCell ref="M9:N11"/>
    <mergeCell ref="F40:G40"/>
    <mergeCell ref="A36:N36"/>
    <mergeCell ref="A42:C42"/>
    <mergeCell ref="K6:N6"/>
    <mergeCell ref="A13:B14"/>
    <mergeCell ref="A16:H16"/>
    <mergeCell ref="F42:G42"/>
    <mergeCell ref="J9:K11"/>
    <mergeCell ref="D41:E41"/>
    <mergeCell ref="F41:G41"/>
    <mergeCell ref="A38:C38"/>
    <mergeCell ref="A12:B12"/>
    <mergeCell ref="J4:K4"/>
    <mergeCell ref="A3:N3"/>
    <mergeCell ref="F38:G38"/>
    <mergeCell ref="B4:D4"/>
    <mergeCell ref="J16:N16"/>
    <mergeCell ref="D37:E37"/>
    <mergeCell ref="A40:C40"/>
    <mergeCell ref="F4:H4"/>
    <mergeCell ref="A39:C39"/>
    <mergeCell ref="J13:N14"/>
    <mergeCell ref="A8:B8"/>
    <mergeCell ref="M8:N8"/>
    <mergeCell ref="D39:E39"/>
    <mergeCell ref="D8:E8"/>
    <mergeCell ref="A1:N2"/>
    <mergeCell ref="D12:H12"/>
    <mergeCell ref="F37:G37"/>
    <mergeCell ref="F39:G39"/>
    <mergeCell ref="D42:E42"/>
    <mergeCell ref="J12:N12"/>
    <mergeCell ref="D38:E38"/>
    <mergeCell ref="D9:E11"/>
    <mergeCell ref="J8:K8"/>
    <mergeCell ref="M4:N4"/>
    <mergeCell ref="G9:H11"/>
  </mergeCells>
  <dataValidations count="3">
    <dataValidation sqref="B6" showDropDown="0" showInputMessage="0" showErrorMessage="0" allowBlank="0" type="list">
      <formula1>"Best Estimate,Prudent"</formula1>
    </dataValidation>
    <dataValidation sqref="E6" showDropDown="0" showInputMessage="0" showErrorMessage="0" allowBlank="0" type="list">
      <formula1>"AEP,OEP"</formula1>
    </dataValidation>
    <dataValidation sqref="H6" showDropDown="0" showInputMessage="0" showErrorMessage="0" allowBlank="0" type="list">
      <formula1>"10,20,25,50,100,200,250,500"</formula1>
    </dataValidation>
  </dataValidation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N80"/>
  <sheetViews>
    <sheetView showGridLines="0" workbookViewId="0">
      <selection activeCell="A1" sqref="A1"/>
    </sheetView>
  </sheetViews>
  <sheetFormatPr baseColWidth="8" defaultRowHeight="15"/>
  <cols>
    <col width="30" customWidth="1" style="242" min="1" max="1"/>
    <col width="14" customWidth="1" style="242" min="2" max="2"/>
    <col width="14" customWidth="1" style="242" min="3" max="3"/>
    <col width="14" customWidth="1" style="242" min="4" max="4"/>
    <col width="14" customWidth="1" style="242" min="5" max="5"/>
    <col width="14" customWidth="1" style="242" min="6" max="6"/>
    <col width="16" customWidth="1" style="242" min="7" max="7"/>
    <col width="16" customWidth="1" style="242" min="8" max="8"/>
    <col width="3" customWidth="1" style="242" min="9" max="9"/>
    <col width="16" customWidth="1" style="242" min="10" max="10"/>
    <col width="16" customWidth="1" style="242" min="11" max="11"/>
    <col width="3" customWidth="1" style="242" min="12" max="12"/>
    <col width="16" customWidth="1" style="242" min="13" max="13"/>
    <col width="16" customWidth="1" style="242" min="14" max="14"/>
  </cols>
  <sheetData>
    <row r="1">
      <c r="A1" s="448" t="inlineStr">
        <is>
          <t>IT CYBER RISK QUANTIFICATION | RISK DRIVERS</t>
        </is>
      </c>
    </row>
    <row r="2"/>
    <row r="3">
      <c r="A3" s="451" t="inlineStr">
        <is>
          <t>Drill from threat actor and scenario into attack routes, frequency, conditional success and AAL. All figures use the engine-selected detailed reporting view.</t>
        </is>
      </c>
    </row>
    <row r="4">
      <c r="A4" s="453" t="inlineStr">
        <is>
          <t>Detailed reporting view</t>
        </is>
      </c>
      <c r="B4" s="454">
        <f>'08 Tail Risk Settings'!B16</f>
        <v/>
      </c>
      <c r="E4" s="453" t="inlineStr">
        <is>
          <t>Sector</t>
        </is>
      </c>
      <c r="F4" s="454">
        <f>'02 Executive Summary'!B22</f>
        <v/>
      </c>
      <c r="I4" s="453" t="inlineStr">
        <is>
          <t>Pack</t>
        </is>
      </c>
      <c r="J4" s="454">
        <f>'02 Executive Summary'!B23</f>
        <v/>
      </c>
      <c r="M4" s="454">
        <f>"Run: "&amp;'02 Executive Summary'!B26</f>
        <v/>
      </c>
      <c r="N4" s="454" t="n"/>
    </row>
    <row r="5">
      <c r="A5" s="444" t="n"/>
      <c r="B5" s="444" t="n"/>
      <c r="C5" s="444" t="n"/>
      <c r="D5" s="444" t="n"/>
      <c r="E5" s="444" t="n"/>
      <c r="F5" s="444" t="n"/>
      <c r="G5" s="444" t="n"/>
      <c r="H5" s="444" t="n"/>
      <c r="I5" s="444" t="n"/>
      <c r="J5" s="444" t="n"/>
      <c r="K5" s="444" t="n"/>
      <c r="L5" s="444" t="n"/>
      <c r="M5" s="444" t="n"/>
      <c r="N5" s="444" t="n"/>
    </row>
    <row r="6">
      <c r="A6" s="456" t="inlineStr">
        <is>
          <t>Threat actor</t>
        </is>
      </c>
      <c r="B6" s="640">
        <f>'02 Executive Summary'!A30</f>
        <v/>
      </c>
      <c r="C6" s="444" t="n"/>
      <c r="D6" s="456" t="inlineStr">
        <is>
          <t>Scenario</t>
        </is>
      </c>
      <c r="F6" s="639">
        <f>'02 Executive Summary'!A37</f>
        <v/>
      </c>
      <c r="I6" s="444" t="n"/>
      <c r="J6" s="756" t="inlineStr">
        <is>
          <t>Risk equation: Attempts / year × P(success) × Expected event loss = AAL</t>
        </is>
      </c>
    </row>
    <row r="7">
      <c r="A7" s="444" t="n"/>
      <c r="B7" s="444" t="n"/>
      <c r="C7" s="444" t="n"/>
      <c r="D7" s="444" t="n"/>
      <c r="E7" s="444" t="n"/>
      <c r="F7" s="444" t="n"/>
      <c r="G7" s="444" t="n"/>
      <c r="H7" s="444" t="n"/>
      <c r="I7" s="444" t="n"/>
      <c r="J7" s="444" t="n"/>
      <c r="K7" s="444" t="n"/>
      <c r="L7" s="444" t="n"/>
      <c r="M7" s="444" t="n"/>
      <c r="N7" s="444" t="n"/>
    </row>
    <row r="8">
      <c r="A8" s="746" t="inlineStr">
        <is>
          <t>ATTEMPTS / YEAR</t>
        </is>
      </c>
      <c r="C8" s="444" t="n"/>
      <c r="D8" s="746" t="inlineStr">
        <is>
          <t>P(SUCCESS)</t>
        </is>
      </c>
      <c r="F8" s="444" t="n"/>
      <c r="G8" s="746" t="inlineStr">
        <is>
          <t>SUCCESSFUL EVENTS / YEAR</t>
        </is>
      </c>
      <c r="I8" s="444" t="n"/>
      <c r="J8" s="746" t="inlineStr">
        <is>
          <t>EXPECTED EVENT LOSS</t>
        </is>
      </c>
      <c r="L8" s="444" t="n"/>
      <c r="M8" s="746" t="inlineStr">
        <is>
          <t>AAL</t>
        </is>
      </c>
    </row>
    <row r="9">
      <c r="A9" s="749">
        <f>SUMIFS('12 Frequency and Success'!$D$16:$D$111,'12 Frequency and Success'!$A$16:$A$111,$B$6,'12 Frequency and Success'!$B$16:$B$111,$F$6)</f>
        <v/>
      </c>
      <c r="C9" s="444" t="n"/>
      <c r="D9" s="748">
        <f>IFERROR(G9/A9,0)</f>
        <v/>
      </c>
      <c r="F9" s="444" t="n"/>
      <c r="G9" s="749">
        <f>SUMIFS('12 Frequency and Success'!$F$16:$F$111,'12 Frequency and Success'!$A$16:$A$111,$B$6,'12 Frequency and Success'!$B$16:$B$111,$F$6)</f>
        <v/>
      </c>
      <c r="I9" s="444" t="n"/>
      <c r="J9" s="747">
        <f>IFERROR(M9/G9,0)</f>
        <v/>
      </c>
      <c r="L9" s="444" t="n"/>
      <c r="M9" s="747">
        <f>SUMIFS('12 Frequency and Success'!$J$16:$J$111,'12 Frequency and Success'!$A$16:$A$111,$B$6,'12 Frequency and Success'!$B$16:$B$111,$F$6)</f>
        <v/>
      </c>
    </row>
    <row r="10">
      <c r="C10" s="444" t="n"/>
      <c r="F10" s="444" t="n"/>
      <c r="I10" s="444" t="n"/>
      <c r="L10" s="444" t="n"/>
    </row>
    <row r="11">
      <c r="C11" s="444" t="n"/>
      <c r="F11" s="444" t="n"/>
      <c r="I11" s="444" t="n"/>
      <c r="L11" s="444" t="n"/>
    </row>
    <row r="12">
      <c r="A12" s="444" t="n"/>
      <c r="B12" s="444" t="n"/>
      <c r="C12" s="444" t="n"/>
      <c r="D12" s="444" t="n"/>
      <c r="E12" s="444" t="n"/>
      <c r="F12" s="444" t="n"/>
      <c r="G12" s="444" t="n"/>
      <c r="H12" s="444" t="n"/>
      <c r="I12" s="444" t="n"/>
      <c r="J12" s="444" t="n"/>
      <c r="K12" s="444" t="n"/>
      <c r="L12" s="444" t="n"/>
      <c r="M12" s="444" t="n"/>
      <c r="N12" s="444" t="n"/>
    </row>
    <row r="13" ht="22" customHeight="1" s="242">
      <c r="A13" s="580" t="inlineStr">
        <is>
          <t>ATTACK ROUTE BREAKDOWN</t>
        </is>
      </c>
      <c r="I13" s="444" t="n"/>
      <c r="J13" s="580" t="inlineStr">
        <is>
          <t>AAL BY ATTACK ROUTE</t>
        </is>
      </c>
    </row>
    <row r="14">
      <c r="A14" s="588" t="inlineStr">
        <is>
          <t>Attack route</t>
        </is>
      </c>
      <c r="B14" s="588" t="inlineStr">
        <is>
          <t>Attempts / yr</t>
        </is>
      </c>
      <c r="C14" s="588" t="inlineStr">
        <is>
          <t>P(success)</t>
        </is>
      </c>
      <c r="D14" s="588" t="inlineStr">
        <is>
          <t>Events / yr</t>
        </is>
      </c>
      <c r="E14" s="588" t="inlineStr">
        <is>
          <t>Expected event loss</t>
        </is>
      </c>
      <c r="F14" s="588" t="inlineStr">
        <is>
          <t>AAL</t>
        </is>
      </c>
      <c r="G14" s="444" t="n"/>
      <c r="H14" s="444" t="n"/>
      <c r="I14" s="444" t="n"/>
      <c r="J14" s="444" t="n"/>
      <c r="K14" s="444" t="n"/>
      <c r="L14" s="444" t="n"/>
      <c r="M14" s="444" t="n"/>
      <c r="N14" s="444" t="n"/>
    </row>
    <row r="15">
      <c r="A15" s="589">
        <f>'04 Exposure Adjustments'!B16</f>
        <v/>
      </c>
      <c r="B15" s="663">
        <f>SUMIFS('12 Frequency and Success'!$D$16:$D$111,'12 Frequency and Success'!$A$16:$A$111,$B$6,'12 Frequency and Success'!$B$16:$B$111,$F$6,'12 Frequency and Success'!$C$16:$C$111,$A15)</f>
        <v/>
      </c>
      <c r="C15" s="591">
        <f>IFERROR(D15/B15,0)</f>
        <v/>
      </c>
      <c r="D15" s="663">
        <f>SUMIFS('12 Frequency and Success'!$F$16:$F$111,'12 Frequency and Success'!$A$16:$A$111,$B$6,'12 Frequency and Success'!$B$16:$B$111,$F$6,'12 Frequency and Success'!$C$16:$C$111,$A15)</f>
        <v/>
      </c>
      <c r="E15" s="590">
        <f>IFERROR(F15/D15,0)</f>
        <v/>
      </c>
      <c r="F15" s="590">
        <f>SUMIFS('12 Frequency and Success'!$J$16:$J$111,'12 Frequency and Success'!$A$16:$A$111,$B$6,'12 Frequency and Success'!$B$16:$B$111,$F$6,'12 Frequency and Success'!$C$16:$C$111,$A15)</f>
        <v/>
      </c>
      <c r="G15" s="444" t="n"/>
      <c r="H15" s="444" t="n"/>
      <c r="I15" s="444" t="n"/>
      <c r="J15" s="444" t="n"/>
      <c r="K15" s="444" t="n"/>
      <c r="L15" s="444" t="n"/>
      <c r="M15" s="444" t="n"/>
      <c r="N15" s="444" t="n"/>
    </row>
    <row r="16">
      <c r="A16" s="589">
        <f>'04 Exposure Adjustments'!B17</f>
        <v/>
      </c>
      <c r="B16" s="663">
        <f>SUMIFS('12 Frequency and Success'!$D$16:$D$111,'12 Frequency and Success'!$A$16:$A$111,$B$6,'12 Frequency and Success'!$B$16:$B$111,$F$6,'12 Frequency and Success'!$C$16:$C$111,$A16)</f>
        <v/>
      </c>
      <c r="C16" s="591">
        <f>IFERROR(D16/B16,0)</f>
        <v/>
      </c>
      <c r="D16" s="663">
        <f>SUMIFS('12 Frequency and Success'!$F$16:$F$111,'12 Frequency and Success'!$A$16:$A$111,$B$6,'12 Frequency and Success'!$B$16:$B$111,$F$6,'12 Frequency and Success'!$C$16:$C$111,$A16)</f>
        <v/>
      </c>
      <c r="E16" s="590">
        <f>IFERROR(F16/D16,0)</f>
        <v/>
      </c>
      <c r="F16" s="590">
        <f>SUMIFS('12 Frequency and Success'!$J$16:$J$111,'12 Frequency and Success'!$A$16:$A$111,$B$6,'12 Frequency and Success'!$B$16:$B$111,$F$6,'12 Frequency and Success'!$C$16:$C$111,$A16)</f>
        <v/>
      </c>
      <c r="G16" s="444" t="n"/>
      <c r="H16" s="444" t="n"/>
      <c r="I16" s="444" t="n"/>
      <c r="J16" s="444" t="n"/>
      <c r="K16" s="444" t="n"/>
      <c r="L16" s="444" t="n"/>
      <c r="M16" s="444" t="n"/>
      <c r="N16" s="444" t="n"/>
    </row>
    <row r="17">
      <c r="A17" s="589">
        <f>'04 Exposure Adjustments'!B18</f>
        <v/>
      </c>
      <c r="B17" s="663">
        <f>SUMIFS('12 Frequency and Success'!$D$16:$D$111,'12 Frequency and Success'!$A$16:$A$111,$B$6,'12 Frequency and Success'!$B$16:$B$111,$F$6,'12 Frequency and Success'!$C$16:$C$111,$A17)</f>
        <v/>
      </c>
      <c r="C17" s="591">
        <f>IFERROR(D17/B17,0)</f>
        <v/>
      </c>
      <c r="D17" s="663">
        <f>SUMIFS('12 Frequency and Success'!$F$16:$F$111,'12 Frequency and Success'!$A$16:$A$111,$B$6,'12 Frequency and Success'!$B$16:$B$111,$F$6,'12 Frequency and Success'!$C$16:$C$111,$A17)</f>
        <v/>
      </c>
      <c r="E17" s="590">
        <f>IFERROR(F17/D17,0)</f>
        <v/>
      </c>
      <c r="F17" s="590">
        <f>SUMIFS('12 Frequency and Success'!$J$16:$J$111,'12 Frequency and Success'!$A$16:$A$111,$B$6,'12 Frequency and Success'!$B$16:$B$111,$F$6,'12 Frequency and Success'!$C$16:$C$111,$A17)</f>
        <v/>
      </c>
      <c r="G17" s="444" t="n"/>
      <c r="H17" s="444" t="n"/>
      <c r="I17" s="444" t="n"/>
      <c r="J17" s="444" t="n"/>
      <c r="K17" s="444" t="n"/>
      <c r="L17" s="444" t="n"/>
      <c r="M17" s="444" t="n"/>
      <c r="N17" s="444" t="n"/>
    </row>
    <row r="18">
      <c r="A18" s="589">
        <f>'04 Exposure Adjustments'!B19</f>
        <v/>
      </c>
      <c r="B18" s="663">
        <f>SUMIFS('12 Frequency and Success'!$D$16:$D$111,'12 Frequency and Success'!$A$16:$A$111,$B$6,'12 Frequency and Success'!$B$16:$B$111,$F$6,'12 Frequency and Success'!$C$16:$C$111,$A18)</f>
        <v/>
      </c>
      <c r="C18" s="591">
        <f>IFERROR(D18/B18,0)</f>
        <v/>
      </c>
      <c r="D18" s="663">
        <f>SUMIFS('12 Frequency and Success'!$F$16:$F$111,'12 Frequency and Success'!$A$16:$A$111,$B$6,'12 Frequency and Success'!$B$16:$B$111,$F$6,'12 Frequency and Success'!$C$16:$C$111,$A18)</f>
        <v/>
      </c>
      <c r="E18" s="590">
        <f>IFERROR(F18/D18,0)</f>
        <v/>
      </c>
      <c r="F18" s="590">
        <f>SUMIFS('12 Frequency and Success'!$J$16:$J$111,'12 Frequency and Success'!$A$16:$A$111,$B$6,'12 Frequency and Success'!$B$16:$B$111,$F$6,'12 Frequency and Success'!$C$16:$C$111,$A18)</f>
        <v/>
      </c>
      <c r="G18" s="444" t="n"/>
      <c r="H18" s="444" t="n"/>
      <c r="I18" s="444" t="n"/>
      <c r="J18" s="444" t="n"/>
      <c r="K18" s="444" t="n"/>
      <c r="L18" s="444" t="n"/>
      <c r="M18" s="444" t="n"/>
      <c r="N18" s="444" t="n"/>
    </row>
    <row r="19">
      <c r="A19" s="589">
        <f>'04 Exposure Adjustments'!B20</f>
        <v/>
      </c>
      <c r="B19" s="663">
        <f>SUMIFS('12 Frequency and Success'!$D$16:$D$111,'12 Frequency and Success'!$A$16:$A$111,$B$6,'12 Frequency and Success'!$B$16:$B$111,$F$6,'12 Frequency and Success'!$C$16:$C$111,$A19)</f>
        <v/>
      </c>
      <c r="C19" s="591">
        <f>IFERROR(D19/B19,0)</f>
        <v/>
      </c>
      <c r="D19" s="663">
        <f>SUMIFS('12 Frequency and Success'!$F$16:$F$111,'12 Frequency and Success'!$A$16:$A$111,$B$6,'12 Frequency and Success'!$B$16:$B$111,$F$6,'12 Frequency and Success'!$C$16:$C$111,$A19)</f>
        <v/>
      </c>
      <c r="E19" s="590">
        <f>IFERROR(F19/D19,0)</f>
        <v/>
      </c>
      <c r="F19" s="590">
        <f>SUMIFS('12 Frequency and Success'!$J$16:$J$111,'12 Frequency and Success'!$A$16:$A$111,$B$6,'12 Frequency and Success'!$B$16:$B$111,$F$6,'12 Frequency and Success'!$C$16:$C$111,$A19)</f>
        <v/>
      </c>
      <c r="G19" s="444" t="n"/>
      <c r="H19" s="444" t="n"/>
      <c r="I19" s="444" t="n"/>
      <c r="J19" s="444" t="n"/>
      <c r="K19" s="444" t="n"/>
      <c r="L19" s="444" t="n"/>
      <c r="M19" s="444" t="n"/>
      <c r="N19" s="444" t="n"/>
    </row>
    <row r="20">
      <c r="A20" s="592">
        <f>'04 Exposure Adjustments'!B21</f>
        <v/>
      </c>
      <c r="B20" s="664">
        <f>SUMIFS('12 Frequency and Success'!$D$16:$D$111,'12 Frequency and Success'!$A$16:$A$111,$B$6,'12 Frequency and Success'!$B$16:$B$111,$F$6,'12 Frequency and Success'!$C$16:$C$111,$A20)</f>
        <v/>
      </c>
      <c r="C20" s="594">
        <f>IFERROR(D20/B20,0)</f>
        <v/>
      </c>
      <c r="D20" s="664">
        <f>SUMIFS('12 Frequency and Success'!$F$16:$F$111,'12 Frequency and Success'!$A$16:$A$111,$B$6,'12 Frequency and Success'!$B$16:$B$111,$F$6,'12 Frequency and Success'!$C$16:$C$111,$A20)</f>
        <v/>
      </c>
      <c r="E20" s="593">
        <f>IFERROR(F20/D20,0)</f>
        <v/>
      </c>
      <c r="F20" s="593">
        <f>SUMIFS('12 Frequency and Success'!$J$16:$J$111,'12 Frequency and Success'!$A$16:$A$111,$B$6,'12 Frequency and Success'!$B$16:$B$111,$F$6,'12 Frequency and Success'!$C$16:$C$111,$A20)</f>
        <v/>
      </c>
      <c r="G20" s="444" t="n"/>
      <c r="H20" s="444" t="n"/>
      <c r="I20" s="444" t="n"/>
      <c r="J20" s="444" t="n"/>
      <c r="K20" s="444" t="n"/>
      <c r="L20" s="444" t="n"/>
      <c r="M20" s="444" t="n"/>
      <c r="N20" s="444" t="n"/>
    </row>
    <row r="21">
      <c r="A21" s="444" t="n"/>
      <c r="B21" s="444" t="n"/>
      <c r="C21" s="444" t="n"/>
      <c r="D21" s="444" t="n"/>
      <c r="E21" s="444" t="n"/>
      <c r="F21" s="444" t="n"/>
      <c r="G21" s="444" t="n"/>
      <c r="H21" s="444" t="n"/>
      <c r="I21" s="444" t="n"/>
      <c r="J21" s="444" t="n"/>
      <c r="K21" s="444" t="n"/>
      <c r="L21" s="444" t="n"/>
      <c r="M21" s="444" t="n"/>
      <c r="N21" s="444" t="n"/>
    </row>
    <row r="22">
      <c r="A22" s="444" t="n"/>
      <c r="B22" s="444" t="n"/>
      <c r="C22" s="444" t="n"/>
      <c r="D22" s="444" t="n"/>
      <c r="E22" s="444" t="n"/>
      <c r="F22" s="444" t="n"/>
      <c r="G22" s="444" t="n"/>
      <c r="H22" s="444" t="n"/>
      <c r="I22" s="444" t="n"/>
      <c r="J22" s="444" t="n"/>
      <c r="K22" s="444" t="n"/>
      <c r="L22" s="444" t="n"/>
      <c r="M22" s="444" t="n"/>
      <c r="N22" s="444" t="n"/>
    </row>
    <row r="23" ht="22" customHeight="1" s="242">
      <c r="A23" s="580" t="inlineStr">
        <is>
          <t>ACTOR × SCENARIO AAL MATRIX</t>
        </is>
      </c>
      <c r="I23" s="444" t="n"/>
      <c r="J23" s="444" t="n"/>
      <c r="K23" s="444" t="n"/>
      <c r="L23" s="444" t="n"/>
      <c r="M23" s="444" t="n"/>
      <c r="N23" s="444" t="n"/>
    </row>
    <row r="24">
      <c r="A24" s="588" t="inlineStr">
        <is>
          <t>AAL — Prudent</t>
        </is>
      </c>
      <c r="B24" s="588" t="inlineStr">
        <is>
          <t>Critical business-service disruption</t>
        </is>
      </c>
      <c r="C24" s="588" t="inlineStr">
        <is>
          <t>Sensitive-data compromise</t>
        </is>
      </c>
      <c r="D24" s="588" t="inlineStr">
        <is>
          <t>Data or transaction-integrity compromise</t>
        </is>
      </c>
      <c r="E24" s="588" t="inlineStr">
        <is>
          <t>Cyber-enabled theft or fraud</t>
        </is>
      </c>
      <c r="F24" s="444" t="n"/>
      <c r="G24" s="444" t="n"/>
      <c r="H24" s="444" t="n"/>
      <c r="I24" s="444" t="n"/>
      <c r="J24" s="444" t="n"/>
      <c r="K24" s="444" t="n"/>
      <c r="L24" s="444" t="n"/>
      <c r="M24" s="444" t="n"/>
      <c r="N24" s="444" t="n"/>
    </row>
    <row r="25">
      <c r="A25" s="589" t="inlineStr">
        <is>
          <t>Nation-state</t>
        </is>
      </c>
      <c r="B25" s="590" t="n">
        <v>34187.69718482313</v>
      </c>
      <c r="C25" s="590" t="n">
        <v>42614.9495943943</v>
      </c>
      <c r="D25" s="590" t="n">
        <v>39497.04724865823</v>
      </c>
      <c r="E25" s="590" t="n">
        <v>7587.336452065792</v>
      </c>
      <c r="F25" s="444" t="n"/>
      <c r="G25" s="444" t="n"/>
      <c r="H25" s="444" t="n"/>
      <c r="I25" s="444" t="n"/>
      <c r="J25" s="444" t="n"/>
      <c r="K25" s="444" t="n"/>
      <c r="L25" s="444" t="n"/>
      <c r="M25" s="444" t="n"/>
      <c r="N25" s="444" t="n"/>
    </row>
    <row r="26">
      <c r="A26" s="589" t="inlineStr">
        <is>
          <t>Cybercriminal</t>
        </is>
      </c>
      <c r="B26" s="590" t="n">
        <v>251325.0959186971</v>
      </c>
      <c r="C26" s="590" t="n">
        <v>143618.5439356717</v>
      </c>
      <c r="D26" s="590" t="n">
        <v>59240.44061019894</v>
      </c>
      <c r="E26" s="590" t="n">
        <v>185707.9696580468</v>
      </c>
      <c r="F26" s="444" t="n"/>
      <c r="G26" s="444" t="n"/>
      <c r="H26" s="444" t="n"/>
      <c r="I26" s="444" t="n"/>
      <c r="J26" s="444" t="n"/>
      <c r="K26" s="444" t="n"/>
      <c r="L26" s="444" t="n"/>
      <c r="M26" s="444" t="n"/>
      <c r="N26" s="444" t="n"/>
    </row>
    <row r="27">
      <c r="A27" s="589" t="inlineStr">
        <is>
          <t>Malicious insider</t>
        </is>
      </c>
      <c r="B27" s="590" t="n">
        <v>58482.76217828038</v>
      </c>
      <c r="C27" s="590" t="n">
        <v>94468.79272047104</v>
      </c>
      <c r="D27" s="590" t="n">
        <v>81826.09333899064</v>
      </c>
      <c r="E27" s="590" t="n">
        <v>63923.53643098826</v>
      </c>
      <c r="F27" s="444" t="n"/>
      <c r="G27" s="444" t="n"/>
      <c r="H27" s="444" t="n"/>
      <c r="I27" s="444" t="n"/>
      <c r="J27" s="753" t="inlineStr">
        <is>
          <t>How to read this view
Attempts / year is allocated campaign frequency. P(success) is the conditional probability that a material route succeeds. Events / year is their product. Expected event loss comes from the consequence model. AAL is therefore traceable to both likelihood and consequence rather than a standalone score.</t>
        </is>
      </c>
    </row>
    <row r="28">
      <c r="A28" s="592" t="inlineStr">
        <is>
          <t>Hacktivist</t>
        </is>
      </c>
      <c r="B28" s="593" t="n">
        <v>229475.9406898202</v>
      </c>
      <c r="C28" s="593" t="n">
        <v>9152.995433625996</v>
      </c>
      <c r="D28" s="593" t="n">
        <v>6470.771523657018</v>
      </c>
      <c r="E28" s="593" t="n">
        <v>1137.5951913246</v>
      </c>
      <c r="F28" s="444" t="n"/>
      <c r="G28" s="444" t="n"/>
      <c r="H28" s="444" t="n"/>
      <c r="I28" s="444" t="n"/>
    </row>
    <row r="29">
      <c r="A29" s="444" t="n"/>
      <c r="B29" s="444" t="n"/>
      <c r="C29" s="444" t="n"/>
      <c r="D29" s="444" t="n"/>
      <c r="E29" s="444" t="n"/>
      <c r="F29" s="444" t="n"/>
      <c r="G29" s="444" t="n"/>
      <c r="H29" s="444" t="n"/>
      <c r="I29" s="444" t="n"/>
    </row>
    <row r="30">
      <c r="A30" s="444" t="n"/>
      <c r="B30" s="444" t="n"/>
      <c r="C30" s="444" t="n"/>
      <c r="D30" s="444" t="n"/>
      <c r="E30" s="444" t="n"/>
      <c r="F30" s="444" t="n"/>
      <c r="G30" s="444" t="n"/>
      <c r="H30" s="444" t="n"/>
      <c r="I30" s="444" t="n"/>
    </row>
    <row r="31">
      <c r="A31" s="444" t="n"/>
      <c r="B31" s="444" t="n"/>
      <c r="C31" s="444" t="n"/>
      <c r="D31" s="444" t="n"/>
      <c r="E31" s="444" t="n"/>
      <c r="F31" s="444" t="n"/>
      <c r="G31" s="444" t="n"/>
      <c r="H31" s="444" t="n"/>
      <c r="I31" s="444" t="n"/>
    </row>
    <row r="32">
      <c r="A32" s="444" t="n"/>
      <c r="B32" s="444" t="n"/>
      <c r="C32" s="444" t="n"/>
      <c r="D32" s="444" t="n"/>
      <c r="E32" s="444" t="n"/>
      <c r="F32" s="444" t="n"/>
      <c r="G32" s="444" t="n"/>
      <c r="H32" s="444" t="n"/>
      <c r="I32" s="444" t="n"/>
    </row>
    <row r="33">
      <c r="A33" s="444" t="n"/>
      <c r="B33" s="444" t="n"/>
      <c r="C33" s="444" t="n"/>
      <c r="D33" s="444" t="n"/>
      <c r="E33" s="444" t="n"/>
      <c r="F33" s="444" t="n"/>
      <c r="G33" s="444" t="n"/>
      <c r="H33" s="444" t="n"/>
      <c r="I33" s="444" t="n"/>
    </row>
    <row r="34">
      <c r="A34" s="444" t="n"/>
      <c r="B34" s="444" t="n"/>
      <c r="C34" s="444" t="n"/>
      <c r="D34" s="444" t="n"/>
      <c r="E34" s="444" t="n"/>
      <c r="F34" s="444" t="n"/>
      <c r="G34" s="444" t="n"/>
      <c r="H34" s="444" t="n"/>
      <c r="I34" s="444" t="n"/>
      <c r="J34" s="444" t="n"/>
      <c r="K34" s="444" t="n"/>
      <c r="L34" s="444" t="n"/>
      <c r="M34" s="444" t="n"/>
      <c r="N34" s="444" t="n"/>
    </row>
    <row r="35">
      <c r="A35" s="444" t="n"/>
      <c r="B35" s="444" t="n"/>
      <c r="C35" s="444" t="n"/>
      <c r="D35" s="444" t="n"/>
      <c r="E35" s="444" t="n"/>
      <c r="F35" s="444" t="n"/>
      <c r="G35" s="444" t="n"/>
      <c r="H35" s="444" t="n"/>
      <c r="I35" s="444" t="n"/>
      <c r="J35" s="444" t="n"/>
      <c r="K35" s="444" t="n"/>
      <c r="L35" s="444" t="n"/>
      <c r="M35" s="444" t="n"/>
      <c r="N35" s="444" t="n"/>
    </row>
    <row r="36">
      <c r="A36" s="444" t="n"/>
      <c r="B36" s="444" t="n"/>
      <c r="C36" s="444" t="n"/>
      <c r="D36" s="444" t="n"/>
      <c r="E36" s="444" t="n"/>
      <c r="F36" s="444" t="n"/>
      <c r="G36" s="444" t="n"/>
      <c r="H36" s="444" t="n"/>
      <c r="I36" s="444" t="n"/>
      <c r="J36" s="444" t="n"/>
      <c r="K36" s="444" t="n"/>
      <c r="L36" s="444" t="n"/>
      <c r="M36" s="444" t="n"/>
      <c r="N36" s="444" t="n"/>
    </row>
    <row r="37">
      <c r="A37" s="444" t="n"/>
      <c r="B37" s="444" t="n"/>
      <c r="C37" s="444" t="n"/>
      <c r="D37" s="444" t="n"/>
      <c r="E37" s="444" t="n"/>
      <c r="F37" s="444" t="n"/>
      <c r="G37" s="444" t="n"/>
      <c r="H37" s="444" t="n"/>
      <c r="I37" s="444" t="n"/>
      <c r="J37" s="444" t="n"/>
      <c r="K37" s="444" t="n"/>
      <c r="L37" s="444" t="n"/>
      <c r="M37" s="444" t="n"/>
      <c r="N37" s="444" t="n"/>
    </row>
    <row r="38">
      <c r="A38" s="444" t="n"/>
      <c r="B38" s="444" t="n"/>
      <c r="C38" s="444" t="n"/>
      <c r="D38" s="444" t="n"/>
      <c r="E38" s="444" t="n"/>
      <c r="F38" s="444" t="n"/>
      <c r="G38" s="444" t="n"/>
      <c r="H38" s="444" t="n"/>
      <c r="I38" s="444" t="n"/>
      <c r="J38" s="444" t="n"/>
      <c r="K38" s="444" t="n"/>
      <c r="L38" s="444" t="n"/>
      <c r="M38" s="444" t="n"/>
      <c r="N38" s="444" t="n"/>
    </row>
    <row r="39">
      <c r="A39" s="444" t="n"/>
      <c r="B39" s="444" t="n"/>
      <c r="C39" s="444" t="n"/>
      <c r="D39" s="444" t="n"/>
      <c r="E39" s="444" t="n"/>
      <c r="F39" s="444" t="n"/>
      <c r="G39" s="444" t="n"/>
      <c r="H39" s="444" t="n"/>
      <c r="I39" s="444" t="n"/>
      <c r="J39" s="444" t="n"/>
      <c r="K39" s="444" t="n"/>
      <c r="L39" s="444" t="n"/>
      <c r="M39" s="444" t="n"/>
      <c r="N39" s="444" t="n"/>
    </row>
    <row r="40">
      <c r="A40" s="444" t="n"/>
      <c r="B40" s="444" t="n"/>
      <c r="C40" s="444" t="n"/>
      <c r="D40" s="444" t="n"/>
      <c r="E40" s="444" t="n"/>
      <c r="F40" s="444" t="n"/>
      <c r="G40" s="444" t="n"/>
      <c r="H40" s="444" t="n"/>
      <c r="I40" s="444" t="n"/>
      <c r="J40" s="444" t="n"/>
      <c r="K40" s="444" t="n"/>
      <c r="L40" s="444" t="n"/>
      <c r="M40" s="444" t="n"/>
      <c r="N40" s="444" t="n"/>
    </row>
    <row r="41">
      <c r="A41" s="444" t="n"/>
      <c r="B41" s="444" t="n"/>
      <c r="C41" s="444" t="n"/>
      <c r="D41" s="444" t="n"/>
      <c r="E41" s="444" t="n"/>
      <c r="F41" s="444" t="n"/>
      <c r="G41" s="444" t="n"/>
      <c r="H41" s="444" t="n"/>
      <c r="I41" s="444" t="n"/>
      <c r="J41" s="444" t="n"/>
      <c r="K41" s="444" t="n"/>
      <c r="L41" s="444" t="n"/>
      <c r="M41" s="444" t="n"/>
      <c r="N41" s="444" t="n"/>
    </row>
    <row r="42">
      <c r="A42" s="444" t="n"/>
      <c r="B42" s="444" t="n"/>
      <c r="C42" s="444" t="n"/>
      <c r="D42" s="444" t="n"/>
      <c r="E42" s="444" t="n"/>
      <c r="F42" s="444" t="n"/>
      <c r="G42" s="444" t="n"/>
      <c r="H42" s="444" t="n"/>
      <c r="I42" s="444" t="n"/>
      <c r="J42" s="444" t="n"/>
      <c r="K42" s="444" t="n"/>
      <c r="L42" s="444" t="n"/>
      <c r="M42" s="444" t="n"/>
      <c r="N42" s="444" t="n"/>
    </row>
    <row r="43">
      <c r="A43" s="444" t="n"/>
      <c r="B43" s="444" t="n"/>
      <c r="C43" s="444" t="n"/>
      <c r="D43" s="444" t="n"/>
      <c r="E43" s="444" t="n"/>
      <c r="F43" s="444" t="n"/>
      <c r="G43" s="444" t="n"/>
      <c r="H43" s="444" t="n"/>
      <c r="I43" s="444" t="n"/>
      <c r="J43" s="444" t="n"/>
      <c r="K43" s="444" t="n"/>
      <c r="L43" s="444" t="n"/>
      <c r="M43" s="444" t="n"/>
      <c r="N43" s="444" t="n"/>
    </row>
    <row r="44">
      <c r="A44" s="444" t="n"/>
      <c r="B44" s="444" t="n"/>
      <c r="C44" s="444" t="n"/>
      <c r="D44" s="444" t="n"/>
      <c r="E44" s="444" t="n"/>
      <c r="F44" s="444" t="n"/>
      <c r="G44" s="444" t="n"/>
      <c r="H44" s="444" t="n"/>
      <c r="I44" s="444" t="n"/>
      <c r="J44" s="444" t="n"/>
      <c r="K44" s="444" t="n"/>
      <c r="L44" s="444" t="n"/>
      <c r="M44" s="444" t="n"/>
      <c r="N44" s="444" t="n"/>
    </row>
    <row r="45">
      <c r="A45" s="444" t="n"/>
      <c r="B45" s="444" t="n"/>
      <c r="C45" s="444" t="n"/>
      <c r="D45" s="444" t="n"/>
      <c r="E45" s="444" t="n"/>
      <c r="F45" s="444" t="n"/>
      <c r="G45" s="444" t="n"/>
      <c r="H45" s="444" t="n"/>
      <c r="I45" s="444" t="n"/>
      <c r="J45" s="444" t="n"/>
      <c r="K45" s="444" t="n"/>
      <c r="L45" s="444" t="n"/>
      <c r="M45" s="444" t="n"/>
      <c r="N45" s="444" t="n"/>
    </row>
    <row r="46">
      <c r="A46" s="444" t="n"/>
      <c r="B46" s="444" t="n"/>
      <c r="C46" s="444" t="n"/>
      <c r="D46" s="444" t="n"/>
      <c r="E46" s="444" t="n"/>
      <c r="F46" s="444" t="n"/>
      <c r="G46" s="444" t="n"/>
      <c r="H46" s="444" t="n"/>
      <c r="I46" s="444" t="n"/>
      <c r="J46" s="444" t="n"/>
      <c r="K46" s="444" t="n"/>
      <c r="L46" s="444" t="n"/>
      <c r="M46" s="444" t="n"/>
      <c r="N46" s="444" t="n"/>
    </row>
    <row r="47">
      <c r="A47" s="444" t="n"/>
      <c r="B47" s="444" t="n"/>
      <c r="C47" s="444" t="n"/>
      <c r="D47" s="444" t="n"/>
      <c r="E47" s="444" t="n"/>
      <c r="F47" s="444" t="n"/>
      <c r="G47" s="444" t="n"/>
      <c r="H47" s="444" t="n"/>
      <c r="I47" s="444" t="n"/>
      <c r="J47" s="444" t="n"/>
      <c r="K47" s="444" t="n"/>
      <c r="L47" s="444" t="n"/>
      <c r="M47" s="444" t="n"/>
      <c r="N47" s="444" t="n"/>
    </row>
    <row r="48">
      <c r="A48" s="444" t="n"/>
      <c r="B48" s="444" t="n"/>
      <c r="C48" s="444" t="n"/>
      <c r="D48" s="444" t="n"/>
      <c r="E48" s="444" t="n"/>
      <c r="F48" s="444" t="n"/>
      <c r="G48" s="444" t="n"/>
      <c r="H48" s="444" t="n"/>
      <c r="I48" s="444" t="n"/>
      <c r="J48" s="444" t="n"/>
      <c r="K48" s="444" t="n"/>
      <c r="L48" s="444" t="n"/>
      <c r="M48" s="444" t="n"/>
      <c r="N48" s="444" t="n"/>
    </row>
    <row r="49">
      <c r="A49" s="444" t="n"/>
      <c r="B49" s="444" t="n"/>
      <c r="C49" s="444" t="n"/>
      <c r="D49" s="444" t="n"/>
      <c r="E49" s="444" t="n"/>
      <c r="F49" s="444" t="n"/>
      <c r="G49" s="444" t="n"/>
      <c r="H49" s="444" t="n"/>
      <c r="I49" s="444" t="n"/>
      <c r="J49" s="444" t="n"/>
      <c r="K49" s="444" t="n"/>
      <c r="L49" s="444" t="n"/>
      <c r="M49" s="444" t="n"/>
      <c r="N49" s="444" t="n"/>
    </row>
    <row r="50">
      <c r="A50" s="444" t="n"/>
      <c r="B50" s="444" t="n"/>
      <c r="C50" s="444" t="n"/>
      <c r="D50" s="444" t="n"/>
      <c r="E50" s="444" t="n"/>
      <c r="F50" s="444" t="n"/>
      <c r="G50" s="444" t="n"/>
      <c r="H50" s="444" t="n"/>
      <c r="I50" s="444" t="n"/>
      <c r="J50" s="444" t="n"/>
      <c r="K50" s="444" t="n"/>
      <c r="L50" s="444" t="n"/>
      <c r="M50" s="444" t="n"/>
      <c r="N50" s="444" t="n"/>
    </row>
    <row r="51">
      <c r="A51" s="444" t="n"/>
      <c r="B51" s="444" t="n"/>
      <c r="C51" s="444" t="n"/>
      <c r="D51" s="444" t="n"/>
      <c r="E51" s="444" t="n"/>
      <c r="F51" s="444" t="n"/>
      <c r="G51" s="444" t="n"/>
      <c r="H51" s="444" t="n"/>
      <c r="I51" s="444" t="n"/>
      <c r="J51" s="444" t="n"/>
      <c r="K51" s="444" t="n"/>
      <c r="L51" s="444" t="n"/>
      <c r="M51" s="444" t="n"/>
      <c r="N51" s="444" t="n"/>
    </row>
    <row r="52">
      <c r="A52" s="444" t="n"/>
      <c r="B52" s="444" t="n"/>
      <c r="C52" s="444" t="n"/>
      <c r="D52" s="444" t="n"/>
      <c r="E52" s="444" t="n"/>
      <c r="F52" s="444" t="n"/>
      <c r="G52" s="444" t="n"/>
      <c r="H52" s="444" t="n"/>
      <c r="I52" s="444" t="n"/>
      <c r="J52" s="444" t="n"/>
      <c r="K52" s="444" t="n"/>
      <c r="L52" s="444" t="n"/>
      <c r="M52" s="444" t="n"/>
      <c r="N52" s="444" t="n"/>
    </row>
    <row r="53">
      <c r="A53" s="444" t="n"/>
      <c r="B53" s="444" t="n"/>
      <c r="C53" s="444" t="n"/>
      <c r="D53" s="444" t="n"/>
      <c r="E53" s="444" t="n"/>
      <c r="F53" s="444" t="n"/>
      <c r="G53" s="444" t="n"/>
      <c r="H53" s="444" t="n"/>
      <c r="I53" s="444" t="n"/>
      <c r="J53" s="444" t="n"/>
      <c r="K53" s="444" t="n"/>
      <c r="L53" s="444" t="n"/>
      <c r="M53" s="444" t="n"/>
      <c r="N53" s="444" t="n"/>
    </row>
    <row r="54">
      <c r="A54" s="444" t="n"/>
      <c r="B54" s="444" t="n"/>
      <c r="C54" s="444" t="n"/>
      <c r="D54" s="444" t="n"/>
      <c r="E54" s="444" t="n"/>
      <c r="F54" s="444" t="n"/>
      <c r="G54" s="444" t="n"/>
      <c r="H54" s="444" t="n"/>
      <c r="I54" s="444" t="n"/>
      <c r="J54" s="444" t="n"/>
      <c r="K54" s="444" t="n"/>
      <c r="L54" s="444" t="n"/>
      <c r="M54" s="444" t="n"/>
      <c r="N54" s="444" t="n"/>
    </row>
    <row r="55">
      <c r="A55" s="444" t="n"/>
      <c r="B55" s="444" t="n"/>
      <c r="C55" s="444" t="n"/>
      <c r="D55" s="444" t="n"/>
      <c r="E55" s="444" t="n"/>
      <c r="F55" s="444" t="n"/>
      <c r="G55" s="444" t="n"/>
      <c r="H55" s="444" t="n"/>
      <c r="I55" s="444" t="n"/>
      <c r="J55" s="444" t="n"/>
      <c r="K55" s="444" t="n"/>
      <c r="L55" s="444" t="n"/>
      <c r="M55" s="444" t="n"/>
      <c r="N55" s="444" t="n"/>
    </row>
    <row r="56">
      <c r="A56" s="444" t="n"/>
      <c r="B56" s="444" t="n"/>
      <c r="C56" s="444" t="n"/>
      <c r="D56" s="444" t="n"/>
      <c r="E56" s="444" t="n"/>
      <c r="F56" s="444" t="n"/>
      <c r="G56" s="444" t="n"/>
      <c r="H56" s="444" t="n"/>
      <c r="I56" s="444" t="n"/>
      <c r="J56" s="444" t="n"/>
      <c r="K56" s="444" t="n"/>
      <c r="L56" s="444" t="n"/>
      <c r="M56" s="444" t="n"/>
      <c r="N56" s="444" t="n"/>
    </row>
    <row r="57">
      <c r="A57" s="444" t="n"/>
      <c r="B57" s="444" t="n"/>
      <c r="C57" s="444" t="n"/>
      <c r="D57" s="444" t="n"/>
      <c r="E57" s="444" t="n"/>
      <c r="F57" s="444" t="n"/>
      <c r="G57" s="444" t="n"/>
      <c r="H57" s="444" t="n"/>
      <c r="I57" s="444" t="n"/>
      <c r="J57" s="444" t="n"/>
      <c r="K57" s="444" t="n"/>
      <c r="L57" s="444" t="n"/>
      <c r="M57" s="444" t="n"/>
      <c r="N57" s="444" t="n"/>
    </row>
    <row r="58">
      <c r="A58" s="444" t="n"/>
      <c r="B58" s="444" t="n"/>
      <c r="C58" s="444" t="n"/>
      <c r="D58" s="444" t="n"/>
      <c r="E58" s="444" t="n"/>
      <c r="F58" s="444" t="n"/>
      <c r="G58" s="444" t="n"/>
      <c r="H58" s="444" t="n"/>
      <c r="I58" s="444" t="n"/>
      <c r="J58" s="444" t="n"/>
      <c r="K58" s="444" t="n"/>
      <c r="L58" s="444" t="n"/>
      <c r="M58" s="444" t="n"/>
      <c r="N58" s="444" t="n"/>
    </row>
    <row r="59">
      <c r="A59" s="444" t="n"/>
      <c r="B59" s="444" t="n"/>
      <c r="C59" s="444" t="n"/>
      <c r="D59" s="444" t="n"/>
      <c r="E59" s="444" t="n"/>
      <c r="F59" s="444" t="n"/>
      <c r="G59" s="444" t="n"/>
      <c r="H59" s="444" t="n"/>
      <c r="I59" s="444" t="n"/>
      <c r="J59" s="444" t="n"/>
      <c r="K59" s="444" t="n"/>
      <c r="L59" s="444" t="n"/>
      <c r="M59" s="444" t="n"/>
      <c r="N59" s="444" t="n"/>
    </row>
    <row r="60">
      <c r="A60" s="444" t="n"/>
      <c r="B60" s="444" t="n"/>
      <c r="C60" s="444" t="n"/>
      <c r="D60" s="444" t="n"/>
      <c r="E60" s="444" t="n"/>
      <c r="F60" s="444" t="n"/>
      <c r="G60" s="444" t="n"/>
      <c r="H60" s="444" t="n"/>
      <c r="I60" s="444" t="n"/>
      <c r="J60" s="444" t="n"/>
      <c r="K60" s="444" t="n"/>
      <c r="L60" s="444" t="n"/>
      <c r="M60" s="444" t="n"/>
      <c r="N60" s="444" t="n"/>
    </row>
    <row r="61">
      <c r="A61" s="444" t="n"/>
      <c r="B61" s="444" t="n"/>
      <c r="C61" s="444" t="n"/>
      <c r="D61" s="444" t="n"/>
      <c r="E61" s="444" t="n"/>
      <c r="F61" s="444" t="n"/>
      <c r="G61" s="444" t="n"/>
      <c r="H61" s="444" t="n"/>
      <c r="I61" s="444" t="n"/>
      <c r="J61" s="444" t="inlineStr">
        <is>
          <t>Route</t>
        </is>
      </c>
      <c r="K61" s="444" t="inlineStr">
        <is>
          <t>AAL</t>
        </is>
      </c>
      <c r="L61" s="444" t="n"/>
      <c r="M61" s="444" t="n"/>
      <c r="N61" s="444" t="n"/>
    </row>
    <row r="62">
      <c r="A62" s="444" t="n"/>
      <c r="B62" s="444" t="n"/>
      <c r="C62" s="444" t="n"/>
      <c r="D62" s="444" t="n"/>
      <c r="E62" s="444" t="n"/>
      <c r="F62" s="444" t="n"/>
      <c r="G62" s="444" t="n"/>
      <c r="H62" s="444" t="n"/>
      <c r="I62" s="444" t="n"/>
      <c r="J62" s="444">
        <f>A15</f>
        <v/>
      </c>
      <c r="K62" s="444">
        <f>F15</f>
        <v/>
      </c>
      <c r="L62" s="444" t="n"/>
      <c r="M62" s="444" t="n"/>
      <c r="N62" s="444" t="n"/>
    </row>
    <row r="63">
      <c r="A63" s="444" t="n"/>
      <c r="B63" s="444" t="n"/>
      <c r="C63" s="444" t="n"/>
      <c r="D63" s="444" t="n"/>
      <c r="E63" s="444" t="n"/>
      <c r="F63" s="444" t="n"/>
      <c r="G63" s="444" t="n"/>
      <c r="H63" s="444" t="n"/>
      <c r="I63" s="444" t="n"/>
      <c r="J63" s="444">
        <f>A16</f>
        <v/>
      </c>
      <c r="K63" s="444">
        <f>F16</f>
        <v/>
      </c>
      <c r="L63" s="444" t="n"/>
      <c r="M63" s="444" t="n"/>
      <c r="N63" s="444" t="n"/>
    </row>
    <row r="64">
      <c r="A64" s="444" t="n"/>
      <c r="B64" s="444" t="n"/>
      <c r="C64" s="444" t="n"/>
      <c r="D64" s="444" t="n"/>
      <c r="E64" s="444" t="n"/>
      <c r="F64" s="444" t="n"/>
      <c r="G64" s="444" t="n"/>
      <c r="H64" s="444" t="n"/>
      <c r="I64" s="444" t="n"/>
      <c r="J64" s="444">
        <f>A17</f>
        <v/>
      </c>
      <c r="K64" s="444">
        <f>F17</f>
        <v/>
      </c>
      <c r="L64" s="444" t="n"/>
      <c r="M64" s="444" t="n"/>
      <c r="N64" s="444" t="n"/>
    </row>
    <row r="65">
      <c r="A65" s="444" t="n"/>
      <c r="B65" s="444" t="n"/>
      <c r="C65" s="444" t="n"/>
      <c r="D65" s="444" t="n"/>
      <c r="E65" s="444" t="n"/>
      <c r="F65" s="444" t="n"/>
      <c r="G65" s="444" t="n"/>
      <c r="H65" s="444" t="n"/>
      <c r="I65" s="444" t="n"/>
      <c r="J65" s="444">
        <f>A18</f>
        <v/>
      </c>
      <c r="K65" s="444">
        <f>F18</f>
        <v/>
      </c>
      <c r="L65" s="444" t="n"/>
      <c r="M65" s="444" t="n"/>
      <c r="N65" s="444" t="n"/>
    </row>
    <row r="66">
      <c r="A66" s="444" t="n"/>
      <c r="B66" s="444" t="n"/>
      <c r="C66" s="444" t="n"/>
      <c r="D66" s="444" t="n"/>
      <c r="E66" s="444" t="n"/>
      <c r="F66" s="444" t="n"/>
      <c r="G66" s="444" t="n"/>
      <c r="H66" s="444" t="n"/>
      <c r="I66" s="444" t="n"/>
      <c r="J66" s="444">
        <f>A19</f>
        <v/>
      </c>
      <c r="K66" s="444">
        <f>F19</f>
        <v/>
      </c>
      <c r="L66" s="444" t="n"/>
      <c r="M66" s="444" t="n"/>
      <c r="N66" s="444" t="n"/>
    </row>
    <row r="67">
      <c r="A67" s="444" t="n"/>
      <c r="B67" s="444" t="n"/>
      <c r="C67" s="444" t="n"/>
      <c r="D67" s="444" t="n"/>
      <c r="E67" s="444" t="n"/>
      <c r="F67" s="444" t="n"/>
      <c r="G67" s="444" t="n"/>
      <c r="H67" s="444" t="n"/>
      <c r="I67" s="444" t="n"/>
      <c r="J67" s="444">
        <f>A20</f>
        <v/>
      </c>
      <c r="K67" s="444">
        <f>F20</f>
        <v/>
      </c>
      <c r="L67" s="444" t="n"/>
      <c r="M67" s="444" t="n"/>
      <c r="N67" s="444" t="n"/>
    </row>
    <row r="68">
      <c r="A68" s="444" t="n"/>
      <c r="B68" s="444" t="n"/>
      <c r="C68" s="444" t="n"/>
      <c r="D68" s="444" t="n"/>
      <c r="E68" s="444" t="n"/>
      <c r="F68" s="444" t="n"/>
      <c r="G68" s="444" t="n"/>
      <c r="H68" s="444" t="n"/>
      <c r="I68" s="444" t="n"/>
      <c r="J68" s="444" t="n"/>
      <c r="K68" s="444" t="n"/>
      <c r="L68" s="444" t="n"/>
      <c r="M68" s="444" t="n"/>
      <c r="N68" s="444" t="n"/>
    </row>
    <row r="69">
      <c r="A69" s="444" t="n"/>
      <c r="B69" s="444" t="n"/>
      <c r="C69" s="444" t="n"/>
      <c r="D69" s="444" t="n"/>
      <c r="E69" s="444" t="n"/>
      <c r="F69" s="444" t="n"/>
      <c r="G69" s="444" t="n"/>
      <c r="H69" s="444" t="n"/>
      <c r="I69" s="444" t="n"/>
      <c r="J69" s="444" t="n"/>
      <c r="K69" s="444" t="n"/>
      <c r="L69" s="444" t="n"/>
      <c r="M69" s="444" t="n"/>
      <c r="N69" s="444" t="n"/>
    </row>
    <row r="70">
      <c r="A70" s="444" t="n"/>
      <c r="B70" s="444" t="n"/>
      <c r="C70" s="444" t="n"/>
      <c r="D70" s="444" t="n"/>
      <c r="E70" s="444" t="n"/>
      <c r="F70" s="444" t="n"/>
      <c r="G70" s="444" t="n"/>
      <c r="H70" s="444" t="n"/>
      <c r="I70" s="444" t="n"/>
      <c r="J70" s="444" t="n"/>
      <c r="K70" s="444" t="n"/>
      <c r="L70" s="444" t="n"/>
      <c r="M70" s="444" t="n"/>
      <c r="N70" s="444" t="n"/>
    </row>
    <row r="71">
      <c r="A71" s="444" t="n"/>
      <c r="B71" s="444" t="n"/>
      <c r="C71" s="444" t="n"/>
      <c r="D71" s="444" t="n"/>
      <c r="E71" s="444" t="n"/>
      <c r="F71" s="444" t="n"/>
      <c r="G71" s="444" t="n"/>
      <c r="H71" s="444" t="n"/>
      <c r="I71" s="444" t="n"/>
      <c r="J71" s="444" t="n"/>
      <c r="K71" s="444" t="n"/>
      <c r="L71" s="444" t="n"/>
      <c r="M71" s="444" t="n"/>
      <c r="N71" s="444" t="n"/>
    </row>
    <row r="72">
      <c r="A72" s="444" t="n"/>
      <c r="B72" s="444" t="n"/>
      <c r="C72" s="444" t="n"/>
      <c r="D72" s="444" t="n"/>
      <c r="E72" s="444" t="n"/>
      <c r="F72" s="444" t="n"/>
      <c r="G72" s="444" t="n"/>
      <c r="H72" s="444" t="n"/>
      <c r="I72" s="444" t="n"/>
      <c r="J72" s="444" t="n"/>
      <c r="K72" s="444" t="n"/>
      <c r="L72" s="444" t="n"/>
      <c r="M72" s="444" t="n"/>
      <c r="N72" s="444" t="n"/>
    </row>
    <row r="73">
      <c r="A73" s="444" t="n"/>
      <c r="B73" s="444" t="n"/>
      <c r="C73" s="444" t="n"/>
      <c r="D73" s="444" t="n"/>
      <c r="E73" s="444" t="n"/>
      <c r="F73" s="444" t="n"/>
      <c r="G73" s="444" t="n"/>
      <c r="H73" s="444" t="n"/>
      <c r="I73" s="444" t="n"/>
      <c r="J73" s="444" t="n"/>
      <c r="K73" s="444" t="n"/>
      <c r="L73" s="444" t="n"/>
      <c r="M73" s="444" t="n"/>
      <c r="N73" s="444" t="n"/>
    </row>
    <row r="74">
      <c r="A74" s="444" t="n"/>
      <c r="B74" s="444" t="n"/>
      <c r="C74" s="444" t="n"/>
      <c r="D74" s="444" t="n"/>
      <c r="E74" s="444" t="n"/>
      <c r="F74" s="444" t="n"/>
      <c r="G74" s="444" t="n"/>
      <c r="H74" s="444" t="n"/>
      <c r="I74" s="444" t="n"/>
      <c r="J74" s="444" t="n"/>
      <c r="K74" s="444" t="n"/>
      <c r="L74" s="444" t="n"/>
      <c r="M74" s="444" t="n"/>
      <c r="N74" s="444" t="n"/>
    </row>
    <row r="75">
      <c r="A75" s="444" t="n"/>
      <c r="B75" s="444" t="n"/>
      <c r="C75" s="444" t="n"/>
      <c r="D75" s="444" t="n"/>
      <c r="E75" s="444" t="n"/>
      <c r="F75" s="444" t="n"/>
      <c r="G75" s="444" t="n"/>
      <c r="H75" s="444" t="n"/>
      <c r="I75" s="444" t="n"/>
      <c r="J75" s="444" t="n"/>
      <c r="K75" s="444" t="n"/>
      <c r="L75" s="444" t="n"/>
      <c r="M75" s="444" t="n"/>
      <c r="N75" s="444" t="n"/>
    </row>
    <row r="76">
      <c r="A76" s="444" t="n"/>
      <c r="B76" s="444" t="n"/>
      <c r="C76" s="444" t="n"/>
      <c r="D76" s="444" t="n"/>
      <c r="E76" s="444" t="n"/>
      <c r="F76" s="444" t="n"/>
      <c r="G76" s="444" t="n"/>
      <c r="H76" s="444" t="n"/>
      <c r="I76" s="444" t="n"/>
      <c r="J76" s="444" t="n"/>
      <c r="K76" s="444" t="n"/>
      <c r="L76" s="444" t="n"/>
      <c r="M76" s="444" t="n"/>
      <c r="N76" s="444" t="n"/>
    </row>
    <row r="77">
      <c r="A77" s="444" t="n"/>
      <c r="B77" s="444" t="n"/>
      <c r="C77" s="444" t="n"/>
      <c r="D77" s="444" t="n"/>
      <c r="E77" s="444" t="n"/>
      <c r="F77" s="444" t="n"/>
      <c r="G77" s="444" t="n"/>
      <c r="H77" s="444" t="n"/>
      <c r="I77" s="444" t="n"/>
      <c r="J77" s="444" t="n"/>
      <c r="K77" s="444" t="n"/>
      <c r="L77" s="444" t="n"/>
      <c r="M77" s="444" t="n"/>
      <c r="N77" s="444" t="n"/>
    </row>
    <row r="78">
      <c r="A78" s="444" t="n"/>
      <c r="B78" s="444" t="n"/>
      <c r="C78" s="444" t="n"/>
      <c r="D78" s="444" t="n"/>
      <c r="E78" s="444" t="n"/>
      <c r="F78" s="444" t="n"/>
      <c r="G78" s="444" t="n"/>
      <c r="H78" s="444" t="n"/>
      <c r="I78" s="444" t="n"/>
      <c r="J78" s="444" t="n"/>
      <c r="K78" s="444" t="n"/>
      <c r="L78" s="444" t="n"/>
      <c r="M78" s="444" t="n"/>
      <c r="N78" s="444" t="n"/>
    </row>
    <row r="79">
      <c r="A79" s="444" t="n"/>
      <c r="B79" s="444" t="n"/>
      <c r="C79" s="444" t="n"/>
      <c r="D79" s="444" t="n"/>
      <c r="E79" s="444" t="n"/>
      <c r="F79" s="444" t="n"/>
      <c r="G79" s="444" t="n"/>
      <c r="H79" s="444" t="n"/>
      <c r="I79" s="444" t="n"/>
      <c r="J79" s="444" t="n"/>
      <c r="K79" s="444" t="n"/>
      <c r="L79" s="444" t="n"/>
      <c r="M79" s="444" t="n"/>
      <c r="N79" s="444" t="n"/>
    </row>
    <row r="80">
      <c r="A80" s="444" t="n"/>
      <c r="B80" s="444" t="n"/>
      <c r="C80" s="444" t="n"/>
      <c r="D80" s="444" t="n"/>
      <c r="E80" s="444" t="n"/>
      <c r="F80" s="444" t="n"/>
      <c r="G80" s="444" t="n"/>
      <c r="H80" s="444" t="n"/>
      <c r="I80" s="444" t="n"/>
      <c r="J80" s="444" t="n"/>
      <c r="K80" s="444" t="n"/>
      <c r="L80" s="444" t="n"/>
      <c r="M80" s="444" t="n"/>
      <c r="N80" s="444" t="n"/>
    </row>
  </sheetData>
  <mergeCells count="22">
    <mergeCell ref="A9:B11"/>
    <mergeCell ref="J4:L4"/>
    <mergeCell ref="J13:N13"/>
    <mergeCell ref="G8:H8"/>
    <mergeCell ref="M9:N11"/>
    <mergeCell ref="D6:E6"/>
    <mergeCell ref="J6:N6"/>
    <mergeCell ref="J9:K11"/>
    <mergeCell ref="A3:N3"/>
    <mergeCell ref="B4:D4"/>
    <mergeCell ref="F4:H4"/>
    <mergeCell ref="A23:H23"/>
    <mergeCell ref="A8:B8"/>
    <mergeCell ref="J27:N33"/>
    <mergeCell ref="M8:N8"/>
    <mergeCell ref="D8:E8"/>
    <mergeCell ref="A1:N2"/>
    <mergeCell ref="F6:H6"/>
    <mergeCell ref="D9:E11"/>
    <mergeCell ref="A13:H13"/>
    <mergeCell ref="J8:K8"/>
    <mergeCell ref="G9:H11"/>
  </mergeCells>
  <conditionalFormatting sqref="B25:E28">
    <cfRule type="colorScale" priority="1">
      <colorScale>
        <cfvo type="min"/>
        <cfvo type="percentile" val="50"/>
        <cfvo type="max"/>
        <color rgb="FFE0F2FE"/>
        <color rgb="FFC4B5FD"/>
        <color rgb="FFFCA5A5"/>
      </colorScale>
    </cfRule>
  </conditionalFormatting>
  <dataValidations count="2">
    <dataValidation sqref="B6" showDropDown="0" showInputMessage="0" showErrorMessage="0" allowBlank="0" type="list">
      <formula1>'02 Executive Summary'!$A$30:$A$33</formula1>
    </dataValidation>
    <dataValidation sqref="F6:H6" showDropDown="0" showInputMessage="0" showErrorMessage="0" allowBlank="0" type="list">
      <formula1>'02 Executive Summary'!$A$37:$A$40</formula1>
    </dataValidation>
  </dataValidations>
  <pageMargins left="0.7" right="0.7" top="0.75" bottom="0.75" header="0.3" footer="0.3"/>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N80"/>
  <sheetViews>
    <sheetView showGridLines="0" workbookViewId="0">
      <selection activeCell="A1" sqref="A1"/>
    </sheetView>
  </sheetViews>
  <sheetFormatPr baseColWidth="8" defaultRowHeight="15"/>
  <cols>
    <col width="28" customWidth="1" style="242" min="1" max="1"/>
    <col width="16" customWidth="1" style="242" min="2" max="2"/>
    <col width="16" customWidth="1" style="242" min="3" max="3"/>
    <col width="16" customWidth="1" style="242" min="4" max="4"/>
    <col width="16" customWidth="1" style="242" min="5" max="5"/>
    <col width="3" customWidth="1" style="242" min="6" max="6"/>
    <col width="16" customWidth="1" style="242" min="7" max="7"/>
    <col width="16" customWidth="1" style="242" min="8" max="8"/>
    <col width="3" customWidth="1" style="242" min="9" max="9"/>
    <col width="16" customWidth="1" style="242" min="10" max="10"/>
    <col width="16" customWidth="1" style="242" min="11" max="11"/>
    <col width="3" customWidth="1" style="242" min="12" max="12"/>
    <col width="16" customWidth="1" style="242" min="13" max="13"/>
    <col width="16" customWidth="1" style="242" min="14" max="14"/>
  </cols>
  <sheetData>
    <row r="1">
      <c r="A1" s="448" t="inlineStr">
        <is>
          <t>IT CYBER RISK QUANTIFICATION | LOSS ANALYSIS</t>
        </is>
      </c>
    </row>
    <row r="2"/>
    <row r="3">
      <c r="A3" s="451" t="inlineStr">
        <is>
          <t>Bottom-up event consequence profile. Select an actor, scenario and quantile to see which impact drivers create the modeled loss.</t>
        </is>
      </c>
    </row>
    <row r="4">
      <c r="A4" s="453" t="inlineStr">
        <is>
          <t>Sector</t>
        </is>
      </c>
      <c r="B4" s="454">
        <f>'02 Executive Summary'!B22</f>
        <v/>
      </c>
      <c r="E4" s="453" t="inlineStr">
        <is>
          <t>Pack</t>
        </is>
      </c>
      <c r="F4" s="454">
        <f>'02 Executive Summary'!B23</f>
        <v/>
      </c>
      <c r="I4" s="453" t="inlineStr">
        <is>
          <t>Event-loss drivers are not annualized here; they feed the consequence distribution used by the Monte Carlo engine.</t>
        </is>
      </c>
    </row>
    <row r="5">
      <c r="A5" s="444" t="n"/>
      <c r="B5" s="444" t="n"/>
      <c r="C5" s="444" t="n"/>
      <c r="D5" s="444" t="n"/>
      <c r="E5" s="444" t="n"/>
      <c r="F5" s="444" t="n"/>
      <c r="G5" s="444" t="n"/>
      <c r="H5" s="444" t="n"/>
      <c r="I5" s="444" t="n"/>
      <c r="J5" s="444" t="n"/>
      <c r="K5" s="444" t="n"/>
      <c r="L5" s="444" t="n"/>
      <c r="M5" s="444" t="n"/>
      <c r="N5" s="444" t="n"/>
    </row>
    <row r="6">
      <c r="A6" s="456" t="inlineStr">
        <is>
          <t>Threat actor</t>
        </is>
      </c>
      <c r="B6" s="640">
        <f>'02 Executive Summary'!A30</f>
        <v/>
      </c>
      <c r="C6" s="444" t="n"/>
      <c r="D6" s="455" t="inlineStr">
        <is>
          <t>Scenario</t>
        </is>
      </c>
      <c r="F6" s="639">
        <f>'02 Executive Summary'!A37</f>
        <v/>
      </c>
      <c r="I6" s="444" t="n"/>
      <c r="J6" s="456" t="inlineStr">
        <is>
          <t>Quantile</t>
        </is>
      </c>
      <c r="K6" s="461" t="inlineStr">
        <is>
          <t>P50</t>
        </is>
      </c>
      <c r="L6" s="444" t="n"/>
      <c r="M6" s="666">
        <f>"Source: 13 Consequence Calc"</f>
        <v/>
      </c>
    </row>
    <row r="7">
      <c r="A7" s="444" t="n"/>
      <c r="B7" s="444" t="n"/>
      <c r="C7" s="444" t="n"/>
      <c r="D7" s="444" t="n"/>
      <c r="E7" s="444" t="n"/>
      <c r="F7" s="444" t="n"/>
      <c r="G7" s="444" t="n"/>
      <c r="H7" s="444" t="n"/>
      <c r="I7" s="444" t="n"/>
      <c r="J7" s="444" t="n"/>
      <c r="K7" s="444" t="n"/>
      <c r="L7" s="444" t="n"/>
      <c r="M7" s="444" t="n"/>
      <c r="N7" s="444" t="n"/>
    </row>
    <row r="8">
      <c r="A8" s="746" t="inlineStr">
        <is>
          <t>TOTAL EVENT LOSS</t>
        </is>
      </c>
      <c r="C8" s="444" t="n"/>
      <c r="D8" s="746" t="inlineStr">
        <is>
          <t>BUSINESS INTERRUPTION</t>
        </is>
      </c>
      <c r="F8" s="444" t="n"/>
      <c r="G8" s="746" t="inlineStr">
        <is>
          <t>BI SHARE</t>
        </is>
      </c>
      <c r="I8" s="444" t="n"/>
      <c r="J8" s="746" t="inlineStr">
        <is>
          <t>IR / LEGAL / RESTORE</t>
        </is>
      </c>
      <c r="L8" s="444" t="n"/>
      <c r="M8" s="746" t="inlineStr">
        <is>
          <t>FRAUD / EXTORTION</t>
        </is>
      </c>
    </row>
    <row r="9">
      <c r="A9" s="747">
        <f>$N$61</f>
        <v/>
      </c>
      <c r="C9" s="444" t="n"/>
      <c r="D9" s="747">
        <f>B15</f>
        <v/>
      </c>
      <c r="F9" s="444" t="n"/>
      <c r="G9" s="748">
        <f>C15</f>
        <v/>
      </c>
      <c r="I9" s="444" t="n"/>
      <c r="J9" s="747">
        <f>SUM(B21:B26)</f>
        <v/>
      </c>
      <c r="L9" s="444" t="n"/>
      <c r="M9" s="747">
        <f>SUM(B27:B28)</f>
        <v/>
      </c>
    </row>
    <row r="10">
      <c r="C10" s="444" t="n"/>
      <c r="F10" s="444" t="n"/>
      <c r="I10" s="444" t="n"/>
      <c r="L10" s="444" t="n"/>
    </row>
    <row r="11">
      <c r="C11" s="444" t="n"/>
      <c r="F11" s="444" t="n"/>
      <c r="I11" s="444" t="n"/>
      <c r="L11" s="444" t="n"/>
    </row>
    <row r="12">
      <c r="A12" s="444" t="n"/>
      <c r="B12" s="444" t="n"/>
      <c r="C12" s="444" t="n"/>
      <c r="D12" s="444" t="n"/>
      <c r="E12" s="444" t="n"/>
      <c r="F12" s="444" t="n"/>
      <c r="G12" s="444" t="n"/>
      <c r="H12" s="444" t="n"/>
      <c r="I12" s="444" t="n"/>
      <c r="J12" s="444" t="n"/>
      <c r="K12" s="444" t="n"/>
      <c r="L12" s="444" t="n"/>
      <c r="M12" s="444" t="n"/>
      <c r="N12" s="444" t="n"/>
    </row>
    <row r="13" ht="22" customHeight="1" s="242">
      <c r="A13" s="580" t="inlineStr">
        <is>
          <t>DETAILED LOSS DRIVERS</t>
        </is>
      </c>
      <c r="E13" s="757" t="n"/>
    </row>
    <row r="14">
      <c r="A14" s="588" t="inlineStr">
        <is>
          <t>Driver</t>
        </is>
      </c>
      <c r="B14" s="588" t="inlineStr">
        <is>
          <t>Amount</t>
        </is>
      </c>
      <c r="C14" s="588" t="inlineStr">
        <is>
          <t>Share of event loss</t>
        </is>
      </c>
      <c r="D14" s="444" t="n"/>
      <c r="E14" s="444" t="n"/>
      <c r="F14" s="444" t="n"/>
      <c r="G14" s="444" t="n"/>
      <c r="H14" s="444" t="n"/>
      <c r="I14" s="444" t="n"/>
      <c r="J14" s="444" t="n"/>
      <c r="K14" s="444" t="n"/>
      <c r="L14" s="444" t="n"/>
      <c r="M14" s="444" t="n"/>
      <c r="N14" s="444" t="n"/>
    </row>
    <row r="15">
      <c r="A15" s="589" t="inlineStr">
        <is>
          <t>Business interruption</t>
        </is>
      </c>
      <c r="B15" s="590">
        <f>SUMIFS('13 Consequence Calc'!$G$16:$G$463,'13 Consequence Calc'!$A$16:$A$463,$B$6,'13 Consequence Calc'!$C$16:$C$463,$F$6,'13 Consequence Calc'!$E$16:$E$463,"BUSINESS_INTERRUPTION",'13 Consequence Calc'!$F$16:$F$463,$K$6)</f>
        <v/>
      </c>
      <c r="C15" s="668">
        <f>IFERROR(B15/$N$61,0)</f>
        <v/>
      </c>
      <c r="D15" s="444" t="n"/>
      <c r="E15" s="444" t="n"/>
      <c r="F15" s="444" t="n"/>
      <c r="G15" s="444" t="n"/>
      <c r="H15" s="444" t="n"/>
      <c r="I15" s="444" t="n"/>
      <c r="J15" s="444" t="n"/>
      <c r="K15" s="444" t="n"/>
      <c r="L15" s="444" t="n"/>
      <c r="M15" s="444" t="n"/>
      <c r="N15" s="444" t="n"/>
    </row>
    <row r="16">
      <c r="A16" s="589" t="inlineStr">
        <is>
          <t>Customer attrition</t>
        </is>
      </c>
      <c r="B16" s="590">
        <f>SUMIFS('13 Consequence Calc'!$G$16:$G$463,'13 Consequence Calc'!$A$16:$A$463,$B$6,'13 Consequence Calc'!$C$16:$C$463,$F$6,'13 Consequence Calc'!$E$16:$E$463,"CUSTOMER_ATTRITION",'13 Consequence Calc'!$F$16:$F$463,$K$6)</f>
        <v/>
      </c>
      <c r="C16" s="668">
        <f>IFERROR(B16/$N$61,0)</f>
        <v/>
      </c>
      <c r="D16" s="444" t="n"/>
      <c r="E16" s="444" t="n"/>
      <c r="F16" s="444" t="n"/>
      <c r="G16" s="444" t="n"/>
      <c r="H16" s="444" t="n"/>
      <c r="I16" s="444" t="n"/>
      <c r="J16" s="444" t="n"/>
      <c r="K16" s="444" t="n"/>
      <c r="L16" s="444" t="n"/>
      <c r="M16" s="444" t="n"/>
      <c r="N16" s="444" t="n"/>
    </row>
    <row r="17">
      <c r="A17" s="589" t="inlineStr">
        <is>
          <t>Post-event uplift</t>
        </is>
      </c>
      <c r="B17" s="590">
        <f>SUMIFS('13 Consequence Calc'!$G$16:$G$463,'13 Consequence Calc'!$A$16:$A$463,$B$6,'13 Consequence Calc'!$C$16:$C$463,$F$6,'13 Consequence Calc'!$E$16:$E$463,"POST_EVENT_UPLIFT",'13 Consequence Calc'!$F$16:$F$463,$K$6)</f>
        <v/>
      </c>
      <c r="C17" s="668">
        <f>IFERROR(B17/$N$61,0)</f>
        <v/>
      </c>
      <c r="D17" s="444" t="n"/>
      <c r="E17" s="444" t="n"/>
      <c r="F17" s="444" t="n"/>
      <c r="G17" s="444" t="n"/>
      <c r="H17" s="444" t="n"/>
      <c r="I17" s="444" t="n"/>
      <c r="J17" s="444" t="n"/>
      <c r="K17" s="444" t="n"/>
      <c r="L17" s="444" t="n"/>
      <c r="M17" s="444" t="n"/>
      <c r="N17" s="444" t="n"/>
    </row>
    <row r="18">
      <c r="A18" s="589" t="inlineStr">
        <is>
          <t>Notification</t>
        </is>
      </c>
      <c r="B18" s="590">
        <f>SUMIFS('13 Consequence Calc'!$G$16:$G$463,'13 Consequence Calc'!$A$16:$A$463,$B$6,'13 Consequence Calc'!$C$16:$C$463,$F$6,'13 Consequence Calc'!$E$16:$E$463,"NOTIFICATION",'13 Consequence Calc'!$F$16:$F$463,$K$6)</f>
        <v/>
      </c>
      <c r="C18" s="668">
        <f>IFERROR(B18/$N$61,0)</f>
        <v/>
      </c>
      <c r="D18" s="444" t="n"/>
      <c r="E18" s="444" t="n"/>
      <c r="F18" s="444" t="n"/>
      <c r="G18" s="444" t="n"/>
      <c r="H18" s="444" t="n"/>
      <c r="I18" s="444" t="n"/>
      <c r="J18" s="444" t="n"/>
      <c r="K18" s="444" t="n"/>
      <c r="L18" s="444" t="n"/>
      <c r="M18" s="444" t="n"/>
      <c r="N18" s="444" t="n"/>
    </row>
    <row r="19">
      <c r="A19" s="589" t="inlineStr">
        <is>
          <t>Credit monitoring</t>
        </is>
      </c>
      <c r="B19" s="590">
        <f>SUMIFS('13 Consequence Calc'!$G$16:$G$463,'13 Consequence Calc'!$A$16:$A$463,$B$6,'13 Consequence Calc'!$C$16:$C$463,$F$6,'13 Consequence Calc'!$E$16:$E$463,"CREDIT_MONITORING",'13 Consequence Calc'!$F$16:$F$463,$K$6)</f>
        <v/>
      </c>
      <c r="C19" s="668">
        <f>IFERROR(B19/$N$61,0)</f>
        <v/>
      </c>
      <c r="D19" s="444" t="n"/>
      <c r="E19" s="444" t="n"/>
      <c r="F19" s="444" t="n"/>
      <c r="G19" s="444" t="n"/>
      <c r="H19" s="444" t="n"/>
      <c r="I19" s="444" t="n"/>
      <c r="J19" s="444" t="n"/>
      <c r="K19" s="444" t="n"/>
      <c r="L19" s="444" t="n"/>
      <c r="M19" s="444" t="n"/>
      <c r="N19" s="444" t="n"/>
    </row>
    <row r="20">
      <c r="A20" s="589" t="inlineStr">
        <is>
          <t>Regulatory</t>
        </is>
      </c>
      <c r="B20" s="590">
        <f>SUMIFS('13 Consequence Calc'!$G$16:$G$463,'13 Consequence Calc'!$A$16:$A$463,$B$6,'13 Consequence Calc'!$C$16:$C$463,$F$6,'13 Consequence Calc'!$E$16:$E$463,"REGULATORY",'13 Consequence Calc'!$F$16:$F$463,$K$6)</f>
        <v/>
      </c>
      <c r="C20" s="668">
        <f>IFERROR(B20/$N$61,0)</f>
        <v/>
      </c>
      <c r="D20" s="444" t="n"/>
      <c r="E20" s="444" t="n"/>
      <c r="F20" s="444" t="n"/>
      <c r="G20" s="444" t="n"/>
      <c r="H20" s="444" t="n"/>
      <c r="I20" s="444" t="n"/>
      <c r="J20" s="444" t="n"/>
      <c r="K20" s="444" t="n"/>
      <c r="L20" s="444" t="n"/>
      <c r="M20" s="444" t="n"/>
      <c r="N20" s="444" t="n"/>
    </row>
    <row r="21">
      <c r="A21" s="589" t="inlineStr">
        <is>
          <t>IR / forensics</t>
        </is>
      </c>
      <c r="B21" s="590">
        <f>SUMIFS('13 Consequence Calc'!$G$16:$G$463,'13 Consequence Calc'!$A$16:$A$463,$B$6,'13 Consequence Calc'!$C$16:$C$463,$F$6,'13 Consequence Calc'!$E$16:$E$463,"IR_FORENSICS",'13 Consequence Calc'!$F$16:$F$463,$K$6)</f>
        <v/>
      </c>
      <c r="C21" s="668">
        <f>IFERROR(B21/$N$61,0)</f>
        <v/>
      </c>
      <c r="D21" s="444" t="n"/>
      <c r="E21" s="444" t="n"/>
      <c r="F21" s="444" t="n"/>
      <c r="G21" s="444" t="n"/>
      <c r="H21" s="444" t="n"/>
      <c r="I21" s="444" t="n"/>
      <c r="J21" s="444" t="n"/>
      <c r="K21" s="444" t="n"/>
      <c r="L21" s="444" t="n"/>
      <c r="M21" s="444" t="n"/>
      <c r="N21" s="444" t="n"/>
    </row>
    <row r="22">
      <c r="A22" s="589" t="inlineStr">
        <is>
          <t>External response</t>
        </is>
      </c>
      <c r="B22" s="590">
        <f>SUMIFS('13 Consequence Calc'!$G$16:$G$463,'13 Consequence Calc'!$A$16:$A$463,$B$6,'13 Consequence Calc'!$C$16:$C$463,$F$6,'13 Consequence Calc'!$E$16:$E$463,"EXTERNAL_RESPONSE",'13 Consequence Calc'!$F$16:$F$463,$K$6)</f>
        <v/>
      </c>
      <c r="C22" s="668">
        <f>IFERROR(B22/$N$61,0)</f>
        <v/>
      </c>
      <c r="D22" s="444" t="n"/>
      <c r="E22" s="444" t="n"/>
      <c r="F22" s="444" t="n"/>
      <c r="G22" s="444" t="n"/>
      <c r="H22" s="444" t="n"/>
      <c r="I22" s="444" t="n"/>
      <c r="J22" s="444" t="n"/>
      <c r="K22" s="444" t="n"/>
      <c r="L22" s="444" t="n"/>
      <c r="M22" s="444" t="n"/>
      <c r="N22" s="444" t="n"/>
    </row>
    <row r="23">
      <c r="A23" s="589" t="inlineStr">
        <is>
          <t>Legal response</t>
        </is>
      </c>
      <c r="B23" s="590">
        <f>SUMIFS('13 Consequence Calc'!$G$16:$G$463,'13 Consequence Calc'!$A$16:$A$463,$B$6,'13 Consequence Calc'!$C$16:$C$463,$F$6,'13 Consequence Calc'!$E$16:$E$463,"LEGAL_RESPONSE",'13 Consequence Calc'!$F$16:$F$463,$K$6)</f>
        <v/>
      </c>
      <c r="C23" s="668">
        <f>IFERROR(B23/$N$61,0)</f>
        <v/>
      </c>
      <c r="D23" s="444" t="n"/>
      <c r="E23" s="444" t="n"/>
      <c r="F23" s="444" t="n"/>
      <c r="G23" s="444" t="n"/>
      <c r="H23" s="444" t="n"/>
      <c r="I23" s="444" t="n"/>
      <c r="J23" s="444" t="n"/>
      <c r="K23" s="444" t="n"/>
      <c r="L23" s="444" t="n"/>
      <c r="M23" s="444" t="n"/>
      <c r="N23" s="444" t="n"/>
    </row>
    <row r="24">
      <c r="A24" s="589" t="inlineStr">
        <is>
          <t>Restoration</t>
        </is>
      </c>
      <c r="B24" s="590">
        <f>SUMIFS('13 Consequence Calc'!$G$16:$G$463,'13 Consequence Calc'!$A$16:$A$463,$B$6,'13 Consequence Calc'!$C$16:$C$463,$F$6,'13 Consequence Calc'!$E$16:$E$463,"RESTORATION",'13 Consequence Calc'!$F$16:$F$463,$K$6)</f>
        <v/>
      </c>
      <c r="C24" s="668">
        <f>IFERROR(B24/$N$61,0)</f>
        <v/>
      </c>
      <c r="D24" s="444" t="n"/>
      <c r="E24" s="444" t="n"/>
      <c r="F24" s="444" t="n"/>
      <c r="G24" s="444" t="n"/>
      <c r="H24" s="444" t="n"/>
      <c r="I24" s="444" t="n"/>
      <c r="J24" s="444" t="n"/>
      <c r="K24" s="444" t="n"/>
      <c r="L24" s="444" t="n"/>
      <c r="M24" s="444" t="n"/>
      <c r="N24" s="444" t="n"/>
    </row>
    <row r="25">
      <c r="A25" s="589" t="inlineStr">
        <is>
          <t>Endpoint recovery</t>
        </is>
      </c>
      <c r="B25" s="590">
        <f>SUMIFS('13 Consequence Calc'!$G$16:$G$463,'13 Consequence Calc'!$A$16:$A$463,$B$6,'13 Consequence Calc'!$C$16:$C$463,$F$6,'13 Consequence Calc'!$E$16:$E$463,"ENDPOINT_RECOVERY",'13 Consequence Calc'!$F$16:$F$463,$K$6)</f>
        <v/>
      </c>
      <c r="C25" s="668">
        <f>IFERROR(B25/$N$61,0)</f>
        <v/>
      </c>
      <c r="D25" s="444" t="n"/>
      <c r="E25" s="444" t="n"/>
      <c r="F25" s="444" t="n"/>
      <c r="G25" s="444" t="n"/>
      <c r="H25" s="444" t="n"/>
      <c r="I25" s="444" t="n"/>
      <c r="J25" s="444" t="n"/>
      <c r="K25" s="444" t="n"/>
      <c r="L25" s="444" t="n"/>
      <c r="M25" s="444" t="n"/>
      <c r="N25" s="444" t="n"/>
    </row>
    <row r="26">
      <c r="A26" s="589" t="inlineStr">
        <is>
          <t>Server recovery</t>
        </is>
      </c>
      <c r="B26" s="590">
        <f>SUMIFS('13 Consequence Calc'!$G$16:$G$463,'13 Consequence Calc'!$A$16:$A$463,$B$6,'13 Consequence Calc'!$C$16:$C$463,$F$6,'13 Consequence Calc'!$E$16:$E$463,"SERVER_RECOVERY",'13 Consequence Calc'!$F$16:$F$463,$K$6)</f>
        <v/>
      </c>
      <c r="C26" s="668">
        <f>IFERROR(B26/$N$61,0)</f>
        <v/>
      </c>
      <c r="D26" s="444" t="n"/>
      <c r="E26" s="444" t="n"/>
      <c r="F26" s="444" t="n"/>
      <c r="G26" s="444" t="n"/>
      <c r="H26" s="444" t="n"/>
      <c r="I26" s="444" t="n"/>
      <c r="J26" s="444" t="n"/>
      <c r="K26" s="444" t="n"/>
      <c r="L26" s="444" t="n"/>
      <c r="M26" s="444" t="n"/>
      <c r="N26" s="444" t="n"/>
    </row>
    <row r="27">
      <c r="A27" s="589" t="inlineStr">
        <is>
          <t>Fraud net of recovery</t>
        </is>
      </c>
      <c r="B27" s="590">
        <f>SUMIFS('13 Consequence Calc'!$G$16:$G$463,'13 Consequence Calc'!$A$16:$A$463,$B$6,'13 Consequence Calc'!$C$16:$C$463,$F$6,'13 Consequence Calc'!$E$16:$E$463,"FRAUD_NET_RECOVERY",'13 Consequence Calc'!$F$16:$F$463,$K$6)</f>
        <v/>
      </c>
      <c r="C27" s="668">
        <f>IFERROR(B27/$N$61,0)</f>
        <v/>
      </c>
      <c r="D27" s="444" t="n"/>
      <c r="E27" s="444" t="n"/>
      <c r="F27" s="444" t="n"/>
      <c r="G27" s="444" t="n"/>
      <c r="H27" s="444" t="n"/>
      <c r="I27" s="444" t="n"/>
      <c r="J27" s="444" t="n"/>
      <c r="K27" s="444" t="n"/>
      <c r="L27" s="444" t="n"/>
      <c r="M27" s="444" t="n"/>
      <c r="N27" s="444" t="n"/>
    </row>
    <row r="28">
      <c r="A28" s="592" t="inlineStr">
        <is>
          <t>Extortion</t>
        </is>
      </c>
      <c r="B28" s="593">
        <f>SUMIFS('13 Consequence Calc'!$G$16:$G$463,'13 Consequence Calc'!$A$16:$A$463,$B$6,'13 Consequence Calc'!$C$16:$C$463,$F$6,'13 Consequence Calc'!$E$16:$E$463,"EXTORTION",'13 Consequence Calc'!$F$16:$F$463,$K$6)</f>
        <v/>
      </c>
      <c r="C28" s="668">
        <f>IFERROR(B28/$N$61,0)</f>
        <v/>
      </c>
      <c r="D28" s="444" t="n"/>
      <c r="E28" s="444" t="n"/>
      <c r="F28" s="444" t="n"/>
      <c r="G28" s="444" t="n"/>
      <c r="H28" s="444" t="n"/>
      <c r="I28" s="444" t="n"/>
      <c r="J28" s="444" t="n"/>
      <c r="K28" s="444" t="n"/>
      <c r="L28" s="444" t="n"/>
      <c r="M28" s="444" t="n"/>
      <c r="N28" s="444" t="n"/>
    </row>
    <row r="29">
      <c r="A29" s="444" t="n"/>
      <c r="B29" s="444" t="n"/>
      <c r="C29" s="444" t="n"/>
      <c r="D29" s="444" t="n"/>
      <c r="E29" s="444" t="n"/>
      <c r="F29" s="444" t="n"/>
      <c r="G29" s="444" t="n"/>
      <c r="H29" s="444" t="n"/>
      <c r="I29" s="444" t="n"/>
      <c r="J29" s="444" t="n"/>
      <c r="K29" s="444" t="n"/>
      <c r="L29" s="444" t="n"/>
      <c r="M29" s="444" t="n"/>
      <c r="N29" s="444" t="n"/>
    </row>
    <row r="30">
      <c r="A30" s="758" t="inlineStr">
        <is>
          <t>Interpretation
This page is an event-level consequence explorer, not an annual-loss allocation. P50 and P99 values are built bottom-up from the BIA and scenario assumptions on sheet 06. The same actor/scenario event loss is then combined with route-level event frequency on sheet 12 and sampled in the annual Monte Carlo simulation.</t>
        </is>
      </c>
    </row>
    <row r="31"/>
    <row r="32"/>
    <row r="33"/>
    <row r="34"/>
    <row r="35"/>
    <row r="36">
      <c r="A36" s="444" t="n"/>
      <c r="B36" s="444" t="n"/>
      <c r="C36" s="444" t="n"/>
      <c r="D36" s="444" t="n"/>
      <c r="E36" s="444" t="n"/>
      <c r="F36" s="444" t="n"/>
      <c r="G36" s="444" t="n"/>
      <c r="H36" s="444" t="n"/>
      <c r="I36" s="444" t="n"/>
      <c r="J36" s="444" t="n"/>
      <c r="K36" s="444" t="n"/>
      <c r="L36" s="444" t="n"/>
      <c r="M36" s="444" t="n"/>
      <c r="N36" s="444" t="n"/>
    </row>
    <row r="37">
      <c r="A37" s="444" t="n"/>
      <c r="B37" s="444" t="n"/>
      <c r="C37" s="444" t="n"/>
      <c r="D37" s="444" t="n"/>
      <c r="E37" s="444" t="n"/>
      <c r="F37" s="444" t="n"/>
      <c r="G37" s="444" t="n"/>
      <c r="H37" s="444" t="n"/>
      <c r="I37" s="444" t="n"/>
      <c r="J37" s="444" t="n"/>
      <c r="K37" s="444" t="n"/>
      <c r="L37" s="444" t="n"/>
      <c r="M37" s="444" t="n"/>
      <c r="N37" s="444" t="n"/>
    </row>
    <row r="38">
      <c r="A38" s="444" t="n"/>
      <c r="B38" s="444" t="n"/>
      <c r="C38" s="444" t="n"/>
      <c r="D38" s="444" t="n"/>
      <c r="E38" s="444" t="n"/>
      <c r="F38" s="444" t="n"/>
      <c r="G38" s="444" t="n"/>
      <c r="H38" s="444" t="n"/>
      <c r="I38" s="444" t="n"/>
      <c r="J38" s="444" t="n"/>
      <c r="K38" s="444" t="n"/>
      <c r="L38" s="444" t="n"/>
      <c r="M38" s="444" t="n"/>
      <c r="N38" s="444" t="n"/>
    </row>
    <row r="39">
      <c r="A39" s="444" t="n"/>
      <c r="B39" s="444" t="n"/>
      <c r="C39" s="444" t="n"/>
      <c r="D39" s="444" t="n"/>
      <c r="E39" s="444" t="n"/>
      <c r="F39" s="444" t="n"/>
      <c r="G39" s="444" t="n"/>
      <c r="H39" s="444" t="n"/>
      <c r="I39" s="444" t="n"/>
      <c r="J39" s="444" t="n"/>
      <c r="K39" s="444" t="n"/>
      <c r="L39" s="444" t="n"/>
      <c r="M39" s="444" t="n"/>
      <c r="N39" s="444" t="n"/>
    </row>
    <row r="40">
      <c r="A40" s="444" t="n"/>
      <c r="B40" s="444" t="n"/>
      <c r="C40" s="444" t="n"/>
      <c r="D40" s="444" t="n"/>
      <c r="E40" s="444" t="n"/>
      <c r="F40" s="444" t="n"/>
      <c r="G40" s="444" t="n"/>
      <c r="H40" s="444" t="n"/>
      <c r="I40" s="444" t="n"/>
      <c r="J40" s="444" t="n"/>
      <c r="K40" s="444" t="n"/>
      <c r="L40" s="444" t="n"/>
      <c r="M40" s="444" t="n"/>
      <c r="N40" s="444" t="n"/>
    </row>
    <row r="41">
      <c r="A41" s="444" t="n"/>
      <c r="B41" s="444" t="n"/>
      <c r="C41" s="444" t="n"/>
      <c r="D41" s="444" t="n"/>
      <c r="E41" s="444" t="n"/>
      <c r="F41" s="444" t="n"/>
      <c r="G41" s="444" t="n"/>
      <c r="H41" s="444" t="n"/>
      <c r="I41" s="444" t="n"/>
      <c r="J41" s="444" t="n"/>
      <c r="K41" s="444" t="n"/>
      <c r="L41" s="444" t="n"/>
      <c r="M41" s="444" t="n"/>
      <c r="N41" s="444" t="n"/>
    </row>
    <row r="42">
      <c r="A42" s="444" t="n"/>
      <c r="B42" s="444" t="n"/>
      <c r="C42" s="444" t="n"/>
      <c r="D42" s="444" t="n"/>
      <c r="E42" s="444" t="n"/>
      <c r="F42" s="444" t="n"/>
      <c r="G42" s="444" t="n"/>
      <c r="H42" s="444" t="n"/>
      <c r="I42" s="444" t="n"/>
      <c r="J42" s="444" t="n"/>
      <c r="K42" s="444" t="n"/>
      <c r="L42" s="444" t="n"/>
      <c r="M42" s="444" t="n"/>
      <c r="N42" s="444" t="n"/>
    </row>
    <row r="43">
      <c r="A43" s="444" t="n"/>
      <c r="B43" s="444" t="n"/>
      <c r="C43" s="444" t="n"/>
      <c r="D43" s="444" t="n"/>
      <c r="E43" s="444" t="n"/>
      <c r="F43" s="444" t="n"/>
      <c r="G43" s="444" t="n"/>
      <c r="H43" s="444" t="n"/>
      <c r="I43" s="444" t="n"/>
      <c r="J43" s="444" t="n"/>
      <c r="K43" s="444" t="n"/>
      <c r="L43" s="444" t="n"/>
      <c r="M43" s="444" t="n"/>
      <c r="N43" s="444" t="n"/>
    </row>
    <row r="44">
      <c r="A44" s="444" t="n"/>
      <c r="B44" s="444" t="n"/>
      <c r="C44" s="444" t="n"/>
      <c r="D44" s="444" t="n"/>
      <c r="E44" s="444" t="n"/>
      <c r="F44" s="444" t="n"/>
      <c r="G44" s="444" t="n"/>
      <c r="H44" s="444" t="n"/>
      <c r="I44" s="444" t="n"/>
      <c r="J44" s="444" t="n"/>
      <c r="K44" s="444" t="n"/>
      <c r="L44" s="444" t="n"/>
      <c r="M44" s="444" t="n"/>
      <c r="N44" s="444" t="n"/>
    </row>
    <row r="45">
      <c r="A45" s="444" t="n"/>
      <c r="B45" s="444" t="n"/>
      <c r="C45" s="444" t="n"/>
      <c r="D45" s="444" t="n"/>
      <c r="E45" s="444" t="n"/>
      <c r="F45" s="444" t="n"/>
      <c r="G45" s="444" t="n"/>
      <c r="H45" s="444" t="n"/>
      <c r="I45" s="444" t="n"/>
      <c r="J45" s="444" t="n"/>
      <c r="K45" s="444" t="n"/>
      <c r="L45" s="444" t="n"/>
      <c r="M45" s="444" t="n"/>
      <c r="N45" s="444" t="n"/>
    </row>
    <row r="46">
      <c r="A46" s="444" t="n"/>
      <c r="B46" s="444" t="n"/>
      <c r="C46" s="444" t="n"/>
      <c r="D46" s="444" t="n"/>
      <c r="E46" s="444" t="n"/>
      <c r="F46" s="444" t="n"/>
      <c r="G46" s="444" t="n"/>
      <c r="H46" s="444" t="n"/>
      <c r="I46" s="444" t="n"/>
      <c r="J46" s="444" t="n"/>
      <c r="K46" s="444" t="n"/>
      <c r="L46" s="444" t="n"/>
      <c r="M46" s="444" t="n"/>
      <c r="N46" s="444" t="n"/>
    </row>
    <row r="47">
      <c r="A47" s="444" t="n"/>
      <c r="B47" s="444" t="n"/>
      <c r="C47" s="444" t="n"/>
      <c r="D47" s="444" t="n"/>
      <c r="E47" s="444" t="n"/>
      <c r="F47" s="444" t="n"/>
      <c r="G47" s="444" t="n"/>
      <c r="H47" s="444" t="n"/>
      <c r="I47" s="444" t="n"/>
      <c r="J47" s="444" t="n"/>
      <c r="K47" s="444" t="n"/>
      <c r="L47" s="444" t="n"/>
      <c r="M47" s="444" t="n"/>
      <c r="N47" s="444" t="n"/>
    </row>
    <row r="48">
      <c r="A48" s="444" t="n"/>
      <c r="B48" s="444" t="n"/>
      <c r="C48" s="444" t="n"/>
      <c r="D48" s="444" t="n"/>
      <c r="E48" s="444" t="n"/>
      <c r="F48" s="444" t="n"/>
      <c r="G48" s="444" t="n"/>
      <c r="H48" s="444" t="n"/>
      <c r="I48" s="444" t="n"/>
      <c r="J48" s="444" t="n"/>
      <c r="K48" s="444" t="n"/>
      <c r="L48" s="444" t="n"/>
      <c r="M48" s="444" t="n"/>
      <c r="N48" s="444" t="n"/>
    </row>
    <row r="49">
      <c r="A49" s="444" t="n"/>
      <c r="B49" s="444" t="n"/>
      <c r="C49" s="444" t="n"/>
      <c r="D49" s="444" t="n"/>
      <c r="E49" s="444" t="n"/>
      <c r="F49" s="444" t="n"/>
      <c r="G49" s="444" t="n"/>
      <c r="H49" s="444" t="n"/>
      <c r="I49" s="444" t="n"/>
      <c r="J49" s="444" t="n"/>
      <c r="K49" s="444" t="n"/>
      <c r="L49" s="444" t="n"/>
      <c r="M49" s="444" t="n"/>
      <c r="N49" s="444" t="n"/>
    </row>
    <row r="50">
      <c r="A50" s="444" t="n"/>
      <c r="B50" s="444" t="n"/>
      <c r="C50" s="444" t="n"/>
      <c r="D50" s="444" t="n"/>
      <c r="E50" s="444" t="n"/>
      <c r="F50" s="444" t="n"/>
      <c r="G50" s="444" t="n"/>
      <c r="H50" s="444" t="n"/>
      <c r="I50" s="444" t="n"/>
      <c r="J50" s="444" t="n"/>
      <c r="K50" s="444" t="n"/>
      <c r="L50" s="444" t="n"/>
      <c r="M50" s="444" t="n"/>
      <c r="N50" s="444" t="n"/>
    </row>
    <row r="51">
      <c r="A51" s="444" t="n"/>
      <c r="B51" s="444" t="n"/>
      <c r="C51" s="444" t="n"/>
      <c r="D51" s="444" t="n"/>
      <c r="E51" s="444" t="n"/>
      <c r="F51" s="444" t="n"/>
      <c r="G51" s="444" t="n"/>
      <c r="H51" s="444" t="n"/>
      <c r="I51" s="444" t="n"/>
      <c r="J51" s="444" t="n"/>
      <c r="K51" s="444" t="n"/>
      <c r="L51" s="444" t="n"/>
      <c r="M51" s="444" t="n"/>
      <c r="N51" s="444" t="n"/>
    </row>
    <row r="52">
      <c r="A52" s="444" t="n"/>
      <c r="B52" s="444" t="n"/>
      <c r="C52" s="444" t="n"/>
      <c r="D52" s="444" t="n"/>
      <c r="E52" s="444" t="n"/>
      <c r="F52" s="444" t="n"/>
      <c r="G52" s="444" t="n"/>
      <c r="H52" s="444" t="n"/>
      <c r="I52" s="444" t="n"/>
      <c r="J52" s="444" t="n"/>
      <c r="K52" s="444" t="n"/>
      <c r="L52" s="444" t="n"/>
      <c r="M52" s="444" t="n"/>
      <c r="N52" s="444" t="n"/>
    </row>
    <row r="53">
      <c r="A53" s="444" t="n"/>
      <c r="B53" s="444" t="n"/>
      <c r="C53" s="444" t="n"/>
      <c r="D53" s="444" t="n"/>
      <c r="E53" s="444" t="n"/>
      <c r="F53" s="444" t="n"/>
      <c r="G53" s="444" t="n"/>
      <c r="H53" s="444" t="n"/>
      <c r="I53" s="444" t="n"/>
      <c r="J53" s="444" t="n"/>
      <c r="K53" s="444" t="n"/>
      <c r="L53" s="444" t="n"/>
      <c r="M53" s="444" t="n"/>
      <c r="N53" s="444" t="n"/>
    </row>
    <row r="54">
      <c r="A54" s="444" t="n"/>
      <c r="B54" s="444" t="n"/>
      <c r="C54" s="444" t="n"/>
      <c r="D54" s="444" t="n"/>
      <c r="E54" s="444" t="n"/>
      <c r="F54" s="444" t="n"/>
      <c r="G54" s="444" t="n"/>
      <c r="H54" s="444" t="n"/>
      <c r="I54" s="444" t="n"/>
      <c r="J54" s="444" t="n"/>
      <c r="K54" s="444" t="n"/>
      <c r="L54" s="444" t="n"/>
      <c r="M54" s="444" t="n"/>
      <c r="N54" s="444" t="n"/>
    </row>
    <row r="55">
      <c r="A55" s="444" t="n"/>
      <c r="B55" s="444" t="n"/>
      <c r="C55" s="444" t="n"/>
      <c r="D55" s="444" t="n"/>
      <c r="E55" s="444" t="n"/>
      <c r="F55" s="444" t="n"/>
      <c r="G55" s="444" t="n"/>
      <c r="H55" s="444" t="n"/>
      <c r="I55" s="444" t="n"/>
      <c r="J55" s="444" t="n"/>
      <c r="K55" s="444" t="n"/>
      <c r="L55" s="444" t="n"/>
      <c r="M55" s="444" t="n"/>
      <c r="N55" s="444" t="n"/>
    </row>
    <row r="56">
      <c r="A56" s="444" t="n"/>
      <c r="B56" s="444" t="n"/>
      <c r="C56" s="444" t="n"/>
      <c r="D56" s="444" t="n"/>
      <c r="E56" s="444" t="n"/>
      <c r="F56" s="444" t="n"/>
      <c r="G56" s="444" t="n"/>
      <c r="H56" s="444" t="n"/>
      <c r="I56" s="444" t="n"/>
      <c r="J56" s="444" t="n"/>
      <c r="K56" s="444" t="n"/>
      <c r="L56" s="444" t="n"/>
      <c r="M56" s="444" t="n"/>
      <c r="N56" s="444" t="n"/>
    </row>
    <row r="57">
      <c r="A57" s="444" t="n"/>
      <c r="B57" s="444" t="n"/>
      <c r="C57" s="444" t="n"/>
      <c r="D57" s="444" t="n"/>
      <c r="E57" s="444" t="n"/>
      <c r="F57" s="444" t="n"/>
      <c r="G57" s="444" t="n"/>
      <c r="H57" s="444" t="n"/>
      <c r="I57" s="444" t="n"/>
      <c r="J57" s="444" t="n"/>
      <c r="K57" s="444" t="n"/>
      <c r="L57" s="444" t="n"/>
      <c r="M57" s="444" t="n"/>
      <c r="N57" s="444" t="n"/>
    </row>
    <row r="58">
      <c r="A58" s="444" t="n"/>
      <c r="B58" s="444" t="n"/>
      <c r="C58" s="444" t="n"/>
      <c r="D58" s="444" t="n"/>
      <c r="E58" s="444" t="n"/>
      <c r="F58" s="444" t="n"/>
      <c r="G58" s="444" t="n"/>
      <c r="H58" s="444" t="n"/>
      <c r="I58" s="444" t="n"/>
      <c r="J58" s="444" t="n"/>
      <c r="K58" s="444" t="n"/>
      <c r="L58" s="444" t="n"/>
      <c r="M58" s="444" t="n"/>
      <c r="N58" s="444" t="n"/>
    </row>
    <row r="59">
      <c r="A59" s="444" t="n"/>
      <c r="B59" s="444" t="n"/>
      <c r="C59" s="444" t="n"/>
      <c r="D59" s="444" t="n"/>
      <c r="E59" s="444" t="n"/>
      <c r="F59" s="444" t="n"/>
      <c r="G59" s="444" t="n"/>
      <c r="H59" s="444" t="n"/>
      <c r="I59" s="444" t="n"/>
      <c r="J59" s="444" t="n"/>
      <c r="K59" s="444" t="n"/>
      <c r="L59" s="444" t="n"/>
      <c r="M59" s="444" t="n"/>
      <c r="N59" s="444" t="n"/>
    </row>
    <row r="60">
      <c r="A60" s="444" t="n"/>
      <c r="B60" s="444" t="n"/>
      <c r="C60" s="444" t="n"/>
      <c r="D60" s="444" t="n"/>
      <c r="E60" s="444" t="n"/>
      <c r="F60" s="444" t="n"/>
      <c r="G60" s="444" t="n"/>
      <c r="H60" s="444" t="n"/>
      <c r="I60" s="444" t="n"/>
      <c r="J60" s="444" t="n"/>
      <c r="K60" s="444" t="n"/>
      <c r="L60" s="444" t="n"/>
      <c r="M60" s="444" t="n"/>
      <c r="N60" s="444" t="n"/>
    </row>
    <row r="61">
      <c r="A61" s="444" t="n"/>
      <c r="B61" s="444" t="n"/>
      <c r="C61" s="444" t="n"/>
      <c r="D61" s="444" t="n"/>
      <c r="E61" s="444" t="n"/>
      <c r="F61" s="444" t="n"/>
      <c r="G61" s="444" t="n"/>
      <c r="H61" s="444" t="n"/>
      <c r="I61" s="444" t="n"/>
      <c r="J61" s="444" t="inlineStr">
        <is>
          <t>Loss category</t>
        </is>
      </c>
      <c r="K61" s="444" t="inlineStr">
        <is>
          <t>Amount</t>
        </is>
      </c>
      <c r="L61" s="444" t="n"/>
      <c r="M61" s="444" t="n"/>
      <c r="N61" s="444">
        <f>SUM(B15:B28)</f>
        <v/>
      </c>
    </row>
    <row r="62">
      <c r="A62" s="444" t="n"/>
      <c r="B62" s="444" t="n"/>
      <c r="C62" s="444" t="n"/>
      <c r="D62" s="444" t="n"/>
      <c r="E62" s="444" t="n"/>
      <c r="F62" s="444" t="n"/>
      <c r="G62" s="444" t="n"/>
      <c r="H62" s="444" t="n"/>
      <c r="I62" s="444" t="n"/>
      <c r="J62" s="444" t="inlineStr">
        <is>
          <t>Business interruption</t>
        </is>
      </c>
      <c r="K62" s="444">
        <f>B15</f>
        <v/>
      </c>
      <c r="L62" s="444" t="n"/>
      <c r="M62" s="444" t="n"/>
      <c r="N62" s="444" t="n"/>
    </row>
    <row r="63">
      <c r="A63" s="444" t="n"/>
      <c r="B63" s="444" t="n"/>
      <c r="C63" s="444" t="n"/>
      <c r="D63" s="444" t="n"/>
      <c r="E63" s="444" t="n"/>
      <c r="F63" s="444" t="n"/>
      <c r="G63" s="444" t="n"/>
      <c r="H63" s="444" t="n"/>
      <c r="I63" s="444" t="n"/>
      <c r="J63" s="444" t="inlineStr">
        <is>
          <t>Customer / post-event</t>
        </is>
      </c>
      <c r="K63" s="444">
        <f>B16+B17</f>
        <v/>
      </c>
      <c r="L63" s="444" t="n"/>
      <c r="M63" s="444" t="n"/>
      <c r="N63" s="444" t="n"/>
    </row>
    <row r="64">
      <c r="A64" s="444" t="n"/>
      <c r="B64" s="444" t="n"/>
      <c r="C64" s="444" t="n"/>
      <c r="D64" s="444" t="n"/>
      <c r="E64" s="444" t="n"/>
      <c r="F64" s="444" t="n"/>
      <c r="G64" s="444" t="n"/>
      <c r="H64" s="444" t="n"/>
      <c r="I64" s="444" t="n"/>
      <c r="J64" s="444" t="inlineStr">
        <is>
          <t>Data / regulatory</t>
        </is>
      </c>
      <c r="K64" s="444">
        <f>B18+B19+B20</f>
        <v/>
      </c>
      <c r="L64" s="444" t="n"/>
      <c r="M64" s="444" t="n"/>
      <c r="N64" s="444" t="n"/>
    </row>
    <row r="65">
      <c r="A65" s="444" t="n"/>
      <c r="B65" s="444" t="n"/>
      <c r="C65" s="444" t="n"/>
      <c r="D65" s="444" t="n"/>
      <c r="E65" s="444" t="n"/>
      <c r="F65" s="444" t="n"/>
      <c r="G65" s="444" t="n"/>
      <c r="H65" s="444" t="n"/>
      <c r="I65" s="444" t="n"/>
      <c r="J65" s="444" t="inlineStr">
        <is>
          <t>Incident response / legal</t>
        </is>
      </c>
      <c r="K65" s="444">
        <f>B21+B22+B23</f>
        <v/>
      </c>
      <c r="L65" s="444" t="n"/>
      <c r="M65" s="444" t="n"/>
      <c r="N65" s="444" t="n"/>
    </row>
    <row r="66">
      <c r="A66" s="444" t="n"/>
      <c r="B66" s="444" t="n"/>
      <c r="C66" s="444" t="n"/>
      <c r="D66" s="444" t="n"/>
      <c r="E66" s="444" t="n"/>
      <c r="F66" s="444" t="n"/>
      <c r="G66" s="444" t="n"/>
      <c r="H66" s="444" t="n"/>
      <c r="I66" s="444" t="n"/>
      <c r="J66" s="444" t="inlineStr">
        <is>
          <t>Restoration / technology</t>
        </is>
      </c>
      <c r="K66" s="444">
        <f>B24+B25+B26</f>
        <v/>
      </c>
      <c r="L66" s="444" t="n"/>
      <c r="M66" s="444" t="n"/>
      <c r="N66" s="444" t="n"/>
    </row>
    <row r="67">
      <c r="A67" s="444" t="n"/>
      <c r="B67" s="444" t="n"/>
      <c r="C67" s="444" t="n"/>
      <c r="D67" s="444" t="n"/>
      <c r="E67" s="444" t="n"/>
      <c r="F67" s="444" t="n"/>
      <c r="G67" s="444" t="n"/>
      <c r="H67" s="444" t="n"/>
      <c r="I67" s="444" t="n"/>
      <c r="J67" s="444" t="inlineStr">
        <is>
          <t>Fraud / extortion</t>
        </is>
      </c>
      <c r="K67" s="444">
        <f>B27+B28</f>
        <v/>
      </c>
      <c r="L67" s="444" t="n"/>
      <c r="M67" s="444" t="n"/>
      <c r="N67" s="444" t="n"/>
    </row>
    <row r="68">
      <c r="A68" s="444" t="n"/>
      <c r="B68" s="444" t="n"/>
      <c r="C68" s="444" t="n"/>
      <c r="D68" s="444" t="n"/>
      <c r="E68" s="444" t="n"/>
      <c r="F68" s="444" t="n"/>
      <c r="G68" s="444" t="n"/>
      <c r="H68" s="444" t="n"/>
      <c r="I68" s="444" t="n"/>
      <c r="J68" s="444" t="n"/>
      <c r="K68" s="444" t="n"/>
      <c r="L68" s="444" t="n"/>
      <c r="M68" s="444" t="n"/>
      <c r="N68" s="444" t="n"/>
    </row>
    <row r="69">
      <c r="A69" s="444" t="n"/>
      <c r="B69" s="444" t="n"/>
      <c r="C69" s="444" t="n"/>
      <c r="D69" s="444" t="n"/>
      <c r="E69" s="444" t="n"/>
      <c r="F69" s="444" t="n"/>
      <c r="G69" s="444" t="n"/>
      <c r="H69" s="444" t="n"/>
      <c r="I69" s="444" t="n"/>
      <c r="J69" s="444" t="n"/>
      <c r="K69" s="444" t="n"/>
      <c r="L69" s="444" t="n"/>
      <c r="M69" s="444" t="n"/>
      <c r="N69" s="444" t="n"/>
    </row>
    <row r="70">
      <c r="A70" s="444" t="n"/>
      <c r="B70" s="444" t="n"/>
      <c r="C70" s="444" t="n"/>
      <c r="D70" s="444" t="n"/>
      <c r="E70" s="444" t="n"/>
      <c r="F70" s="444" t="n"/>
      <c r="G70" s="444" t="n"/>
      <c r="H70" s="444" t="n"/>
      <c r="I70" s="444" t="n"/>
      <c r="J70" s="444" t="n"/>
      <c r="K70" s="444" t="n"/>
      <c r="L70" s="444" t="n"/>
      <c r="M70" s="444" t="n"/>
      <c r="N70" s="444" t="n"/>
    </row>
    <row r="71">
      <c r="A71" s="444" t="n"/>
      <c r="B71" s="444" t="n"/>
      <c r="C71" s="444" t="n"/>
      <c r="D71" s="444" t="n"/>
      <c r="E71" s="444" t="n"/>
      <c r="F71" s="444" t="n"/>
      <c r="G71" s="444" t="n"/>
      <c r="H71" s="444" t="n"/>
      <c r="I71" s="444" t="n"/>
      <c r="J71" s="444" t="n"/>
      <c r="K71" s="444" t="n"/>
      <c r="L71" s="444" t="n"/>
      <c r="M71" s="444" t="n"/>
      <c r="N71" s="444" t="n"/>
    </row>
    <row r="72">
      <c r="A72" s="444" t="n"/>
      <c r="B72" s="444" t="n"/>
      <c r="C72" s="444" t="n"/>
      <c r="D72" s="444" t="n"/>
      <c r="E72" s="444" t="n"/>
      <c r="F72" s="444" t="n"/>
      <c r="G72" s="444" t="n"/>
      <c r="H72" s="444" t="n"/>
      <c r="I72" s="444" t="n"/>
      <c r="J72" s="444" t="n"/>
      <c r="K72" s="444" t="n"/>
      <c r="L72" s="444" t="n"/>
      <c r="M72" s="444" t="n"/>
      <c r="N72" s="444" t="n"/>
    </row>
    <row r="73">
      <c r="A73" s="444" t="n"/>
      <c r="B73" s="444" t="n"/>
      <c r="C73" s="444" t="n"/>
      <c r="D73" s="444" t="n"/>
      <c r="E73" s="444" t="n"/>
      <c r="F73" s="444" t="n"/>
      <c r="G73" s="444" t="n"/>
      <c r="H73" s="444" t="n"/>
      <c r="I73" s="444" t="n"/>
      <c r="J73" s="444" t="n"/>
      <c r="K73" s="444" t="n"/>
      <c r="L73" s="444" t="n"/>
      <c r="M73" s="444" t="n"/>
      <c r="N73" s="444" t="n"/>
    </row>
    <row r="74">
      <c r="A74" s="444" t="n"/>
      <c r="B74" s="444" t="n"/>
      <c r="C74" s="444" t="n"/>
      <c r="D74" s="444" t="n"/>
      <c r="E74" s="444" t="n"/>
      <c r="F74" s="444" t="n"/>
      <c r="G74" s="444" t="n"/>
      <c r="H74" s="444" t="n"/>
      <c r="I74" s="444" t="n"/>
      <c r="J74" s="444" t="n"/>
      <c r="K74" s="444" t="n"/>
      <c r="L74" s="444" t="n"/>
      <c r="M74" s="444" t="n"/>
      <c r="N74" s="444" t="n"/>
    </row>
    <row r="75">
      <c r="A75" s="444" t="n"/>
      <c r="B75" s="444" t="n"/>
      <c r="C75" s="444" t="n"/>
      <c r="D75" s="444" t="n"/>
      <c r="E75" s="444" t="n"/>
      <c r="F75" s="444" t="n"/>
      <c r="G75" s="444" t="n"/>
      <c r="H75" s="444" t="n"/>
      <c r="I75" s="444" t="n"/>
      <c r="J75" s="444" t="n"/>
      <c r="K75" s="444" t="n"/>
      <c r="L75" s="444" t="n"/>
      <c r="M75" s="444" t="n"/>
      <c r="N75" s="444" t="n"/>
    </row>
    <row r="76">
      <c r="A76" s="444" t="n"/>
      <c r="B76" s="444" t="n"/>
      <c r="C76" s="444" t="n"/>
      <c r="D76" s="444" t="n"/>
      <c r="E76" s="444" t="n"/>
      <c r="F76" s="444" t="n"/>
      <c r="G76" s="444" t="n"/>
      <c r="H76" s="444" t="n"/>
      <c r="I76" s="444" t="n"/>
      <c r="J76" s="444" t="n"/>
      <c r="K76" s="444" t="n"/>
      <c r="L76" s="444" t="n"/>
      <c r="M76" s="444" t="n"/>
      <c r="N76" s="444" t="n"/>
    </row>
    <row r="77">
      <c r="A77" s="444" t="n"/>
      <c r="B77" s="444" t="n"/>
      <c r="C77" s="444" t="n"/>
      <c r="D77" s="444" t="n"/>
      <c r="E77" s="444" t="n"/>
      <c r="F77" s="444" t="n"/>
      <c r="G77" s="444" t="n"/>
      <c r="H77" s="444" t="n"/>
      <c r="I77" s="444" t="n"/>
      <c r="J77" s="444" t="n"/>
      <c r="K77" s="444" t="n"/>
      <c r="L77" s="444" t="n"/>
      <c r="M77" s="444" t="n"/>
      <c r="N77" s="444" t="n"/>
    </row>
    <row r="78">
      <c r="A78" s="444" t="n"/>
      <c r="B78" s="444" t="n"/>
      <c r="C78" s="444" t="n"/>
      <c r="D78" s="444" t="n"/>
      <c r="E78" s="444" t="n"/>
      <c r="F78" s="444" t="n"/>
      <c r="G78" s="444" t="n"/>
      <c r="H78" s="444" t="n"/>
      <c r="I78" s="444" t="n"/>
      <c r="J78" s="444" t="n"/>
      <c r="K78" s="444" t="n"/>
      <c r="L78" s="444" t="n"/>
      <c r="M78" s="444" t="n"/>
      <c r="N78" s="444" t="n"/>
    </row>
    <row r="79">
      <c r="A79" s="444" t="n"/>
      <c r="B79" s="444" t="n"/>
      <c r="C79" s="444" t="n"/>
      <c r="D79" s="444" t="n"/>
      <c r="E79" s="444" t="n"/>
      <c r="F79" s="444" t="n"/>
      <c r="G79" s="444" t="n"/>
      <c r="H79" s="444" t="n"/>
      <c r="I79" s="444" t="n"/>
      <c r="J79" s="444" t="n"/>
      <c r="K79" s="444" t="n"/>
      <c r="L79" s="444" t="n"/>
      <c r="M79" s="444" t="n"/>
      <c r="N79" s="444" t="n"/>
    </row>
    <row r="80">
      <c r="A80" s="444" t="n"/>
      <c r="B80" s="444" t="n"/>
      <c r="C80" s="444" t="n"/>
      <c r="D80" s="444" t="n"/>
      <c r="E80" s="444" t="n"/>
      <c r="F80" s="444" t="n"/>
      <c r="G80" s="444" t="n"/>
      <c r="H80" s="444" t="n"/>
      <c r="I80" s="444" t="n"/>
      <c r="J80" s="444" t="n"/>
      <c r="K80" s="444" t="n"/>
      <c r="L80" s="444" t="n"/>
      <c r="M80" s="444" t="n"/>
      <c r="N80" s="444" t="n"/>
    </row>
  </sheetData>
  <mergeCells count="21">
    <mergeCell ref="A9:B11"/>
    <mergeCell ref="G8:H8"/>
    <mergeCell ref="M9:N11"/>
    <mergeCell ref="D6:E6"/>
    <mergeCell ref="J9:K11"/>
    <mergeCell ref="I4:N4"/>
    <mergeCell ref="A3:N3"/>
    <mergeCell ref="M6:N6"/>
    <mergeCell ref="A13:F13"/>
    <mergeCell ref="B4:D4"/>
    <mergeCell ref="F4:H4"/>
    <mergeCell ref="A8:B8"/>
    <mergeCell ref="M8:N8"/>
    <mergeCell ref="D8:E8"/>
    <mergeCell ref="A1:N2"/>
    <mergeCell ref="E13:N13"/>
    <mergeCell ref="F6:H6"/>
    <mergeCell ref="D9:E11"/>
    <mergeCell ref="J8:K8"/>
    <mergeCell ref="A30:N35"/>
    <mergeCell ref="G9:H11"/>
  </mergeCells>
  <dataValidations count="3">
    <dataValidation sqref="B6" showDropDown="0" showInputMessage="0" showErrorMessage="0" allowBlank="0" type="list">
      <formula1>'02 Executive Summary'!$A$30:$A$33</formula1>
    </dataValidation>
    <dataValidation sqref="F6:H6" showDropDown="0" showInputMessage="0" showErrorMessage="0" allowBlank="0" type="list">
      <formula1>'02 Executive Summary'!$A$37:$A$40</formula1>
    </dataValidation>
    <dataValidation sqref="K6" showDropDown="0" showInputMessage="0" showErrorMessage="0" allowBlank="0" type="list">
      <formula1>"P50,P99"</formula1>
    </dataValidation>
  </dataValidations>
  <pageMargins left="0.7" right="0.7" top="0.75" bottom="0.75" header="0.3" footer="0.3"/>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N80"/>
  <sheetViews>
    <sheetView showGridLines="0" workbookViewId="0">
      <selection activeCell="A1" sqref="A1"/>
    </sheetView>
  </sheetViews>
  <sheetFormatPr baseColWidth="8" defaultRowHeight="15"/>
  <cols>
    <col width="7" customWidth="1" style="242" min="1" max="1"/>
    <col width="34" customWidth="1" style="242" min="2" max="2"/>
    <col width="15" customWidth="1" style="242" min="3" max="3"/>
    <col width="15" customWidth="1" style="242" min="4" max="4"/>
    <col width="16" customWidth="1" style="242" min="5" max="5"/>
    <col width="16" customWidth="1" style="242" min="6" max="6"/>
    <col width="16" customWidth="1" style="242" min="7" max="7"/>
    <col width="16" customWidth="1" style="242" min="8" max="8"/>
    <col width="3" customWidth="1" style="242" min="9" max="9"/>
    <col width="16" customWidth="1" style="242" min="10" max="10"/>
    <col width="16" customWidth="1" style="242" min="11" max="11"/>
    <col width="3" customWidth="1" style="242" min="12" max="12"/>
    <col width="16" customWidth="1" style="242" min="13" max="13"/>
    <col width="16" customWidth="1" style="242" min="14" max="14"/>
  </cols>
  <sheetData>
    <row r="1">
      <c r="A1" s="448" t="inlineStr">
        <is>
          <t>IT CYBER RISK QUANTIFICATION | CONTROL WHAT-IF</t>
        </is>
      </c>
    </row>
    <row r="2"/>
    <row r="3">
      <c r="A3" s="451" t="inlineStr">
        <is>
          <t>Prioritise security investment by testing the one-level maturity uplift already calculated by the engine. Figures are analytic AAL, not a re-run Monte Carlo.</t>
        </is>
      </c>
    </row>
    <row r="4">
      <c r="A4" s="453" t="inlineStr">
        <is>
          <t>Method</t>
        </is>
      </c>
      <c r="B4" s="454">
        <f>'16 Control What-If'!I16</f>
        <v/>
      </c>
      <c r="E4" s="453" t="inlineStr">
        <is>
          <t>View</t>
        </is>
      </c>
      <c r="F4" s="454">
        <f>'16 Control What-If'!J16</f>
        <v/>
      </c>
      <c r="I4" s="453" t="inlineStr">
        <is>
          <t>Use this page to rank marginal AAL reduction from the modelled one-level control maturity uplift.</t>
        </is>
      </c>
    </row>
    <row r="5">
      <c r="A5" s="444" t="n"/>
      <c r="B5" s="444" t="n"/>
      <c r="C5" s="444" t="n"/>
      <c r="D5" s="444" t="n"/>
      <c r="E5" s="444" t="n"/>
      <c r="F5" s="444" t="n"/>
      <c r="G5" s="444" t="n"/>
      <c r="H5" s="444" t="n"/>
      <c r="I5" s="444" t="n"/>
      <c r="J5" s="444" t="n"/>
      <c r="K5" s="444" t="n"/>
      <c r="L5" s="444" t="n"/>
      <c r="M5" s="444" t="n"/>
      <c r="N5" s="444" t="n"/>
    </row>
    <row r="6">
      <c r="A6" s="444" t="inlineStr">
        <is>
          <t>Control</t>
        </is>
      </c>
      <c r="B6" s="639">
        <f>'16 Control What-If'!B16</f>
        <v/>
      </c>
      <c r="I6" s="444" t="n"/>
      <c r="J6" s="444" t="inlineStr">
        <is>
          <t>Maturity uplift</t>
        </is>
      </c>
      <c r="K6" s="759">
        <f>IFERROR(INDEX('16 Control What-If'!$C$16:$C$30,MATCH($B$6,'16 Control What-If'!$B$16:$B$30,0))&amp;"  →  "&amp;INDEX('16 Control What-If'!$D$16:$D$30,MATCH($B$6,'16 Control What-If'!$B$16:$B$30,0)),"")</f>
        <v/>
      </c>
    </row>
    <row r="7">
      <c r="A7" s="444" t="n"/>
      <c r="B7" s="444" t="n"/>
      <c r="C7" s="444" t="n"/>
      <c r="D7" s="444" t="n"/>
      <c r="E7" s="444" t="n"/>
      <c r="F7" s="444" t="n"/>
      <c r="G7" s="444" t="n"/>
      <c r="H7" s="444" t="n"/>
      <c r="I7" s="444" t="n"/>
      <c r="J7" s="444" t="n"/>
      <c r="K7" s="444" t="n"/>
      <c r="L7" s="444" t="n"/>
      <c r="M7" s="444" t="n"/>
      <c r="N7" s="444" t="n"/>
    </row>
    <row r="8">
      <c r="A8" s="746" t="inlineStr">
        <is>
          <t>CURRENT ANALYTIC AAL</t>
        </is>
      </c>
      <c r="C8" s="444" t="n"/>
      <c r="D8" s="746" t="inlineStr">
        <is>
          <t>WHAT-IF ANALYTIC AAL</t>
        </is>
      </c>
      <c r="F8" s="444" t="n"/>
      <c r="G8" s="746" t="inlineStr">
        <is>
          <t>AAL REDUCTION</t>
        </is>
      </c>
      <c r="I8" s="444" t="n"/>
      <c r="J8" s="746" t="inlineStr">
        <is>
          <t>REDUCTION %</t>
        </is>
      </c>
      <c r="L8" s="444" t="n"/>
      <c r="M8" s="746" t="inlineStr">
        <is>
          <t>RANK</t>
        </is>
      </c>
    </row>
    <row r="9">
      <c r="A9" s="747">
        <f>IFERROR(INDEX('16 Control What-If'!$E$16:$E$30,MATCH($B$6,'16 Control What-If'!$B$16:$B$30,0)),0)</f>
        <v/>
      </c>
      <c r="C9" s="444" t="n"/>
      <c r="D9" s="747">
        <f>IFERROR(INDEX('16 Control What-If'!$F$16:$F$30,MATCH($B$6,'16 Control What-If'!$B$16:$B$30,0)),0)</f>
        <v/>
      </c>
      <c r="F9" s="444" t="n"/>
      <c r="G9" s="747">
        <f>IFERROR(INDEX('16 Control What-If'!$G$16:$G$30,MATCH($B$6,'16 Control What-If'!$B$16:$B$30,0)),0)</f>
        <v/>
      </c>
      <c r="I9" s="444" t="n"/>
      <c r="J9" s="748">
        <f>IFERROR(INDEX('16 Control What-If'!$H$16:$H$30,MATCH($B$6,'16 Control What-If'!$B$16:$B$30,0)),0)</f>
        <v/>
      </c>
      <c r="L9" s="444" t="n"/>
      <c r="M9" s="760">
        <f>IFERROR(MATCH($B$6,'16 Control What-If'!$B$16:$B$30,0),0)</f>
        <v/>
      </c>
    </row>
    <row r="10">
      <c r="C10" s="444" t="n"/>
      <c r="F10" s="444" t="n"/>
      <c r="I10" s="444" t="n"/>
      <c r="L10" s="444" t="n"/>
    </row>
    <row r="11">
      <c r="C11" s="444" t="n"/>
      <c r="F11" s="444" t="n"/>
      <c r="I11" s="444" t="n"/>
      <c r="L11" s="444" t="n"/>
    </row>
    <row r="12">
      <c r="A12" s="444" t="n"/>
      <c r="B12" s="444" t="n"/>
      <c r="C12" s="444" t="n"/>
      <c r="D12" s="444" t="n"/>
      <c r="E12" s="444" t="n"/>
      <c r="F12" s="444" t="n"/>
      <c r="G12" s="444" t="n"/>
      <c r="H12" s="444" t="n"/>
      <c r="I12" s="444" t="n"/>
      <c r="J12" s="444" t="n"/>
      <c r="K12" s="444" t="n"/>
      <c r="L12" s="444" t="n"/>
      <c r="M12" s="444" t="n"/>
      <c r="N12" s="444" t="n"/>
    </row>
    <row r="13" ht="22" customHeight="1" s="242">
      <c r="A13" s="580" t="inlineStr">
        <is>
          <t>CONTROL OPPORTUNITY RANKING</t>
        </is>
      </c>
      <c r="I13" s="444" t="n"/>
      <c r="J13" s="580" t="inlineStr">
        <is>
          <t>TOP 10 AAL REDUCTION</t>
        </is>
      </c>
    </row>
    <row r="14">
      <c r="A14" s="588" t="inlineStr">
        <is>
          <t>Rank</t>
        </is>
      </c>
      <c r="B14" s="588" t="inlineStr">
        <is>
          <t>Control family</t>
        </is>
      </c>
      <c r="C14" s="588" t="inlineStr">
        <is>
          <t>Current maturity</t>
        </is>
      </c>
      <c r="D14" s="588" t="inlineStr">
        <is>
          <t>What-if maturity</t>
        </is>
      </c>
      <c r="E14" s="588" t="inlineStr">
        <is>
          <t>AAL reduction</t>
        </is>
      </c>
      <c r="F14" s="588" t="inlineStr">
        <is>
          <t>Reduction %</t>
        </is>
      </c>
      <c r="G14" s="444" t="n"/>
      <c r="H14" s="444" t="n"/>
      <c r="I14" s="444" t="n"/>
      <c r="J14" s="444" t="n"/>
      <c r="K14" s="444" t="n"/>
      <c r="L14" s="444" t="n"/>
      <c r="M14" s="444" t="n"/>
      <c r="N14" s="444" t="n"/>
    </row>
    <row r="15">
      <c r="A15" s="589" t="n">
        <v>1</v>
      </c>
      <c r="B15" s="589">
        <f>'16 Control What-If'!B16</f>
        <v/>
      </c>
      <c r="C15" s="589">
        <f>'16 Control What-If'!C16</f>
        <v/>
      </c>
      <c r="D15" s="589">
        <f>'16 Control What-If'!D16</f>
        <v/>
      </c>
      <c r="E15" s="590">
        <f>'16 Control What-If'!G16</f>
        <v/>
      </c>
      <c r="F15" s="591">
        <f>'16 Control What-If'!H16</f>
        <v/>
      </c>
      <c r="G15" s="444" t="n"/>
      <c r="H15" s="444" t="n"/>
      <c r="I15" s="444" t="n"/>
      <c r="J15" s="444" t="n"/>
      <c r="K15" s="444" t="n"/>
      <c r="L15" s="444" t="n"/>
      <c r="M15" s="444" t="n"/>
      <c r="N15" s="444" t="n"/>
    </row>
    <row r="16">
      <c r="A16" s="589" t="n">
        <v>2</v>
      </c>
      <c r="B16" s="589">
        <f>'16 Control What-If'!B17</f>
        <v/>
      </c>
      <c r="C16" s="589">
        <f>'16 Control What-If'!C17</f>
        <v/>
      </c>
      <c r="D16" s="589">
        <f>'16 Control What-If'!D17</f>
        <v/>
      </c>
      <c r="E16" s="590">
        <f>'16 Control What-If'!G17</f>
        <v/>
      </c>
      <c r="F16" s="591">
        <f>'16 Control What-If'!H17</f>
        <v/>
      </c>
      <c r="G16" s="444" t="n"/>
      <c r="H16" s="444" t="n"/>
      <c r="I16" s="444" t="n"/>
      <c r="J16" s="444" t="n"/>
      <c r="K16" s="444" t="n"/>
      <c r="L16" s="444" t="n"/>
      <c r="M16" s="444" t="n"/>
      <c r="N16" s="444" t="n"/>
    </row>
    <row r="17">
      <c r="A17" s="589" t="n">
        <v>3</v>
      </c>
      <c r="B17" s="589">
        <f>'16 Control What-If'!B18</f>
        <v/>
      </c>
      <c r="C17" s="589">
        <f>'16 Control What-If'!C18</f>
        <v/>
      </c>
      <c r="D17" s="589">
        <f>'16 Control What-If'!D18</f>
        <v/>
      </c>
      <c r="E17" s="590">
        <f>'16 Control What-If'!G18</f>
        <v/>
      </c>
      <c r="F17" s="591">
        <f>'16 Control What-If'!H18</f>
        <v/>
      </c>
      <c r="G17" s="444" t="n"/>
      <c r="H17" s="444" t="n"/>
      <c r="I17" s="444" t="n"/>
      <c r="J17" s="444" t="n"/>
      <c r="K17" s="444" t="n"/>
      <c r="L17" s="444" t="n"/>
      <c r="M17" s="444" t="n"/>
      <c r="N17" s="444" t="n"/>
    </row>
    <row r="18">
      <c r="A18" s="589" t="n">
        <v>4</v>
      </c>
      <c r="B18" s="589">
        <f>'16 Control What-If'!B19</f>
        <v/>
      </c>
      <c r="C18" s="589">
        <f>'16 Control What-If'!C19</f>
        <v/>
      </c>
      <c r="D18" s="589">
        <f>'16 Control What-If'!D19</f>
        <v/>
      </c>
      <c r="E18" s="590">
        <f>'16 Control What-If'!G19</f>
        <v/>
      </c>
      <c r="F18" s="591">
        <f>'16 Control What-If'!H19</f>
        <v/>
      </c>
      <c r="G18" s="444" t="n"/>
      <c r="H18" s="444" t="n"/>
      <c r="I18" s="444" t="n"/>
      <c r="J18" s="444" t="n"/>
      <c r="K18" s="444" t="n"/>
      <c r="L18" s="444" t="n"/>
      <c r="M18" s="444" t="n"/>
      <c r="N18" s="444" t="n"/>
    </row>
    <row r="19">
      <c r="A19" s="589" t="n">
        <v>5</v>
      </c>
      <c r="B19" s="589">
        <f>'16 Control What-If'!B20</f>
        <v/>
      </c>
      <c r="C19" s="589">
        <f>'16 Control What-If'!C20</f>
        <v/>
      </c>
      <c r="D19" s="589">
        <f>'16 Control What-If'!D20</f>
        <v/>
      </c>
      <c r="E19" s="590">
        <f>'16 Control What-If'!G20</f>
        <v/>
      </c>
      <c r="F19" s="591">
        <f>'16 Control What-If'!H20</f>
        <v/>
      </c>
      <c r="G19" s="444" t="n"/>
      <c r="H19" s="444" t="n"/>
      <c r="I19" s="444" t="n"/>
      <c r="J19" s="444" t="n"/>
      <c r="K19" s="444" t="n"/>
      <c r="L19" s="444" t="n"/>
      <c r="M19" s="444" t="n"/>
      <c r="N19" s="444" t="n"/>
    </row>
    <row r="20">
      <c r="A20" s="589" t="n">
        <v>6</v>
      </c>
      <c r="B20" s="589">
        <f>'16 Control What-If'!B21</f>
        <v/>
      </c>
      <c r="C20" s="589">
        <f>'16 Control What-If'!C21</f>
        <v/>
      </c>
      <c r="D20" s="589">
        <f>'16 Control What-If'!D21</f>
        <v/>
      </c>
      <c r="E20" s="590">
        <f>'16 Control What-If'!G21</f>
        <v/>
      </c>
      <c r="F20" s="591">
        <f>'16 Control What-If'!H21</f>
        <v/>
      </c>
      <c r="G20" s="444" t="n"/>
      <c r="H20" s="444" t="n"/>
      <c r="I20" s="444" t="n"/>
      <c r="J20" s="444" t="n"/>
      <c r="K20" s="444" t="n"/>
      <c r="L20" s="444" t="n"/>
      <c r="M20" s="444" t="n"/>
      <c r="N20" s="444" t="n"/>
    </row>
    <row r="21">
      <c r="A21" s="589" t="n">
        <v>7</v>
      </c>
      <c r="B21" s="589">
        <f>'16 Control What-If'!B22</f>
        <v/>
      </c>
      <c r="C21" s="589">
        <f>'16 Control What-If'!C22</f>
        <v/>
      </c>
      <c r="D21" s="589">
        <f>'16 Control What-If'!D22</f>
        <v/>
      </c>
      <c r="E21" s="590">
        <f>'16 Control What-If'!G22</f>
        <v/>
      </c>
      <c r="F21" s="591">
        <f>'16 Control What-If'!H22</f>
        <v/>
      </c>
      <c r="G21" s="444" t="n"/>
      <c r="H21" s="444" t="n"/>
      <c r="I21" s="444" t="n"/>
      <c r="J21" s="444" t="n"/>
      <c r="K21" s="444" t="n"/>
      <c r="L21" s="444" t="n"/>
      <c r="M21" s="444" t="n"/>
      <c r="N21" s="444" t="n"/>
    </row>
    <row r="22">
      <c r="A22" s="589" t="n">
        <v>8</v>
      </c>
      <c r="B22" s="589">
        <f>'16 Control What-If'!B23</f>
        <v/>
      </c>
      <c r="C22" s="589">
        <f>'16 Control What-If'!C23</f>
        <v/>
      </c>
      <c r="D22" s="589">
        <f>'16 Control What-If'!D23</f>
        <v/>
      </c>
      <c r="E22" s="590">
        <f>'16 Control What-If'!G23</f>
        <v/>
      </c>
      <c r="F22" s="591">
        <f>'16 Control What-If'!H23</f>
        <v/>
      </c>
      <c r="G22" s="444" t="n"/>
      <c r="H22" s="444" t="n"/>
      <c r="I22" s="444" t="n"/>
      <c r="J22" s="444" t="n"/>
      <c r="K22" s="444" t="n"/>
      <c r="L22" s="444" t="n"/>
      <c r="M22" s="444" t="n"/>
      <c r="N22" s="444" t="n"/>
    </row>
    <row r="23">
      <c r="A23" s="589" t="n">
        <v>9</v>
      </c>
      <c r="B23" s="589">
        <f>'16 Control What-If'!B24</f>
        <v/>
      </c>
      <c r="C23" s="589">
        <f>'16 Control What-If'!C24</f>
        <v/>
      </c>
      <c r="D23" s="589">
        <f>'16 Control What-If'!D24</f>
        <v/>
      </c>
      <c r="E23" s="590">
        <f>'16 Control What-If'!G24</f>
        <v/>
      </c>
      <c r="F23" s="591">
        <f>'16 Control What-If'!H24</f>
        <v/>
      </c>
      <c r="G23" s="444" t="n"/>
      <c r="H23" s="444" t="n"/>
      <c r="I23" s="444" t="n"/>
      <c r="J23" s="444" t="n"/>
      <c r="K23" s="444" t="n"/>
      <c r="L23" s="444" t="n"/>
      <c r="M23" s="444" t="n"/>
      <c r="N23" s="444" t="n"/>
    </row>
    <row r="24">
      <c r="A24" s="589" t="n">
        <v>10</v>
      </c>
      <c r="B24" s="589">
        <f>'16 Control What-If'!B25</f>
        <v/>
      </c>
      <c r="C24" s="589">
        <f>'16 Control What-If'!C25</f>
        <v/>
      </c>
      <c r="D24" s="589">
        <f>'16 Control What-If'!D25</f>
        <v/>
      </c>
      <c r="E24" s="590">
        <f>'16 Control What-If'!G25</f>
        <v/>
      </c>
      <c r="F24" s="591">
        <f>'16 Control What-If'!H25</f>
        <v/>
      </c>
      <c r="G24" s="444" t="n"/>
      <c r="H24" s="444" t="n"/>
      <c r="I24" s="444" t="n"/>
      <c r="J24" s="444" t="n"/>
      <c r="K24" s="444" t="n"/>
      <c r="L24" s="444" t="n"/>
      <c r="M24" s="444" t="n"/>
      <c r="N24" s="444" t="n"/>
    </row>
    <row r="25">
      <c r="A25" s="589" t="n">
        <v>11</v>
      </c>
      <c r="B25" s="589">
        <f>'16 Control What-If'!B26</f>
        <v/>
      </c>
      <c r="C25" s="589">
        <f>'16 Control What-If'!C26</f>
        <v/>
      </c>
      <c r="D25" s="589">
        <f>'16 Control What-If'!D26</f>
        <v/>
      </c>
      <c r="E25" s="590">
        <f>'16 Control What-If'!G26</f>
        <v/>
      </c>
      <c r="F25" s="591">
        <f>'16 Control What-If'!H26</f>
        <v/>
      </c>
      <c r="G25" s="444" t="n"/>
      <c r="H25" s="444" t="n"/>
      <c r="I25" s="444" t="n"/>
      <c r="J25" s="444" t="n"/>
      <c r="K25" s="444" t="n"/>
      <c r="L25" s="444" t="n"/>
      <c r="M25" s="444" t="n"/>
      <c r="N25" s="444" t="n"/>
    </row>
    <row r="26">
      <c r="A26" s="589" t="n">
        <v>12</v>
      </c>
      <c r="B26" s="589">
        <f>'16 Control What-If'!B27</f>
        <v/>
      </c>
      <c r="C26" s="589">
        <f>'16 Control What-If'!C27</f>
        <v/>
      </c>
      <c r="D26" s="589">
        <f>'16 Control What-If'!D27</f>
        <v/>
      </c>
      <c r="E26" s="590">
        <f>'16 Control What-If'!G27</f>
        <v/>
      </c>
      <c r="F26" s="591">
        <f>'16 Control What-If'!H27</f>
        <v/>
      </c>
      <c r="G26" s="444" t="n"/>
      <c r="H26" s="444" t="n"/>
      <c r="I26" s="444" t="n"/>
      <c r="J26" s="444" t="n"/>
      <c r="K26" s="444" t="n"/>
      <c r="L26" s="444" t="n"/>
      <c r="M26" s="444" t="n"/>
      <c r="N26" s="444" t="n"/>
    </row>
    <row r="27">
      <c r="A27" s="589" t="n">
        <v>13</v>
      </c>
      <c r="B27" s="589">
        <f>'16 Control What-If'!B28</f>
        <v/>
      </c>
      <c r="C27" s="589">
        <f>'16 Control What-If'!C28</f>
        <v/>
      </c>
      <c r="D27" s="589">
        <f>'16 Control What-If'!D28</f>
        <v/>
      </c>
      <c r="E27" s="590">
        <f>'16 Control What-If'!G28</f>
        <v/>
      </c>
      <c r="F27" s="591">
        <f>'16 Control What-If'!H28</f>
        <v/>
      </c>
      <c r="G27" s="444" t="n"/>
      <c r="H27" s="444" t="n"/>
      <c r="I27" s="444" t="n"/>
      <c r="J27" s="444" t="n"/>
      <c r="K27" s="444" t="n"/>
      <c r="L27" s="444" t="n"/>
      <c r="M27" s="444" t="n"/>
      <c r="N27" s="444" t="n"/>
    </row>
    <row r="28">
      <c r="A28" s="589" t="n">
        <v>14</v>
      </c>
      <c r="B28" s="589">
        <f>'16 Control What-If'!B29</f>
        <v/>
      </c>
      <c r="C28" s="589">
        <f>'16 Control What-If'!C29</f>
        <v/>
      </c>
      <c r="D28" s="589">
        <f>'16 Control What-If'!D29</f>
        <v/>
      </c>
      <c r="E28" s="590">
        <f>'16 Control What-If'!G29</f>
        <v/>
      </c>
      <c r="F28" s="591">
        <f>'16 Control What-If'!H29</f>
        <v/>
      </c>
      <c r="G28" s="444" t="n"/>
      <c r="H28" s="444" t="n"/>
      <c r="I28" s="444" t="n"/>
      <c r="J28" s="444" t="n"/>
      <c r="K28" s="444" t="n"/>
      <c r="L28" s="444" t="n"/>
      <c r="M28" s="444" t="n"/>
      <c r="N28" s="444" t="n"/>
    </row>
    <row r="29">
      <c r="A29" s="592" t="n">
        <v>15</v>
      </c>
      <c r="B29" s="592">
        <f>'16 Control What-If'!B30</f>
        <v/>
      </c>
      <c r="C29" s="592">
        <f>'16 Control What-If'!C30</f>
        <v/>
      </c>
      <c r="D29" s="592">
        <f>'16 Control What-If'!D30</f>
        <v/>
      </c>
      <c r="E29" s="593">
        <f>'16 Control What-If'!G30</f>
        <v/>
      </c>
      <c r="F29" s="594">
        <f>'16 Control What-If'!H30</f>
        <v/>
      </c>
      <c r="G29" s="444" t="n"/>
      <c r="H29" s="444" t="n"/>
      <c r="I29" s="444" t="n"/>
      <c r="J29" s="444" t="n"/>
      <c r="K29" s="444" t="n"/>
      <c r="L29" s="444" t="n"/>
      <c r="M29" s="444" t="n"/>
      <c r="N29" s="444" t="n"/>
    </row>
    <row r="30">
      <c r="A30" s="444" t="n"/>
      <c r="B30" s="444" t="n"/>
      <c r="C30" s="444" t="n"/>
      <c r="D30" s="444" t="n"/>
      <c r="E30" s="444" t="n"/>
      <c r="F30" s="444" t="n"/>
      <c r="G30" s="444" t="n"/>
      <c r="H30" s="444" t="n"/>
      <c r="I30" s="444" t="n"/>
      <c r="J30" s="444" t="n"/>
      <c r="K30" s="444" t="n"/>
      <c r="L30" s="444" t="n"/>
      <c r="M30" s="444" t="n"/>
      <c r="N30" s="444" t="n"/>
    </row>
    <row r="31">
      <c r="A31" s="758" t="inlineStr">
        <is>
          <t>Interpretation
The what-if analysis changes one control family by one maturity level while holding other model inputs constant. The ranking is useful for prioritisation, but the displayed AAL is an analytic approximation rather than a second Monte Carlo distribution. A shortlisted control should therefore be validated against implementation feasibility, coverage, cost and any correlated control changes before being treated as an investment case.</t>
        </is>
      </c>
    </row>
    <row r="32"/>
    <row r="33"/>
    <row r="34"/>
    <row r="35"/>
    <row r="36"/>
    <row r="37">
      <c r="A37" s="444" t="n"/>
      <c r="B37" s="444" t="n"/>
      <c r="C37" s="444" t="n"/>
      <c r="D37" s="444" t="n"/>
      <c r="E37" s="444" t="n"/>
      <c r="F37" s="444" t="n"/>
      <c r="G37" s="444" t="n"/>
      <c r="H37" s="444" t="n"/>
      <c r="I37" s="444" t="n"/>
      <c r="J37" s="444" t="n"/>
      <c r="K37" s="444" t="n"/>
      <c r="L37" s="444" t="n"/>
      <c r="M37" s="444" t="n"/>
      <c r="N37" s="444" t="n"/>
    </row>
    <row r="38">
      <c r="A38" s="444" t="n"/>
      <c r="B38" s="444" t="n"/>
      <c r="C38" s="444" t="n"/>
      <c r="D38" s="444" t="n"/>
      <c r="E38" s="444" t="n"/>
      <c r="F38" s="444" t="n"/>
      <c r="G38" s="444" t="n"/>
      <c r="H38" s="444" t="n"/>
      <c r="I38" s="444" t="n"/>
      <c r="J38" s="444" t="n"/>
      <c r="K38" s="444" t="n"/>
      <c r="L38" s="444" t="n"/>
      <c r="M38" s="444" t="n"/>
      <c r="N38" s="444" t="n"/>
    </row>
    <row r="39">
      <c r="A39" s="444" t="n"/>
      <c r="B39" s="444" t="n"/>
      <c r="C39" s="444" t="n"/>
      <c r="D39" s="444" t="n"/>
      <c r="E39" s="444" t="n"/>
      <c r="F39" s="444" t="n"/>
      <c r="G39" s="444" t="n"/>
      <c r="H39" s="444" t="n"/>
      <c r="I39" s="444" t="n"/>
      <c r="J39" s="444" t="n"/>
      <c r="K39" s="444" t="n"/>
      <c r="L39" s="444" t="n"/>
      <c r="M39" s="444" t="n"/>
      <c r="N39" s="444" t="n"/>
    </row>
    <row r="40">
      <c r="A40" s="444" t="n"/>
      <c r="B40" s="444" t="n"/>
      <c r="C40" s="444" t="n"/>
      <c r="D40" s="444" t="n"/>
      <c r="E40" s="444" t="n"/>
      <c r="F40" s="444" t="n"/>
      <c r="G40" s="444" t="n"/>
      <c r="H40" s="444" t="n"/>
      <c r="I40" s="444" t="n"/>
      <c r="J40" s="444" t="n"/>
      <c r="K40" s="444" t="n"/>
      <c r="L40" s="444" t="n"/>
      <c r="M40" s="444" t="n"/>
      <c r="N40" s="444" t="n"/>
    </row>
    <row r="41">
      <c r="A41" s="444" t="n"/>
      <c r="B41" s="444" t="n"/>
      <c r="C41" s="444" t="n"/>
      <c r="D41" s="444" t="n"/>
      <c r="E41" s="444" t="n"/>
      <c r="F41" s="444" t="n"/>
      <c r="G41" s="444" t="n"/>
      <c r="H41" s="444" t="n"/>
      <c r="I41" s="444" t="n"/>
      <c r="J41" s="444" t="n"/>
      <c r="K41" s="444" t="n"/>
      <c r="L41" s="444" t="n"/>
      <c r="M41" s="444" t="n"/>
      <c r="N41" s="444" t="n"/>
    </row>
    <row r="42">
      <c r="A42" s="444" t="n"/>
      <c r="B42" s="444" t="n"/>
      <c r="C42" s="444" t="n"/>
      <c r="D42" s="444" t="n"/>
      <c r="E42" s="444" t="n"/>
      <c r="F42" s="444" t="n"/>
      <c r="G42" s="444" t="n"/>
      <c r="H42" s="444" t="n"/>
      <c r="I42" s="444" t="n"/>
      <c r="J42" s="444" t="n"/>
      <c r="K42" s="444" t="n"/>
      <c r="L42" s="444" t="n"/>
      <c r="M42" s="444" t="n"/>
      <c r="N42" s="444" t="n"/>
    </row>
    <row r="43">
      <c r="A43" s="444" t="n"/>
      <c r="B43" s="444" t="n"/>
      <c r="C43" s="444" t="n"/>
      <c r="D43" s="444" t="n"/>
      <c r="E43" s="444" t="n"/>
      <c r="F43" s="444" t="n"/>
      <c r="G43" s="444" t="n"/>
      <c r="H43" s="444" t="n"/>
      <c r="I43" s="444" t="n"/>
      <c r="J43" s="444" t="n"/>
      <c r="K43" s="444" t="n"/>
      <c r="L43" s="444" t="n"/>
      <c r="M43" s="444" t="n"/>
      <c r="N43" s="444" t="n"/>
    </row>
    <row r="44">
      <c r="A44" s="444" t="n"/>
      <c r="B44" s="444" t="n"/>
      <c r="C44" s="444" t="n"/>
      <c r="D44" s="444" t="n"/>
      <c r="E44" s="444" t="n"/>
      <c r="F44" s="444" t="n"/>
      <c r="G44" s="444" t="n"/>
      <c r="H44" s="444" t="n"/>
      <c r="I44" s="444" t="n"/>
      <c r="J44" s="444" t="n"/>
      <c r="K44" s="444" t="n"/>
      <c r="L44" s="444" t="n"/>
      <c r="M44" s="444" t="n"/>
      <c r="N44" s="444" t="n"/>
    </row>
    <row r="45">
      <c r="A45" s="444" t="n"/>
      <c r="B45" s="444" t="n"/>
      <c r="C45" s="444" t="n"/>
      <c r="D45" s="444" t="n"/>
      <c r="E45" s="444" t="n"/>
      <c r="F45" s="444" t="n"/>
      <c r="G45" s="444" t="n"/>
      <c r="H45" s="444" t="n"/>
      <c r="I45" s="444" t="n"/>
      <c r="J45" s="444" t="n"/>
      <c r="K45" s="444" t="n"/>
      <c r="L45" s="444" t="n"/>
      <c r="M45" s="444" t="n"/>
      <c r="N45" s="444" t="n"/>
    </row>
    <row r="46">
      <c r="A46" s="444" t="n"/>
      <c r="B46" s="444" t="n"/>
      <c r="C46" s="444" t="n"/>
      <c r="D46" s="444" t="n"/>
      <c r="E46" s="444" t="n"/>
      <c r="F46" s="444" t="n"/>
      <c r="G46" s="444" t="n"/>
      <c r="H46" s="444" t="n"/>
      <c r="I46" s="444" t="n"/>
      <c r="J46" s="444" t="n"/>
      <c r="K46" s="444" t="n"/>
      <c r="L46" s="444" t="n"/>
      <c r="M46" s="444" t="n"/>
      <c r="N46" s="444" t="n"/>
    </row>
    <row r="47">
      <c r="A47" s="444" t="n"/>
      <c r="B47" s="444" t="n"/>
      <c r="C47" s="444" t="n"/>
      <c r="D47" s="444" t="n"/>
      <c r="E47" s="444" t="n"/>
      <c r="F47" s="444" t="n"/>
      <c r="G47" s="444" t="n"/>
      <c r="H47" s="444" t="n"/>
      <c r="I47" s="444" t="n"/>
      <c r="J47" s="444" t="n"/>
      <c r="K47" s="444" t="n"/>
      <c r="L47" s="444" t="n"/>
      <c r="M47" s="444" t="n"/>
      <c r="N47" s="444" t="n"/>
    </row>
    <row r="48">
      <c r="A48" s="444" t="n"/>
      <c r="B48" s="444" t="n"/>
      <c r="C48" s="444" t="n"/>
      <c r="D48" s="444" t="n"/>
      <c r="E48" s="444" t="n"/>
      <c r="F48" s="444" t="n"/>
      <c r="G48" s="444" t="n"/>
      <c r="H48" s="444" t="n"/>
      <c r="I48" s="444" t="n"/>
      <c r="J48" s="444" t="n"/>
      <c r="K48" s="444" t="n"/>
      <c r="L48" s="444" t="n"/>
      <c r="M48" s="444" t="n"/>
      <c r="N48" s="444" t="n"/>
    </row>
    <row r="49">
      <c r="A49" s="444" t="n"/>
      <c r="B49" s="444" t="n"/>
      <c r="C49" s="444" t="n"/>
      <c r="D49" s="444" t="n"/>
      <c r="E49" s="444" t="n"/>
      <c r="F49" s="444" t="n"/>
      <c r="G49" s="444" t="n"/>
      <c r="H49" s="444" t="n"/>
      <c r="I49" s="444" t="n"/>
      <c r="J49" s="444" t="n"/>
      <c r="K49" s="444" t="n"/>
      <c r="L49" s="444" t="n"/>
      <c r="M49" s="444" t="n"/>
      <c r="N49" s="444" t="n"/>
    </row>
    <row r="50">
      <c r="A50" s="444" t="n"/>
      <c r="B50" s="444" t="n"/>
      <c r="C50" s="444" t="n"/>
      <c r="D50" s="444" t="n"/>
      <c r="E50" s="444" t="n"/>
      <c r="F50" s="444" t="n"/>
      <c r="G50" s="444" t="n"/>
      <c r="H50" s="444" t="n"/>
      <c r="I50" s="444" t="n"/>
      <c r="J50" s="444" t="n"/>
      <c r="K50" s="444" t="n"/>
      <c r="L50" s="444" t="n"/>
      <c r="M50" s="444" t="n"/>
      <c r="N50" s="444" t="n"/>
    </row>
    <row r="51">
      <c r="A51" s="444" t="n"/>
      <c r="B51" s="444" t="n"/>
      <c r="C51" s="444" t="n"/>
      <c r="D51" s="444" t="n"/>
      <c r="E51" s="444" t="n"/>
      <c r="F51" s="444" t="n"/>
      <c r="G51" s="444" t="n"/>
      <c r="H51" s="444" t="n"/>
      <c r="I51" s="444" t="n"/>
      <c r="J51" s="444" t="n"/>
      <c r="K51" s="444" t="n"/>
      <c r="L51" s="444" t="n"/>
      <c r="M51" s="444" t="n"/>
      <c r="N51" s="444" t="n"/>
    </row>
    <row r="52">
      <c r="A52" s="444" t="n"/>
      <c r="B52" s="444" t="n"/>
      <c r="C52" s="444" t="n"/>
      <c r="D52" s="444" t="n"/>
      <c r="E52" s="444" t="n"/>
      <c r="F52" s="444" t="n"/>
      <c r="G52" s="444" t="n"/>
      <c r="H52" s="444" t="n"/>
      <c r="I52" s="444" t="n"/>
      <c r="J52" s="444" t="n"/>
      <c r="K52" s="444" t="n"/>
      <c r="L52" s="444" t="n"/>
      <c r="M52" s="444" t="n"/>
      <c r="N52" s="444" t="n"/>
    </row>
    <row r="53">
      <c r="A53" s="444" t="n"/>
      <c r="B53" s="444" t="n"/>
      <c r="C53" s="444" t="n"/>
      <c r="D53" s="444" t="n"/>
      <c r="E53" s="444" t="n"/>
      <c r="F53" s="444" t="n"/>
      <c r="G53" s="444" t="n"/>
      <c r="H53" s="444" t="n"/>
      <c r="I53" s="444" t="n"/>
      <c r="J53" s="444" t="n"/>
      <c r="K53" s="444" t="n"/>
      <c r="L53" s="444" t="n"/>
      <c r="M53" s="444" t="n"/>
      <c r="N53" s="444" t="n"/>
    </row>
    <row r="54">
      <c r="A54" s="444" t="n"/>
      <c r="B54" s="444" t="n"/>
      <c r="C54" s="444" t="n"/>
      <c r="D54" s="444" t="n"/>
      <c r="E54" s="444" t="n"/>
      <c r="F54" s="444" t="n"/>
      <c r="G54" s="444" t="n"/>
      <c r="H54" s="444" t="n"/>
      <c r="I54" s="444" t="n"/>
      <c r="J54" s="444" t="n"/>
      <c r="K54" s="444" t="n"/>
      <c r="L54" s="444" t="n"/>
      <c r="M54" s="444" t="n"/>
      <c r="N54" s="444" t="n"/>
    </row>
    <row r="55">
      <c r="A55" s="444" t="n"/>
      <c r="B55" s="444" t="n"/>
      <c r="C55" s="444" t="n"/>
      <c r="D55" s="444" t="n"/>
      <c r="E55" s="444" t="n"/>
      <c r="F55" s="444" t="n"/>
      <c r="G55" s="444" t="n"/>
      <c r="H55" s="444" t="n"/>
      <c r="I55" s="444" t="n"/>
      <c r="J55" s="444" t="n"/>
      <c r="K55" s="444" t="n"/>
      <c r="L55" s="444" t="n"/>
      <c r="M55" s="444" t="n"/>
      <c r="N55" s="444" t="n"/>
    </row>
    <row r="56">
      <c r="A56" s="444" t="n"/>
      <c r="B56" s="444" t="n"/>
      <c r="C56" s="444" t="n"/>
      <c r="D56" s="444" t="n"/>
      <c r="E56" s="444" t="n"/>
      <c r="F56" s="444" t="n"/>
      <c r="G56" s="444" t="n"/>
      <c r="H56" s="444" t="n"/>
      <c r="I56" s="444" t="n"/>
      <c r="J56" s="444" t="n"/>
      <c r="K56" s="444" t="n"/>
      <c r="L56" s="444" t="n"/>
      <c r="M56" s="444" t="n"/>
      <c r="N56" s="444" t="n"/>
    </row>
    <row r="57">
      <c r="A57" s="444" t="n"/>
      <c r="B57" s="444" t="n"/>
      <c r="C57" s="444" t="n"/>
      <c r="D57" s="444" t="n"/>
      <c r="E57" s="444" t="n"/>
      <c r="F57" s="444" t="n"/>
      <c r="G57" s="444" t="n"/>
      <c r="H57" s="444" t="n"/>
      <c r="I57" s="444" t="n"/>
      <c r="J57" s="444" t="n"/>
      <c r="K57" s="444" t="n"/>
      <c r="L57" s="444" t="n"/>
      <c r="M57" s="444" t="n"/>
      <c r="N57" s="444" t="n"/>
    </row>
    <row r="58">
      <c r="A58" s="444" t="n"/>
      <c r="B58" s="444" t="n"/>
      <c r="C58" s="444" t="n"/>
      <c r="D58" s="444" t="n"/>
      <c r="E58" s="444" t="n"/>
      <c r="F58" s="444" t="n"/>
      <c r="G58" s="444" t="n"/>
      <c r="H58" s="444" t="n"/>
      <c r="I58" s="444" t="n"/>
      <c r="J58" s="444" t="n"/>
      <c r="K58" s="444" t="n"/>
      <c r="L58" s="444" t="n"/>
      <c r="M58" s="444" t="n"/>
      <c r="N58" s="444" t="n"/>
    </row>
    <row r="59">
      <c r="A59" s="444" t="n"/>
      <c r="B59" s="444" t="n"/>
      <c r="C59" s="444" t="n"/>
      <c r="D59" s="444" t="n"/>
      <c r="E59" s="444" t="n"/>
      <c r="F59" s="444" t="n"/>
      <c r="G59" s="444" t="n"/>
      <c r="H59" s="444" t="n"/>
      <c r="I59" s="444" t="n"/>
      <c r="J59" s="444" t="n"/>
      <c r="K59" s="444" t="n"/>
      <c r="L59" s="444" t="n"/>
      <c r="M59" s="444" t="n"/>
      <c r="N59" s="444" t="n"/>
    </row>
    <row r="60">
      <c r="A60" s="444" t="n"/>
      <c r="B60" s="444" t="n"/>
      <c r="C60" s="444" t="n"/>
      <c r="D60" s="444" t="n"/>
      <c r="E60" s="444" t="n"/>
      <c r="F60" s="444" t="n"/>
      <c r="G60" s="444" t="n"/>
      <c r="H60" s="444" t="n"/>
      <c r="I60" s="444" t="n"/>
      <c r="J60" s="444" t="n"/>
      <c r="K60" s="444" t="n"/>
      <c r="L60" s="444" t="n"/>
      <c r="M60" s="444" t="n"/>
      <c r="N60" s="444" t="n"/>
    </row>
    <row r="61">
      <c r="A61" s="444" t="n"/>
      <c r="B61" s="444" t="n"/>
      <c r="C61" s="444" t="n"/>
      <c r="D61" s="444" t="n"/>
      <c r="E61" s="444" t="n"/>
      <c r="F61" s="444" t="n"/>
      <c r="G61" s="444" t="n"/>
      <c r="H61" s="444" t="n"/>
      <c r="I61" s="444" t="n"/>
      <c r="J61" s="444" t="inlineStr">
        <is>
          <t>Control</t>
        </is>
      </c>
      <c r="K61" s="444" t="inlineStr">
        <is>
          <t>AAL reduction</t>
        </is>
      </c>
      <c r="L61" s="444" t="n"/>
      <c r="M61" s="444" t="n"/>
      <c r="N61" s="444" t="n"/>
    </row>
    <row r="62">
      <c r="A62" s="444" t="n"/>
      <c r="B62" s="444" t="n"/>
      <c r="C62" s="444" t="n"/>
      <c r="D62" s="444" t="n"/>
      <c r="E62" s="444" t="n"/>
      <c r="F62" s="444" t="n"/>
      <c r="G62" s="444" t="n"/>
      <c r="H62" s="444" t="n"/>
      <c r="I62" s="444" t="n"/>
      <c r="J62" s="444">
        <f>'16 Control What-If'!B16</f>
        <v/>
      </c>
      <c r="K62" s="444">
        <f>'16 Control What-If'!G16</f>
        <v/>
      </c>
      <c r="L62" s="444" t="n"/>
      <c r="M62" s="444" t="n"/>
      <c r="N62" s="444" t="n"/>
    </row>
    <row r="63">
      <c r="A63" s="444" t="n"/>
      <c r="B63" s="444" t="n"/>
      <c r="C63" s="444" t="n"/>
      <c r="D63" s="444" t="n"/>
      <c r="E63" s="444" t="n"/>
      <c r="F63" s="444" t="n"/>
      <c r="G63" s="444" t="n"/>
      <c r="H63" s="444" t="n"/>
      <c r="I63" s="444" t="n"/>
      <c r="J63" s="444">
        <f>'16 Control What-If'!B17</f>
        <v/>
      </c>
      <c r="K63" s="444">
        <f>'16 Control What-If'!G17</f>
        <v/>
      </c>
      <c r="L63" s="444" t="n"/>
      <c r="M63" s="444" t="n"/>
      <c r="N63" s="444" t="n"/>
    </row>
    <row r="64">
      <c r="A64" s="444" t="n"/>
      <c r="B64" s="444" t="n"/>
      <c r="C64" s="444" t="n"/>
      <c r="D64" s="444" t="n"/>
      <c r="E64" s="444" t="n"/>
      <c r="F64" s="444" t="n"/>
      <c r="G64" s="444" t="n"/>
      <c r="H64" s="444" t="n"/>
      <c r="I64" s="444" t="n"/>
      <c r="J64" s="444">
        <f>'16 Control What-If'!B18</f>
        <v/>
      </c>
      <c r="K64" s="444">
        <f>'16 Control What-If'!G18</f>
        <v/>
      </c>
      <c r="L64" s="444" t="n"/>
      <c r="M64" s="444" t="n"/>
      <c r="N64" s="444" t="n"/>
    </row>
    <row r="65">
      <c r="A65" s="444" t="n"/>
      <c r="B65" s="444" t="n"/>
      <c r="C65" s="444" t="n"/>
      <c r="D65" s="444" t="n"/>
      <c r="E65" s="444" t="n"/>
      <c r="F65" s="444" t="n"/>
      <c r="G65" s="444" t="n"/>
      <c r="H65" s="444" t="n"/>
      <c r="I65" s="444" t="n"/>
      <c r="J65" s="444">
        <f>'16 Control What-If'!B19</f>
        <v/>
      </c>
      <c r="K65" s="444">
        <f>'16 Control What-If'!G19</f>
        <v/>
      </c>
      <c r="L65" s="444" t="n"/>
      <c r="M65" s="444" t="n"/>
      <c r="N65" s="444" t="n"/>
    </row>
    <row r="66">
      <c r="A66" s="444" t="n"/>
      <c r="B66" s="444" t="n"/>
      <c r="C66" s="444" t="n"/>
      <c r="D66" s="444" t="n"/>
      <c r="E66" s="444" t="n"/>
      <c r="F66" s="444" t="n"/>
      <c r="G66" s="444" t="n"/>
      <c r="H66" s="444" t="n"/>
      <c r="I66" s="444" t="n"/>
      <c r="J66" s="444">
        <f>'16 Control What-If'!B20</f>
        <v/>
      </c>
      <c r="K66" s="444">
        <f>'16 Control What-If'!G20</f>
        <v/>
      </c>
      <c r="L66" s="444" t="n"/>
      <c r="M66" s="444" t="n"/>
      <c r="N66" s="444" t="n"/>
    </row>
    <row r="67">
      <c r="A67" s="444" t="n"/>
      <c r="B67" s="444" t="n"/>
      <c r="C67" s="444" t="n"/>
      <c r="D67" s="444" t="n"/>
      <c r="E67" s="444" t="n"/>
      <c r="F67" s="444" t="n"/>
      <c r="G67" s="444" t="n"/>
      <c r="H67" s="444" t="n"/>
      <c r="I67" s="444" t="n"/>
      <c r="J67" s="444">
        <f>'16 Control What-If'!B21</f>
        <v/>
      </c>
      <c r="K67" s="444">
        <f>'16 Control What-If'!G21</f>
        <v/>
      </c>
      <c r="L67" s="444" t="n"/>
      <c r="M67" s="444" t="n"/>
      <c r="N67" s="444" t="n"/>
    </row>
    <row r="68">
      <c r="A68" s="444" t="n"/>
      <c r="B68" s="444" t="n"/>
      <c r="C68" s="444" t="n"/>
      <c r="D68" s="444" t="n"/>
      <c r="E68" s="444" t="n"/>
      <c r="F68" s="444" t="n"/>
      <c r="G68" s="444" t="n"/>
      <c r="H68" s="444" t="n"/>
      <c r="I68" s="444" t="n"/>
      <c r="J68" s="444">
        <f>'16 Control What-If'!B22</f>
        <v/>
      </c>
      <c r="K68" s="444">
        <f>'16 Control What-If'!G22</f>
        <v/>
      </c>
      <c r="L68" s="444" t="n"/>
      <c r="M68" s="444" t="n"/>
      <c r="N68" s="444" t="n"/>
    </row>
    <row r="69">
      <c r="A69" s="444" t="n"/>
      <c r="B69" s="444" t="n"/>
      <c r="C69" s="444" t="n"/>
      <c r="D69" s="444" t="n"/>
      <c r="E69" s="444" t="n"/>
      <c r="F69" s="444" t="n"/>
      <c r="G69" s="444" t="n"/>
      <c r="H69" s="444" t="n"/>
      <c r="I69" s="444" t="n"/>
      <c r="J69" s="444">
        <f>'16 Control What-If'!B23</f>
        <v/>
      </c>
      <c r="K69" s="444">
        <f>'16 Control What-If'!G23</f>
        <v/>
      </c>
      <c r="L69" s="444" t="n"/>
      <c r="M69" s="444" t="n"/>
      <c r="N69" s="444" t="n"/>
    </row>
    <row r="70">
      <c r="A70" s="444" t="n"/>
      <c r="B70" s="444" t="n"/>
      <c r="C70" s="444" t="n"/>
      <c r="D70" s="444" t="n"/>
      <c r="E70" s="444" t="n"/>
      <c r="F70" s="444" t="n"/>
      <c r="G70" s="444" t="n"/>
      <c r="H70" s="444" t="n"/>
      <c r="I70" s="444" t="n"/>
      <c r="J70" s="444">
        <f>'16 Control What-If'!B24</f>
        <v/>
      </c>
      <c r="K70" s="444">
        <f>'16 Control What-If'!G24</f>
        <v/>
      </c>
      <c r="L70" s="444" t="n"/>
      <c r="M70" s="444" t="n"/>
      <c r="N70" s="444" t="n"/>
    </row>
    <row r="71">
      <c r="A71" s="444" t="n"/>
      <c r="B71" s="444" t="n"/>
      <c r="C71" s="444" t="n"/>
      <c r="D71" s="444" t="n"/>
      <c r="E71" s="444" t="n"/>
      <c r="F71" s="444" t="n"/>
      <c r="G71" s="444" t="n"/>
      <c r="H71" s="444" t="n"/>
      <c r="I71" s="444" t="n"/>
      <c r="J71" s="444">
        <f>'16 Control What-If'!B25</f>
        <v/>
      </c>
      <c r="K71" s="444">
        <f>'16 Control What-If'!G25</f>
        <v/>
      </c>
      <c r="L71" s="444" t="n"/>
      <c r="M71" s="444" t="n"/>
      <c r="N71" s="444" t="n"/>
    </row>
    <row r="72">
      <c r="A72" s="444" t="n"/>
      <c r="B72" s="444" t="n"/>
      <c r="C72" s="444" t="n"/>
      <c r="D72" s="444" t="n"/>
      <c r="E72" s="444" t="n"/>
      <c r="F72" s="444" t="n"/>
      <c r="G72" s="444" t="n"/>
      <c r="H72" s="444" t="n"/>
      <c r="I72" s="444" t="n"/>
      <c r="J72" s="444" t="n"/>
      <c r="K72" s="444" t="n"/>
      <c r="L72" s="444" t="n"/>
      <c r="M72" s="444" t="n"/>
      <c r="N72" s="444" t="n"/>
    </row>
    <row r="73">
      <c r="A73" s="444" t="n"/>
      <c r="B73" s="444" t="n"/>
      <c r="C73" s="444" t="n"/>
      <c r="D73" s="444" t="n"/>
      <c r="E73" s="444" t="n"/>
      <c r="F73" s="444" t="n"/>
      <c r="G73" s="444" t="n"/>
      <c r="H73" s="444" t="n"/>
      <c r="I73" s="444" t="n"/>
      <c r="J73" s="444" t="n"/>
      <c r="K73" s="444" t="n"/>
      <c r="L73" s="444" t="n"/>
      <c r="M73" s="444" t="n"/>
      <c r="N73" s="444" t="n"/>
    </row>
    <row r="74">
      <c r="A74" s="444" t="n"/>
      <c r="B74" s="444" t="n"/>
      <c r="C74" s="444" t="n"/>
      <c r="D74" s="444" t="n"/>
      <c r="E74" s="444" t="n"/>
      <c r="F74" s="444" t="n"/>
      <c r="G74" s="444" t="n"/>
      <c r="H74" s="444" t="n"/>
      <c r="I74" s="444" t="n"/>
      <c r="J74" s="444" t="n"/>
      <c r="K74" s="444" t="n"/>
      <c r="L74" s="444" t="n"/>
      <c r="M74" s="444" t="n"/>
      <c r="N74" s="444" t="n"/>
    </row>
    <row r="75">
      <c r="A75" s="444" t="n"/>
      <c r="B75" s="444" t="n"/>
      <c r="C75" s="444" t="n"/>
      <c r="D75" s="444" t="n"/>
      <c r="E75" s="444" t="n"/>
      <c r="F75" s="444" t="n"/>
      <c r="G75" s="444" t="n"/>
      <c r="H75" s="444" t="n"/>
      <c r="I75" s="444" t="n"/>
      <c r="J75" s="444" t="n"/>
      <c r="K75" s="444" t="n"/>
      <c r="L75" s="444" t="n"/>
      <c r="M75" s="444" t="n"/>
      <c r="N75" s="444" t="n"/>
    </row>
    <row r="76">
      <c r="A76" s="444" t="n"/>
      <c r="B76" s="444" t="n"/>
      <c r="C76" s="444" t="n"/>
      <c r="D76" s="444" t="n"/>
      <c r="E76" s="444" t="n"/>
      <c r="F76" s="444" t="n"/>
      <c r="G76" s="444" t="n"/>
      <c r="H76" s="444" t="n"/>
      <c r="I76" s="444" t="n"/>
      <c r="J76" s="444" t="n"/>
      <c r="K76" s="444" t="n"/>
      <c r="L76" s="444" t="n"/>
      <c r="M76" s="444" t="n"/>
      <c r="N76" s="444" t="n"/>
    </row>
    <row r="77">
      <c r="A77" s="444" t="n"/>
      <c r="B77" s="444" t="n"/>
      <c r="C77" s="444" t="n"/>
      <c r="D77" s="444" t="n"/>
      <c r="E77" s="444" t="n"/>
      <c r="F77" s="444" t="n"/>
      <c r="G77" s="444" t="n"/>
      <c r="H77" s="444" t="n"/>
      <c r="I77" s="444" t="n"/>
      <c r="J77" s="444" t="n"/>
      <c r="K77" s="444" t="n"/>
      <c r="L77" s="444" t="n"/>
      <c r="M77" s="444" t="n"/>
      <c r="N77" s="444" t="n"/>
    </row>
    <row r="78">
      <c r="A78" s="444" t="n"/>
      <c r="B78" s="444" t="n"/>
      <c r="C78" s="444" t="n"/>
      <c r="D78" s="444" t="n"/>
      <c r="E78" s="444" t="n"/>
      <c r="F78" s="444" t="n"/>
      <c r="G78" s="444" t="n"/>
      <c r="H78" s="444" t="n"/>
      <c r="I78" s="444" t="n"/>
      <c r="J78" s="444" t="n"/>
      <c r="K78" s="444" t="n"/>
      <c r="L78" s="444" t="n"/>
      <c r="M78" s="444" t="n"/>
      <c r="N78" s="444" t="n"/>
    </row>
    <row r="79">
      <c r="A79" s="444" t="n"/>
      <c r="B79" s="444" t="n"/>
      <c r="C79" s="444" t="n"/>
      <c r="D79" s="444" t="n"/>
      <c r="E79" s="444" t="n"/>
      <c r="F79" s="444" t="n"/>
      <c r="G79" s="444" t="n"/>
      <c r="H79" s="444" t="n"/>
      <c r="I79" s="444" t="n"/>
      <c r="J79" s="444" t="n"/>
      <c r="K79" s="444" t="n"/>
      <c r="L79" s="444" t="n"/>
      <c r="M79" s="444" t="n"/>
      <c r="N79" s="444" t="n"/>
    </row>
    <row r="80">
      <c r="A80" s="444" t="n"/>
      <c r="B80" s="444" t="n"/>
      <c r="C80" s="444" t="n"/>
      <c r="D80" s="444" t="n"/>
      <c r="E80" s="444" t="n"/>
      <c r="F80" s="444" t="n"/>
      <c r="G80" s="444" t="n"/>
      <c r="H80" s="444" t="n"/>
      <c r="I80" s="444" t="n"/>
      <c r="J80" s="444" t="n"/>
      <c r="K80" s="444" t="n"/>
      <c r="L80" s="444" t="n"/>
      <c r="M80" s="444" t="n"/>
      <c r="N80" s="444" t="n"/>
    </row>
  </sheetData>
  <mergeCells count="20">
    <mergeCell ref="A9:B11"/>
    <mergeCell ref="B6:H6"/>
    <mergeCell ref="J13:N13"/>
    <mergeCell ref="G8:H8"/>
    <mergeCell ref="M9:N11"/>
    <mergeCell ref="K6:N6"/>
    <mergeCell ref="J9:K11"/>
    <mergeCell ref="I4:N4"/>
    <mergeCell ref="A3:N3"/>
    <mergeCell ref="B4:D4"/>
    <mergeCell ref="F4:H4"/>
    <mergeCell ref="A8:B8"/>
    <mergeCell ref="M8:N8"/>
    <mergeCell ref="D8:E8"/>
    <mergeCell ref="A1:N2"/>
    <mergeCell ref="A31:N36"/>
    <mergeCell ref="D9:E11"/>
    <mergeCell ref="A13:H13"/>
    <mergeCell ref="J8:K8"/>
    <mergeCell ref="G9:H11"/>
  </mergeCells>
  <conditionalFormatting sqref="F15:F29">
    <cfRule type="dataBar" priority="1">
      <dataBar>
        <cfvo type="min"/>
        <cfvo type="max"/>
        <color rgb="FF10B981"/>
      </dataBar>
    </cfRule>
  </conditionalFormatting>
  <dataValidations count="1">
    <dataValidation sqref="B6:H6" showDropDown="0" showInputMessage="0" showErrorMessage="0" allowBlank="0" type="list">
      <formula1>'16 Control What-If'!$B$16:$B$30</formula1>
    </dataValidation>
  </dataValidations>
  <pageMargins left="0.7" right="0.7" top="0.75" bottom="0.75" header="0.3" footer="0.3"/>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N80"/>
  <sheetViews>
    <sheetView showGridLines="0" workbookViewId="0">
      <selection activeCell="A1" sqref="A1"/>
    </sheetView>
  </sheetViews>
  <sheetFormatPr baseColWidth="8" defaultRowHeight="15"/>
  <cols>
    <col width="14" customWidth="1" style="242" min="1" max="1"/>
    <col width="18" customWidth="1" style="242" min="2" max="2"/>
    <col width="22" customWidth="1" style="242" min="3" max="3"/>
    <col width="22" customWidth="1" style="242" min="4" max="4"/>
    <col width="16" customWidth="1" style="242" min="5" max="5"/>
    <col width="3" customWidth="1" style="242" min="6" max="6"/>
    <col width="16" customWidth="1" style="242" min="7" max="7"/>
    <col width="16" customWidth="1" style="242" min="8" max="8"/>
    <col width="3" customWidth="1" style="242" min="9" max="9"/>
    <col width="16" customWidth="1" style="242" min="10" max="10"/>
    <col width="16" customWidth="1" style="242" min="11" max="11"/>
    <col width="3" customWidth="1" style="242" min="12" max="12"/>
    <col width="16" customWidth="1" style="242" min="13" max="13"/>
    <col width="16" customWidth="1" style="242" min="14" max="14"/>
  </cols>
  <sheetData>
    <row r="1">
      <c r="A1" s="448" t="inlineStr">
        <is>
          <t>IT CYBER RISK QUANTIFICATION | RISK TRANSFER</t>
        </is>
      </c>
    </row>
    <row r="2"/>
    <row r="3">
      <c r="A3" s="451" t="inlineStr">
        <is>
          <t>Indicative limit diagnostic using the aggregate loss distribution. This page does not simulate policy terms, coverage or claims recoveries.</t>
        </is>
      </c>
    </row>
    <row r="4">
      <c r="A4" s="453" t="inlineStr">
        <is>
          <t>Model retention</t>
        </is>
      </c>
      <c r="B4" s="718">
        <f>'08 Tail Risk Settings'!B18</f>
        <v/>
      </c>
      <c r="E4" s="453" t="inlineStr">
        <is>
          <t>Selected tail metric</t>
        </is>
      </c>
      <c r="F4" s="454">
        <f>'08 Tail Risk Settings'!B17</f>
        <v/>
      </c>
      <c r="I4" s="453" t="inlineStr">
        <is>
          <t>Use the dashboard-only limit below to test whether a proposed limit sits inside or outside modeled tail-loss levels.</t>
        </is>
      </c>
    </row>
    <row r="5">
      <c r="A5" s="444" t="n"/>
      <c r="B5" s="444" t="n"/>
      <c r="C5" s="444" t="n"/>
      <c r="D5" s="444" t="n"/>
      <c r="E5" s="444" t="n"/>
      <c r="F5" s="444" t="n"/>
      <c r="G5" s="444" t="n"/>
      <c r="H5" s="444" t="n"/>
      <c r="I5" s="444" t="n"/>
      <c r="J5" s="444" t="n"/>
      <c r="K5" s="444" t="n"/>
      <c r="L5" s="444" t="n"/>
      <c r="M5" s="444" t="n"/>
      <c r="N5" s="444" t="n"/>
    </row>
    <row r="6">
      <c r="A6" s="456" t="inlineStr">
        <is>
          <t>Reporting basis</t>
        </is>
      </c>
      <c r="B6" s="461" t="inlineStr">
        <is>
          <t>Prudent</t>
        </is>
      </c>
      <c r="C6" s="444" t="n"/>
      <c r="D6" s="456" t="inlineStr">
        <is>
          <t>Loss curve</t>
        </is>
      </c>
      <c r="E6" s="461" t="inlineStr">
        <is>
          <t>AEP</t>
        </is>
      </c>
      <c r="F6" s="444" t="n"/>
      <c r="G6" s="444" t="inlineStr">
        <is>
          <t>Illustrative insurance limit</t>
        </is>
      </c>
      <c r="H6" s="761">
        <f>IF($B$6="Best Estimate",'02 Executive Summary'!B11,'02 Executive Summary'!C11)</f>
        <v/>
      </c>
      <c r="L6" s="444" t="n"/>
      <c r="M6" s="731" t="inlineStr">
        <is>
          <t>Blue cell = dashboard input</t>
        </is>
      </c>
    </row>
    <row r="7">
      <c r="A7" s="444" t="n"/>
      <c r="B7" s="444" t="n"/>
      <c r="C7" s="444" t="n"/>
      <c r="D7" s="444" t="n"/>
      <c r="E7" s="444" t="n"/>
      <c r="F7" s="444" t="n"/>
      <c r="G7" s="444" t="n"/>
      <c r="H7" s="444" t="n"/>
      <c r="I7" s="444" t="n"/>
      <c r="J7" s="444" t="n"/>
      <c r="K7" s="444" t="n"/>
      <c r="L7" s="444" t="n"/>
      <c r="M7" s="444" t="n"/>
      <c r="N7" s="444" t="n"/>
    </row>
    <row r="8">
      <c r="A8" s="746" t="inlineStr">
        <is>
          <t>VaR 95%</t>
        </is>
      </c>
      <c r="C8" s="444" t="n"/>
      <c r="D8" s="746" t="inlineStr">
        <is>
          <t>TVaR 95%</t>
        </is>
      </c>
      <c r="F8" s="444" t="n"/>
      <c r="G8" s="746" t="inlineStr">
        <is>
          <t>VaR 99%</t>
        </is>
      </c>
      <c r="I8" s="444" t="n"/>
      <c r="J8" s="746" t="inlineStr">
        <is>
          <t>TVaR 99%</t>
        </is>
      </c>
      <c r="L8" s="444" t="n"/>
      <c r="M8" s="746" t="inlineStr">
        <is>
          <t>TVaR99 GAP ABOVE LIMIT</t>
        </is>
      </c>
    </row>
    <row r="9">
      <c r="A9" s="747">
        <f>IF($B$6="Best Estimate",'02 Executive Summary'!B8,'02 Executive Summary'!C8)</f>
        <v/>
      </c>
      <c r="C9" s="444" t="n"/>
      <c r="D9" s="747">
        <f>IF($B$6="Best Estimate",'02 Executive Summary'!B9,'02 Executive Summary'!C9)</f>
        <v/>
      </c>
      <c r="F9" s="444" t="n"/>
      <c r="G9" s="747">
        <f>IF($B$6="Best Estimate",'02 Executive Summary'!B10,'02 Executive Summary'!C10)</f>
        <v/>
      </c>
      <c r="I9" s="444" t="n"/>
      <c r="J9" s="747">
        <f>IF($B$6="Best Estimate",'02 Executive Summary'!B11,'02 Executive Summary'!C11)</f>
        <v/>
      </c>
      <c r="L9" s="444" t="n"/>
      <c r="M9" s="747">
        <f>MAX(J9-$B$4-$H$6,0)</f>
        <v/>
      </c>
    </row>
    <row r="10">
      <c r="C10" s="444" t="n"/>
      <c r="F10" s="444" t="n"/>
      <c r="I10" s="444" t="n"/>
      <c r="L10" s="444" t="n"/>
    </row>
    <row r="11">
      <c r="C11" s="444" t="n"/>
      <c r="F11" s="444" t="n"/>
      <c r="I11" s="444" t="n"/>
      <c r="L11" s="444" t="n"/>
    </row>
    <row r="12">
      <c r="A12" s="762">
        <f>"Limit / TVaR95: "&amp;TEXT(IFERROR($H$6/D9,0),"0%")</f>
        <v/>
      </c>
      <c r="F12" s="444" t="n"/>
      <c r="G12" s="762">
        <f>"Limit / TVaR99: "&amp;TEXT(IFERROR($H$6/J9,0),"0%")</f>
        <v/>
      </c>
      <c r="L12" s="444" t="n"/>
      <c r="M12" s="762">
        <f>"Retention: "&amp;TEXT($B$4,"$#,##0")</f>
        <v/>
      </c>
    </row>
    <row r="13">
      <c r="A13" s="444" t="n"/>
      <c r="B13" s="444" t="n"/>
      <c r="C13" s="444" t="n"/>
      <c r="D13" s="444" t="n"/>
      <c r="E13" s="444" t="n"/>
      <c r="F13" s="444" t="n"/>
      <c r="G13" s="444" t="n"/>
      <c r="H13" s="444" t="n"/>
      <c r="I13" s="444" t="n"/>
      <c r="J13" s="444" t="n"/>
      <c r="K13" s="444" t="n"/>
      <c r="L13" s="444" t="n"/>
      <c r="M13" s="444" t="n"/>
      <c r="N13" s="444" t="n"/>
    </row>
    <row r="14" ht="22" customHeight="1" s="242">
      <c r="A14" s="580" t="inlineStr">
        <is>
          <t>RETURN-PERIOD DIAGNOSTIC</t>
        </is>
      </c>
      <c r="E14" s="444" t="n"/>
      <c r="F14" s="580" t="inlineStr">
        <is>
          <t>LOSS CURVE VS ILLUSTRATIVE LIMIT</t>
        </is>
      </c>
    </row>
    <row r="15">
      <c r="A15" s="588" t="inlineStr">
        <is>
          <t>Return period</t>
        </is>
      </c>
      <c r="B15" s="588" t="inlineStr">
        <is>
          <t>Exceedance probability</t>
        </is>
      </c>
      <c r="C15" s="588" t="inlineStr">
        <is>
          <t>Selected loss</t>
        </is>
      </c>
      <c r="D15" s="588" t="inlineStr">
        <is>
          <t>Amount above retention + limit</t>
        </is>
      </c>
      <c r="E15" s="444" t="n"/>
      <c r="F15" s="444" t="n"/>
      <c r="G15" s="444" t="n"/>
      <c r="H15" s="444" t="n"/>
      <c r="I15" s="444" t="n"/>
      <c r="J15" s="444" t="n"/>
      <c r="K15" s="444" t="n"/>
      <c r="L15" s="444" t="n"/>
      <c r="M15" s="444" t="n"/>
      <c r="N15" s="444" t="n"/>
    </row>
    <row r="16">
      <c r="A16" s="589">
        <f>'17 Aggregate LECs'!A16</f>
        <v/>
      </c>
      <c r="B16" s="591">
        <f>'17 Aggregate LECs'!B16</f>
        <v/>
      </c>
      <c r="C16" s="590">
        <f>IF($B$6="Best Estimate",IF($E$6="AEP",'17 Aggregate LECs'!C16,'17 Aggregate LECs'!D16),IF($E$6="AEP",'17 Aggregate LECs'!E16,'17 Aggregate LECs'!F16))</f>
        <v/>
      </c>
      <c r="D16" s="590">
        <f>MAX(C16-$B$4-$H$6,0)</f>
        <v/>
      </c>
      <c r="E16" s="444" t="n"/>
      <c r="F16" s="444" t="n"/>
      <c r="G16" s="444" t="n"/>
      <c r="H16" s="444" t="n"/>
      <c r="I16" s="444" t="n"/>
      <c r="J16" s="444" t="n"/>
      <c r="K16" s="444" t="n"/>
      <c r="L16" s="444" t="n"/>
      <c r="M16" s="444" t="n"/>
      <c r="N16" s="444" t="n"/>
    </row>
    <row r="17">
      <c r="A17" s="589">
        <f>'17 Aggregate LECs'!A17</f>
        <v/>
      </c>
      <c r="B17" s="591">
        <f>'17 Aggregate LECs'!B17</f>
        <v/>
      </c>
      <c r="C17" s="590">
        <f>IF($B$6="Best Estimate",IF($E$6="AEP",'17 Aggregate LECs'!C17,'17 Aggregate LECs'!D17),IF($E$6="AEP",'17 Aggregate LECs'!E17,'17 Aggregate LECs'!F17))</f>
        <v/>
      </c>
      <c r="D17" s="590">
        <f>MAX(C17-$B$4-$H$6,0)</f>
        <v/>
      </c>
      <c r="E17" s="444" t="n"/>
      <c r="F17" s="444" t="n"/>
      <c r="G17" s="444" t="n"/>
      <c r="H17" s="444" t="n"/>
      <c r="I17" s="444" t="n"/>
      <c r="J17" s="444" t="n"/>
      <c r="K17" s="444" t="n"/>
      <c r="L17" s="444" t="n"/>
      <c r="M17" s="444" t="n"/>
      <c r="N17" s="444" t="n"/>
    </row>
    <row r="18">
      <c r="A18" s="589">
        <f>'17 Aggregate LECs'!A18</f>
        <v/>
      </c>
      <c r="B18" s="591">
        <f>'17 Aggregate LECs'!B18</f>
        <v/>
      </c>
      <c r="C18" s="590">
        <f>IF($B$6="Best Estimate",IF($E$6="AEP",'17 Aggregate LECs'!C18,'17 Aggregate LECs'!D18),IF($E$6="AEP",'17 Aggregate LECs'!E18,'17 Aggregate LECs'!F18))</f>
        <v/>
      </c>
      <c r="D18" s="590">
        <f>MAX(C18-$B$4-$H$6,0)</f>
        <v/>
      </c>
      <c r="E18" s="444" t="n"/>
      <c r="F18" s="444" t="n"/>
      <c r="G18" s="444" t="n"/>
      <c r="H18" s="444" t="n"/>
      <c r="I18" s="444" t="n"/>
      <c r="J18" s="444" t="n"/>
      <c r="K18" s="444" t="n"/>
      <c r="L18" s="444" t="n"/>
      <c r="M18" s="444" t="n"/>
      <c r="N18" s="444" t="n"/>
    </row>
    <row r="19">
      <c r="A19" s="589">
        <f>'17 Aggregate LECs'!A19</f>
        <v/>
      </c>
      <c r="B19" s="591">
        <f>'17 Aggregate LECs'!B19</f>
        <v/>
      </c>
      <c r="C19" s="590">
        <f>IF($B$6="Best Estimate",IF($E$6="AEP",'17 Aggregate LECs'!C19,'17 Aggregate LECs'!D19),IF($E$6="AEP",'17 Aggregate LECs'!E19,'17 Aggregate LECs'!F19))</f>
        <v/>
      </c>
      <c r="D19" s="590">
        <f>MAX(C19-$B$4-$H$6,0)</f>
        <v/>
      </c>
      <c r="E19" s="444" t="n"/>
      <c r="F19" s="444" t="n"/>
      <c r="G19" s="444" t="n"/>
      <c r="H19" s="444" t="n"/>
      <c r="I19" s="444" t="n"/>
      <c r="J19" s="444" t="n"/>
      <c r="K19" s="444" t="n"/>
      <c r="L19" s="444" t="n"/>
      <c r="M19" s="444" t="n"/>
      <c r="N19" s="444" t="n"/>
    </row>
    <row r="20">
      <c r="A20" s="589">
        <f>'17 Aggregate LECs'!A20</f>
        <v/>
      </c>
      <c r="B20" s="591">
        <f>'17 Aggregate LECs'!B20</f>
        <v/>
      </c>
      <c r="C20" s="590">
        <f>IF($B$6="Best Estimate",IF($E$6="AEP",'17 Aggregate LECs'!C20,'17 Aggregate LECs'!D20),IF($E$6="AEP",'17 Aggregate LECs'!E20,'17 Aggregate LECs'!F20))</f>
        <v/>
      </c>
      <c r="D20" s="590">
        <f>MAX(C20-$B$4-$H$6,0)</f>
        <v/>
      </c>
      <c r="E20" s="444" t="n"/>
      <c r="F20" s="444" t="n"/>
      <c r="G20" s="444" t="n"/>
      <c r="H20" s="444" t="n"/>
      <c r="I20" s="444" t="n"/>
      <c r="J20" s="444" t="n"/>
      <c r="K20" s="444" t="n"/>
      <c r="L20" s="444" t="n"/>
      <c r="M20" s="444" t="n"/>
      <c r="N20" s="444" t="n"/>
    </row>
    <row r="21">
      <c r="A21" s="589">
        <f>'17 Aggregate LECs'!A21</f>
        <v/>
      </c>
      <c r="B21" s="591">
        <f>'17 Aggregate LECs'!B21</f>
        <v/>
      </c>
      <c r="C21" s="590">
        <f>IF($B$6="Best Estimate",IF($E$6="AEP",'17 Aggregate LECs'!C21,'17 Aggregate LECs'!D21),IF($E$6="AEP",'17 Aggregate LECs'!E21,'17 Aggregate LECs'!F21))</f>
        <v/>
      </c>
      <c r="D21" s="590">
        <f>MAX(C21-$B$4-$H$6,0)</f>
        <v/>
      </c>
      <c r="E21" s="444" t="n"/>
      <c r="F21" s="444" t="n"/>
      <c r="G21" s="444" t="n"/>
      <c r="H21" s="444" t="n"/>
      <c r="I21" s="444" t="n"/>
      <c r="J21" s="444" t="n"/>
      <c r="K21" s="444" t="n"/>
      <c r="L21" s="444" t="n"/>
      <c r="M21" s="444" t="n"/>
      <c r="N21" s="444" t="n"/>
    </row>
    <row r="22">
      <c r="A22" s="589">
        <f>'17 Aggregate LECs'!A22</f>
        <v/>
      </c>
      <c r="B22" s="591">
        <f>'17 Aggregate LECs'!B22</f>
        <v/>
      </c>
      <c r="C22" s="590">
        <f>IF($B$6="Best Estimate",IF($E$6="AEP",'17 Aggregate LECs'!C22,'17 Aggregate LECs'!D22),IF($E$6="AEP",'17 Aggregate LECs'!E22,'17 Aggregate LECs'!F22))</f>
        <v/>
      </c>
      <c r="D22" s="590">
        <f>MAX(C22-$B$4-$H$6,0)</f>
        <v/>
      </c>
      <c r="E22" s="444" t="n"/>
      <c r="F22" s="444" t="n"/>
      <c r="G22" s="444" t="n"/>
      <c r="H22" s="444" t="n"/>
      <c r="I22" s="444" t="n"/>
      <c r="J22" s="444" t="n"/>
      <c r="K22" s="444" t="n"/>
      <c r="L22" s="444" t="n"/>
      <c r="M22" s="444" t="n"/>
      <c r="N22" s="444" t="n"/>
    </row>
    <row r="23">
      <c r="A23" s="589">
        <f>'17 Aggregate LECs'!A23</f>
        <v/>
      </c>
      <c r="B23" s="591">
        <f>'17 Aggregate LECs'!B23</f>
        <v/>
      </c>
      <c r="C23" s="590">
        <f>IF($B$6="Best Estimate",IF($E$6="AEP",'17 Aggregate LECs'!C23,'17 Aggregate LECs'!D23),IF($E$6="AEP",'17 Aggregate LECs'!E23,'17 Aggregate LECs'!F23))</f>
        <v/>
      </c>
      <c r="D23" s="590">
        <f>MAX(C23-$B$4-$H$6,0)</f>
        <v/>
      </c>
      <c r="E23" s="444" t="n"/>
      <c r="F23" s="444" t="n"/>
      <c r="G23" s="444" t="n"/>
      <c r="H23" s="444" t="n"/>
      <c r="I23" s="444" t="n"/>
      <c r="J23" s="444" t="n"/>
      <c r="K23" s="444" t="n"/>
      <c r="L23" s="444" t="n"/>
      <c r="M23" s="444" t="n"/>
      <c r="N23" s="444" t="n"/>
    </row>
    <row r="24">
      <c r="A24" s="589">
        <f>'17 Aggregate LECs'!A24</f>
        <v/>
      </c>
      <c r="B24" s="591">
        <f>'17 Aggregate LECs'!B24</f>
        <v/>
      </c>
      <c r="C24" s="590">
        <f>IF($B$6="Best Estimate",IF($E$6="AEP",'17 Aggregate LECs'!C24,'17 Aggregate LECs'!D24),IF($E$6="AEP",'17 Aggregate LECs'!E24,'17 Aggregate LECs'!F24))</f>
        <v/>
      </c>
      <c r="D24" s="590">
        <f>MAX(C24-$B$4-$H$6,0)</f>
        <v/>
      </c>
      <c r="E24" s="444" t="n"/>
      <c r="F24" s="444" t="n"/>
      <c r="G24" s="444" t="n"/>
      <c r="H24" s="444" t="n"/>
      <c r="I24" s="444" t="n"/>
      <c r="J24" s="444" t="n"/>
      <c r="K24" s="444" t="n"/>
      <c r="L24" s="444" t="n"/>
      <c r="M24" s="444" t="n"/>
      <c r="N24" s="444" t="n"/>
    </row>
    <row r="25">
      <c r="A25" s="592">
        <f>'17 Aggregate LECs'!A25</f>
        <v/>
      </c>
      <c r="B25" s="594">
        <f>'17 Aggregate LECs'!B25</f>
        <v/>
      </c>
      <c r="C25" s="593">
        <f>IF($B$6="Best Estimate",IF($E$6="AEP",'17 Aggregate LECs'!C25,'17 Aggregate LECs'!D25),IF($E$6="AEP",'17 Aggregate LECs'!E25,'17 Aggregate LECs'!F25))</f>
        <v/>
      </c>
      <c r="D25" s="593">
        <f>MAX(C25-$B$4-$H$6,0)</f>
        <v/>
      </c>
      <c r="E25" s="444" t="n"/>
      <c r="F25" s="444" t="n"/>
      <c r="G25" s="444" t="n"/>
      <c r="H25" s="444" t="n"/>
      <c r="I25" s="444" t="n"/>
      <c r="J25" s="444" t="n"/>
      <c r="K25" s="444" t="n"/>
      <c r="L25" s="444" t="n"/>
      <c r="M25" s="444" t="n"/>
      <c r="N25" s="444" t="n"/>
    </row>
    <row r="26">
      <c r="A26" s="444" t="n"/>
      <c r="B26" s="444" t="n"/>
      <c r="C26" s="444" t="n"/>
      <c r="D26" s="444" t="n"/>
      <c r="E26" s="444" t="n"/>
      <c r="F26" s="444" t="n"/>
      <c r="G26" s="444" t="n"/>
      <c r="H26" s="444" t="n"/>
      <c r="I26" s="444" t="n"/>
      <c r="J26" s="444" t="n"/>
      <c r="K26" s="444" t="n"/>
      <c r="L26" s="444" t="n"/>
      <c r="M26" s="444" t="n"/>
      <c r="N26" s="444" t="n"/>
    </row>
    <row r="27">
      <c r="A27" s="753" t="inlineStr">
        <is>
          <t>Important
The 'amount above retention + limit' is a simple tail diagnostic. It is not the expected uninsured loss under a policy. A true insurance view would need policy attachment, limit, sub-limits, exclusions/coverage, reinstatements and claim-level recovery logic applied inside the simulation.</t>
        </is>
      </c>
      <c r="E27" s="444" t="n"/>
      <c r="F27" s="444" t="n"/>
      <c r="G27" s="444" t="n"/>
      <c r="H27" s="444" t="n"/>
      <c r="I27" s="444" t="n"/>
      <c r="J27" s="444" t="n"/>
      <c r="K27" s="444" t="n"/>
      <c r="L27" s="444" t="n"/>
      <c r="M27" s="444" t="n"/>
      <c r="N27" s="444" t="n"/>
    </row>
    <row r="28">
      <c r="E28" s="444" t="n"/>
      <c r="F28" s="444" t="n"/>
      <c r="G28" s="444" t="n"/>
      <c r="H28" s="444" t="n"/>
      <c r="I28" s="444" t="n"/>
      <c r="J28" s="444" t="n"/>
      <c r="K28" s="444" t="n"/>
      <c r="L28" s="444" t="n"/>
      <c r="M28" s="444" t="n"/>
      <c r="N28" s="444" t="n"/>
    </row>
    <row r="29">
      <c r="E29" s="444" t="n"/>
      <c r="F29" s="444" t="n"/>
      <c r="G29" s="444" t="n"/>
      <c r="H29" s="444" t="n"/>
      <c r="I29" s="444" t="n"/>
      <c r="J29" s="444" t="n"/>
      <c r="K29" s="444" t="n"/>
      <c r="L29" s="444" t="n"/>
      <c r="M29" s="444" t="n"/>
      <c r="N29" s="444" t="n"/>
    </row>
    <row r="30">
      <c r="E30" s="444" t="n"/>
      <c r="F30" s="444" t="n"/>
      <c r="G30" s="444" t="n"/>
      <c r="H30" s="444" t="n"/>
      <c r="I30" s="444" t="n"/>
      <c r="J30" s="444" t="n"/>
      <c r="K30" s="444" t="n"/>
      <c r="L30" s="444" t="n"/>
      <c r="M30" s="444" t="n"/>
      <c r="N30" s="444" t="n"/>
    </row>
    <row r="31">
      <c r="E31" s="444" t="n"/>
      <c r="F31" s="758" t="inlineStr">
        <is>
          <t>Use case
This view is designed to support a limit discussion: compare a proposed limit against the modeled annual and occurrence loss curve and the 95%/99% tail metrics. It should inform, not replace, insurance structuring and broker/underwriter judgement.</t>
        </is>
      </c>
    </row>
    <row r="32">
      <c r="E32" s="444" t="n"/>
    </row>
    <row r="33">
      <c r="A33" s="444" t="n"/>
      <c r="B33" s="444" t="n"/>
      <c r="C33" s="444" t="n"/>
      <c r="D33" s="444" t="n"/>
      <c r="E33" s="444" t="n"/>
    </row>
    <row r="34">
      <c r="A34" s="444" t="n"/>
      <c r="B34" s="444" t="n"/>
      <c r="C34" s="444" t="n"/>
      <c r="D34" s="444" t="n"/>
      <c r="E34" s="444" t="n"/>
    </row>
    <row r="35">
      <c r="A35" s="444" t="n"/>
      <c r="B35" s="444" t="n"/>
      <c r="C35" s="444" t="n"/>
      <c r="D35" s="444" t="n"/>
      <c r="E35" s="444" t="n"/>
    </row>
    <row r="36">
      <c r="A36" s="444" t="n"/>
      <c r="B36" s="444" t="n"/>
      <c r="C36" s="444" t="n"/>
      <c r="D36" s="444" t="n"/>
      <c r="E36" s="444" t="n"/>
      <c r="F36" s="444" t="n"/>
      <c r="G36" s="444" t="n"/>
      <c r="H36" s="444" t="n"/>
      <c r="I36" s="444" t="n"/>
      <c r="J36" s="444" t="n"/>
      <c r="K36" s="444" t="n"/>
      <c r="L36" s="444" t="n"/>
      <c r="M36" s="444" t="n"/>
      <c r="N36" s="444" t="n"/>
    </row>
    <row r="37">
      <c r="A37" s="444" t="n"/>
      <c r="B37" s="444" t="n"/>
      <c r="C37" s="444" t="n"/>
      <c r="D37" s="444" t="n"/>
      <c r="E37" s="444" t="n"/>
      <c r="F37" s="444" t="n"/>
      <c r="G37" s="444" t="n"/>
      <c r="H37" s="444" t="n"/>
      <c r="I37" s="444" t="n"/>
      <c r="J37" s="444" t="n"/>
      <c r="K37" s="444" t="n"/>
      <c r="L37" s="444" t="n"/>
      <c r="M37" s="444" t="n"/>
      <c r="N37" s="444" t="n"/>
    </row>
    <row r="38">
      <c r="A38" s="444" t="n"/>
      <c r="B38" s="444" t="n"/>
      <c r="C38" s="444" t="n"/>
      <c r="D38" s="444" t="n"/>
      <c r="E38" s="444" t="n"/>
      <c r="F38" s="444" t="n"/>
      <c r="G38" s="444" t="n"/>
      <c r="H38" s="444" t="n"/>
      <c r="I38" s="444" t="n"/>
      <c r="J38" s="444" t="n"/>
      <c r="K38" s="444" t="n"/>
      <c r="L38" s="444" t="n"/>
      <c r="M38" s="444" t="n"/>
      <c r="N38" s="444" t="n"/>
    </row>
    <row r="39">
      <c r="A39" s="444" t="n"/>
      <c r="B39" s="444" t="n"/>
      <c r="C39" s="444" t="n"/>
      <c r="D39" s="444" t="n"/>
      <c r="E39" s="444" t="n"/>
      <c r="F39" s="444" t="n"/>
      <c r="G39" s="444" t="n"/>
      <c r="H39" s="444" t="n"/>
      <c r="I39" s="444" t="n"/>
      <c r="J39" s="444" t="n"/>
      <c r="K39" s="444" t="n"/>
      <c r="L39" s="444" t="n"/>
      <c r="M39" s="444" t="n"/>
      <c r="N39" s="444" t="n"/>
    </row>
    <row r="40">
      <c r="A40" s="444" t="n"/>
      <c r="B40" s="444" t="n"/>
      <c r="C40" s="444" t="n"/>
      <c r="D40" s="444" t="n"/>
      <c r="E40" s="444" t="n"/>
      <c r="F40" s="444" t="n"/>
      <c r="G40" s="444" t="n"/>
      <c r="H40" s="444" t="n"/>
      <c r="I40" s="444" t="n"/>
      <c r="J40" s="444" t="n"/>
      <c r="K40" s="444" t="n"/>
      <c r="L40" s="444" t="n"/>
      <c r="M40" s="444" t="n"/>
      <c r="N40" s="444" t="n"/>
    </row>
    <row r="41">
      <c r="A41" s="444" t="n"/>
      <c r="B41" s="444" t="n"/>
      <c r="C41" s="444" t="n"/>
      <c r="D41" s="444" t="n"/>
      <c r="E41" s="444" t="n"/>
      <c r="F41" s="444" t="n"/>
      <c r="G41" s="444" t="n"/>
      <c r="H41" s="444" t="n"/>
      <c r="I41" s="444" t="n"/>
      <c r="J41" s="444" t="n"/>
      <c r="K41" s="444" t="n"/>
      <c r="L41" s="444" t="n"/>
      <c r="M41" s="444" t="n"/>
      <c r="N41" s="444" t="n"/>
    </row>
    <row r="42">
      <c r="A42" s="444" t="n"/>
      <c r="B42" s="444" t="n"/>
      <c r="C42" s="444" t="n"/>
      <c r="D42" s="444" t="n"/>
      <c r="E42" s="444" t="n"/>
      <c r="F42" s="444" t="n"/>
      <c r="G42" s="444" t="n"/>
      <c r="H42" s="444" t="n"/>
      <c r="I42" s="444" t="n"/>
      <c r="J42" s="444" t="n"/>
      <c r="K42" s="444" t="n"/>
      <c r="L42" s="444" t="n"/>
      <c r="M42" s="444" t="n"/>
      <c r="N42" s="444" t="n"/>
    </row>
    <row r="43">
      <c r="A43" s="444" t="n"/>
      <c r="B43" s="444" t="n"/>
      <c r="C43" s="444" t="n"/>
      <c r="D43" s="444" t="n"/>
      <c r="E43" s="444" t="n"/>
      <c r="F43" s="444" t="n"/>
      <c r="G43" s="444" t="n"/>
      <c r="H43" s="444" t="n"/>
      <c r="I43" s="444" t="n"/>
      <c r="J43" s="444" t="n"/>
      <c r="K43" s="444" t="n"/>
      <c r="L43" s="444" t="n"/>
      <c r="M43" s="444" t="n"/>
      <c r="N43" s="444" t="n"/>
    </row>
    <row r="44">
      <c r="A44" s="444" t="n"/>
      <c r="B44" s="444" t="n"/>
      <c r="C44" s="444" t="n"/>
      <c r="D44" s="444" t="n"/>
      <c r="E44" s="444" t="n"/>
      <c r="F44" s="444" t="n"/>
      <c r="G44" s="444" t="n"/>
      <c r="H44" s="444" t="n"/>
      <c r="I44" s="444" t="n"/>
      <c r="J44" s="444" t="n"/>
      <c r="K44" s="444" t="n"/>
      <c r="L44" s="444" t="n"/>
      <c r="M44" s="444" t="n"/>
      <c r="N44" s="444" t="n"/>
    </row>
    <row r="45">
      <c r="A45" s="444" t="n"/>
      <c r="B45" s="444" t="n"/>
      <c r="C45" s="444" t="n"/>
      <c r="D45" s="444" t="n"/>
      <c r="E45" s="444" t="n"/>
      <c r="F45" s="444" t="n"/>
      <c r="G45" s="444" t="n"/>
      <c r="H45" s="444" t="n"/>
      <c r="I45" s="444" t="n"/>
      <c r="J45" s="444" t="n"/>
      <c r="K45" s="444" t="n"/>
      <c r="L45" s="444" t="n"/>
      <c r="M45" s="444" t="n"/>
      <c r="N45" s="444" t="n"/>
    </row>
    <row r="46">
      <c r="A46" s="444" t="n"/>
      <c r="B46" s="444" t="n"/>
      <c r="C46" s="444" t="n"/>
      <c r="D46" s="444" t="n"/>
      <c r="E46" s="444" t="n"/>
      <c r="F46" s="444" t="n"/>
      <c r="G46" s="444" t="n"/>
      <c r="H46" s="444" t="n"/>
      <c r="I46" s="444" t="n"/>
      <c r="J46" s="444" t="n"/>
      <c r="K46" s="444" t="n"/>
      <c r="L46" s="444" t="n"/>
      <c r="M46" s="444" t="n"/>
      <c r="N46" s="444" t="n"/>
    </row>
    <row r="47">
      <c r="A47" s="444" t="n"/>
      <c r="B47" s="444" t="n"/>
      <c r="C47" s="444" t="n"/>
      <c r="D47" s="444" t="n"/>
      <c r="E47" s="444" t="n"/>
      <c r="F47" s="444" t="n"/>
      <c r="G47" s="444" t="n"/>
      <c r="H47" s="444" t="n"/>
      <c r="I47" s="444" t="n"/>
      <c r="J47" s="444" t="n"/>
      <c r="K47" s="444" t="n"/>
      <c r="L47" s="444" t="n"/>
      <c r="M47" s="444" t="n"/>
      <c r="N47" s="444" t="n"/>
    </row>
    <row r="48">
      <c r="A48" s="444" t="n"/>
      <c r="B48" s="444" t="n"/>
      <c r="C48" s="444" t="n"/>
      <c r="D48" s="444" t="n"/>
      <c r="E48" s="444" t="n"/>
      <c r="F48" s="444" t="n"/>
      <c r="G48" s="444" t="n"/>
      <c r="H48" s="444" t="n"/>
      <c r="I48" s="444" t="n"/>
      <c r="J48" s="444" t="n"/>
      <c r="K48" s="444" t="n"/>
      <c r="L48" s="444" t="n"/>
      <c r="M48" s="444" t="n"/>
      <c r="N48" s="444" t="n"/>
    </row>
    <row r="49">
      <c r="A49" s="444" t="n"/>
      <c r="B49" s="444" t="n"/>
      <c r="C49" s="444" t="n"/>
      <c r="D49" s="444" t="n"/>
      <c r="E49" s="444" t="n"/>
      <c r="F49" s="444" t="n"/>
      <c r="G49" s="444" t="n"/>
      <c r="H49" s="444" t="n"/>
      <c r="I49" s="444" t="n"/>
      <c r="J49" s="444" t="n"/>
      <c r="K49" s="444" t="n"/>
      <c r="L49" s="444" t="n"/>
      <c r="M49" s="444" t="n"/>
      <c r="N49" s="444" t="n"/>
    </row>
    <row r="50">
      <c r="A50" s="444" t="n"/>
      <c r="B50" s="444" t="n"/>
      <c r="C50" s="444" t="n"/>
      <c r="D50" s="444" t="n"/>
      <c r="E50" s="444" t="n"/>
      <c r="F50" s="444" t="n"/>
      <c r="G50" s="444" t="n"/>
      <c r="H50" s="444" t="n"/>
      <c r="I50" s="444" t="n"/>
      <c r="J50" s="444" t="n"/>
      <c r="K50" s="444" t="n"/>
      <c r="L50" s="444" t="n"/>
      <c r="M50" s="444" t="n"/>
      <c r="N50" s="444" t="n"/>
    </row>
    <row r="51">
      <c r="A51" s="444" t="n"/>
      <c r="B51" s="444" t="n"/>
      <c r="C51" s="444" t="n"/>
      <c r="D51" s="444" t="n"/>
      <c r="E51" s="444" t="n"/>
      <c r="F51" s="444" t="n"/>
      <c r="G51" s="444" t="n"/>
      <c r="H51" s="444" t="n"/>
      <c r="I51" s="444" t="n"/>
      <c r="J51" s="444" t="n"/>
      <c r="K51" s="444" t="n"/>
      <c r="L51" s="444" t="n"/>
      <c r="M51" s="444" t="n"/>
      <c r="N51" s="444" t="n"/>
    </row>
    <row r="52">
      <c r="A52" s="444" t="n"/>
      <c r="B52" s="444" t="n"/>
      <c r="C52" s="444" t="n"/>
      <c r="D52" s="444" t="n"/>
      <c r="E52" s="444" t="n"/>
      <c r="F52" s="444" t="n"/>
      <c r="G52" s="444" t="n"/>
      <c r="H52" s="444" t="n"/>
      <c r="I52" s="444" t="n"/>
      <c r="J52" s="444" t="n"/>
      <c r="K52" s="444" t="n"/>
      <c r="L52" s="444" t="n"/>
      <c r="M52" s="444" t="n"/>
      <c r="N52" s="444" t="n"/>
    </row>
    <row r="53">
      <c r="A53" s="444" t="n"/>
      <c r="B53" s="444" t="n"/>
      <c r="C53" s="444" t="n"/>
      <c r="D53" s="444" t="n"/>
      <c r="E53" s="444" t="n"/>
      <c r="F53" s="444" t="n"/>
      <c r="G53" s="444" t="n"/>
      <c r="H53" s="444" t="n"/>
      <c r="I53" s="444" t="n"/>
      <c r="J53" s="444" t="n"/>
      <c r="K53" s="444" t="n"/>
      <c r="L53" s="444" t="n"/>
      <c r="M53" s="444" t="n"/>
      <c r="N53" s="444" t="n"/>
    </row>
    <row r="54">
      <c r="A54" s="444" t="n"/>
      <c r="B54" s="444" t="n"/>
      <c r="C54" s="444" t="n"/>
      <c r="D54" s="444" t="n"/>
      <c r="E54" s="444" t="n"/>
      <c r="F54" s="444" t="n"/>
      <c r="G54" s="444" t="n"/>
      <c r="H54" s="444" t="n"/>
      <c r="I54" s="444" t="n"/>
      <c r="J54" s="444" t="n"/>
      <c r="K54" s="444" t="n"/>
      <c r="L54" s="444" t="n"/>
      <c r="M54" s="444" t="n"/>
      <c r="N54" s="444" t="n"/>
    </row>
    <row r="55">
      <c r="A55" s="444" t="n"/>
      <c r="B55" s="444" t="n"/>
      <c r="C55" s="444" t="n"/>
      <c r="D55" s="444" t="n"/>
      <c r="E55" s="444" t="n"/>
      <c r="F55" s="444" t="n"/>
      <c r="G55" s="444" t="n"/>
      <c r="H55" s="444" t="n"/>
      <c r="I55" s="444" t="n"/>
      <c r="J55" s="444" t="n"/>
      <c r="K55" s="444" t="n"/>
      <c r="L55" s="444" t="n"/>
      <c r="M55" s="444" t="n"/>
      <c r="N55" s="444" t="n"/>
    </row>
    <row r="56">
      <c r="A56" s="444" t="n"/>
      <c r="B56" s="444" t="n"/>
      <c r="C56" s="444" t="n"/>
      <c r="D56" s="444" t="n"/>
      <c r="E56" s="444" t="n"/>
      <c r="F56" s="444" t="n"/>
      <c r="G56" s="444" t="n"/>
      <c r="H56" s="444" t="n"/>
      <c r="I56" s="444" t="n"/>
      <c r="J56" s="444" t="n"/>
      <c r="K56" s="444" t="n"/>
      <c r="L56" s="444" t="n"/>
      <c r="M56" s="444" t="n"/>
      <c r="N56" s="444" t="n"/>
    </row>
    <row r="57">
      <c r="A57" s="444" t="n"/>
      <c r="B57" s="444" t="n"/>
      <c r="C57" s="444" t="n"/>
      <c r="D57" s="444" t="n"/>
      <c r="E57" s="444" t="n"/>
      <c r="F57" s="444" t="n"/>
      <c r="G57" s="444" t="n"/>
      <c r="H57" s="444" t="n"/>
      <c r="I57" s="444" t="n"/>
      <c r="J57" s="444" t="n"/>
      <c r="K57" s="444" t="n"/>
      <c r="L57" s="444" t="n"/>
      <c r="M57" s="444" t="n"/>
      <c r="N57" s="444" t="n"/>
    </row>
    <row r="58">
      <c r="A58" s="444" t="n"/>
      <c r="B58" s="444" t="n"/>
      <c r="C58" s="444" t="n"/>
      <c r="D58" s="444" t="n"/>
      <c r="E58" s="444" t="n"/>
      <c r="F58" s="444" t="n"/>
      <c r="G58" s="444" t="n"/>
      <c r="H58" s="444" t="n"/>
      <c r="I58" s="444" t="n"/>
      <c r="J58" s="444" t="n"/>
      <c r="K58" s="444" t="n"/>
      <c r="L58" s="444" t="n"/>
      <c r="M58" s="444" t="n"/>
      <c r="N58" s="444" t="n"/>
    </row>
    <row r="59">
      <c r="A59" s="444" t="n"/>
      <c r="B59" s="444" t="n"/>
      <c r="C59" s="444" t="n"/>
      <c r="D59" s="444" t="n"/>
      <c r="E59" s="444" t="n"/>
      <c r="F59" s="444" t="n"/>
      <c r="G59" s="444" t="n"/>
      <c r="H59" s="444" t="n"/>
      <c r="I59" s="444" t="n"/>
      <c r="J59" s="444" t="n"/>
      <c r="K59" s="444" t="n"/>
      <c r="L59" s="444" t="n"/>
      <c r="M59" s="444" t="n"/>
      <c r="N59" s="444" t="n"/>
    </row>
    <row r="60">
      <c r="A60" s="444" t="n"/>
      <c r="B60" s="444" t="n"/>
      <c r="C60" s="444" t="n"/>
      <c r="D60" s="444" t="n"/>
      <c r="E60" s="444" t="n"/>
      <c r="F60" s="444" t="n"/>
      <c r="G60" s="444" t="n"/>
      <c r="H60" s="444" t="n"/>
      <c r="I60" s="444" t="n"/>
      <c r="J60" s="444" t="n"/>
      <c r="K60" s="444" t="n"/>
      <c r="L60" s="444" t="n"/>
      <c r="M60" s="444" t="n"/>
      <c r="N60" s="444" t="n"/>
    </row>
    <row r="61">
      <c r="A61" s="444" t="n"/>
      <c r="B61" s="444" t="n"/>
      <c r="C61" s="444" t="n"/>
      <c r="D61" s="444" t="n"/>
      <c r="E61" s="444" t="n"/>
      <c r="F61" s="444" t="n"/>
      <c r="G61" s="444" t="n"/>
      <c r="H61" s="444" t="n"/>
      <c r="I61" s="444" t="n"/>
      <c r="J61" s="444" t="inlineStr">
        <is>
          <t>Return period</t>
        </is>
      </c>
      <c r="K61" s="444" t="inlineStr">
        <is>
          <t>Selected loss</t>
        </is>
      </c>
      <c r="L61" s="444" t="inlineStr">
        <is>
          <t>Illustrative limit</t>
        </is>
      </c>
      <c r="M61" s="444" t="n"/>
      <c r="N61" s="444" t="n"/>
    </row>
    <row r="62">
      <c r="A62" s="444" t="n"/>
      <c r="B62" s="444" t="n"/>
      <c r="C62" s="444" t="n"/>
      <c r="D62" s="444" t="n"/>
      <c r="E62" s="444" t="n"/>
      <c r="F62" s="444" t="n"/>
      <c r="G62" s="444" t="n"/>
      <c r="H62" s="444" t="n"/>
      <c r="I62" s="444" t="n"/>
      <c r="J62" s="444">
        <f>A16</f>
        <v/>
      </c>
      <c r="K62" s="444">
        <f>C16</f>
        <v/>
      </c>
      <c r="L62" s="444">
        <f>$H$6</f>
        <v/>
      </c>
      <c r="M62" s="444" t="n"/>
      <c r="N62" s="444" t="n"/>
    </row>
    <row r="63">
      <c r="A63" s="444" t="n"/>
      <c r="B63" s="444" t="n"/>
      <c r="C63" s="444" t="n"/>
      <c r="D63" s="444" t="n"/>
      <c r="E63" s="444" t="n"/>
      <c r="F63" s="444" t="n"/>
      <c r="G63" s="444" t="n"/>
      <c r="H63" s="444" t="n"/>
      <c r="I63" s="444" t="n"/>
      <c r="J63" s="444">
        <f>A17</f>
        <v/>
      </c>
      <c r="K63" s="444">
        <f>C17</f>
        <v/>
      </c>
      <c r="L63" s="444">
        <f>$H$6</f>
        <v/>
      </c>
      <c r="M63" s="444" t="n"/>
      <c r="N63" s="444" t="n"/>
    </row>
    <row r="64">
      <c r="A64" s="444" t="n"/>
      <c r="B64" s="444" t="n"/>
      <c r="C64" s="444" t="n"/>
      <c r="D64" s="444" t="n"/>
      <c r="E64" s="444" t="n"/>
      <c r="F64" s="444" t="n"/>
      <c r="G64" s="444" t="n"/>
      <c r="H64" s="444" t="n"/>
      <c r="I64" s="444" t="n"/>
      <c r="J64" s="444">
        <f>A18</f>
        <v/>
      </c>
      <c r="K64" s="444">
        <f>C18</f>
        <v/>
      </c>
      <c r="L64" s="444">
        <f>$H$6</f>
        <v/>
      </c>
      <c r="M64" s="444" t="n"/>
      <c r="N64" s="444" t="n"/>
    </row>
    <row r="65">
      <c r="A65" s="444" t="n"/>
      <c r="B65" s="444" t="n"/>
      <c r="C65" s="444" t="n"/>
      <c r="D65" s="444" t="n"/>
      <c r="E65" s="444" t="n"/>
      <c r="F65" s="444" t="n"/>
      <c r="G65" s="444" t="n"/>
      <c r="H65" s="444" t="n"/>
      <c r="I65" s="444" t="n"/>
      <c r="J65" s="444">
        <f>A19</f>
        <v/>
      </c>
      <c r="K65" s="444">
        <f>C19</f>
        <v/>
      </c>
      <c r="L65" s="444">
        <f>$H$6</f>
        <v/>
      </c>
      <c r="M65" s="444" t="n"/>
      <c r="N65" s="444" t="n"/>
    </row>
    <row r="66">
      <c r="A66" s="444" t="n"/>
      <c r="B66" s="444" t="n"/>
      <c r="C66" s="444" t="n"/>
      <c r="D66" s="444" t="n"/>
      <c r="E66" s="444" t="n"/>
      <c r="F66" s="444" t="n"/>
      <c r="G66" s="444" t="n"/>
      <c r="H66" s="444" t="n"/>
      <c r="I66" s="444" t="n"/>
      <c r="J66" s="444">
        <f>A20</f>
        <v/>
      </c>
      <c r="K66" s="444">
        <f>C20</f>
        <v/>
      </c>
      <c r="L66" s="444">
        <f>$H$6</f>
        <v/>
      </c>
      <c r="M66" s="444" t="n"/>
      <c r="N66" s="444" t="n"/>
    </row>
    <row r="67">
      <c r="A67" s="444" t="n"/>
      <c r="B67" s="444" t="n"/>
      <c r="C67" s="444" t="n"/>
      <c r="D67" s="444" t="n"/>
      <c r="E67" s="444" t="n"/>
      <c r="F67" s="444" t="n"/>
      <c r="G67" s="444" t="n"/>
      <c r="H67" s="444" t="n"/>
      <c r="I67" s="444" t="n"/>
      <c r="J67" s="444">
        <f>A21</f>
        <v/>
      </c>
      <c r="K67" s="444">
        <f>C21</f>
        <v/>
      </c>
      <c r="L67" s="444">
        <f>$H$6</f>
        <v/>
      </c>
      <c r="M67" s="444" t="n"/>
      <c r="N67" s="444" t="n"/>
    </row>
    <row r="68">
      <c r="A68" s="444" t="n"/>
      <c r="B68" s="444" t="n"/>
      <c r="C68" s="444" t="n"/>
      <c r="D68" s="444" t="n"/>
      <c r="E68" s="444" t="n"/>
      <c r="F68" s="444" t="n"/>
      <c r="G68" s="444" t="n"/>
      <c r="H68" s="444" t="n"/>
      <c r="I68" s="444" t="n"/>
      <c r="J68" s="444">
        <f>A22</f>
        <v/>
      </c>
      <c r="K68" s="444">
        <f>C22</f>
        <v/>
      </c>
      <c r="L68" s="444">
        <f>$H$6</f>
        <v/>
      </c>
      <c r="M68" s="444" t="n"/>
      <c r="N68" s="444" t="n"/>
    </row>
    <row r="69">
      <c r="A69" s="444" t="n"/>
      <c r="B69" s="444" t="n"/>
      <c r="C69" s="444" t="n"/>
      <c r="D69" s="444" t="n"/>
      <c r="E69" s="444" t="n"/>
      <c r="F69" s="444" t="n"/>
      <c r="G69" s="444" t="n"/>
      <c r="H69" s="444" t="n"/>
      <c r="I69" s="444" t="n"/>
      <c r="J69" s="444">
        <f>A23</f>
        <v/>
      </c>
      <c r="K69" s="444">
        <f>C23</f>
        <v/>
      </c>
      <c r="L69" s="444">
        <f>$H$6</f>
        <v/>
      </c>
      <c r="M69" s="444" t="n"/>
      <c r="N69" s="444" t="n"/>
    </row>
    <row r="70">
      <c r="A70" s="444" t="n"/>
      <c r="B70" s="444" t="n"/>
      <c r="C70" s="444" t="n"/>
      <c r="D70" s="444" t="n"/>
      <c r="E70" s="444" t="n"/>
      <c r="F70" s="444" t="n"/>
      <c r="G70" s="444" t="n"/>
      <c r="H70" s="444" t="n"/>
      <c r="I70" s="444" t="n"/>
      <c r="J70" s="444">
        <f>A24</f>
        <v/>
      </c>
      <c r="K70" s="444">
        <f>C24</f>
        <v/>
      </c>
      <c r="L70" s="444">
        <f>$H$6</f>
        <v/>
      </c>
      <c r="M70" s="444" t="n"/>
      <c r="N70" s="444" t="n"/>
    </row>
    <row r="71">
      <c r="A71" s="444" t="n"/>
      <c r="B71" s="444" t="n"/>
      <c r="C71" s="444" t="n"/>
      <c r="D71" s="444" t="n"/>
      <c r="E71" s="444" t="n"/>
      <c r="F71" s="444" t="n"/>
      <c r="G71" s="444" t="n"/>
      <c r="H71" s="444" t="n"/>
      <c r="I71" s="444" t="n"/>
      <c r="J71" s="444">
        <f>A25</f>
        <v/>
      </c>
      <c r="K71" s="444">
        <f>C25</f>
        <v/>
      </c>
      <c r="L71" s="444">
        <f>$H$6</f>
        <v/>
      </c>
      <c r="M71" s="444" t="n"/>
      <c r="N71" s="444" t="n"/>
    </row>
    <row r="72">
      <c r="A72" s="444" t="n"/>
      <c r="B72" s="444" t="n"/>
      <c r="C72" s="444" t="n"/>
      <c r="D72" s="444" t="n"/>
      <c r="E72" s="444" t="n"/>
      <c r="F72" s="444" t="n"/>
      <c r="G72" s="444" t="n"/>
      <c r="H72" s="444" t="n"/>
      <c r="I72" s="444" t="n"/>
      <c r="J72" s="444" t="n"/>
      <c r="K72" s="444" t="n"/>
      <c r="L72" s="444" t="n"/>
      <c r="M72" s="444" t="n"/>
      <c r="N72" s="444" t="n"/>
    </row>
    <row r="73">
      <c r="A73" s="444" t="n"/>
      <c r="B73" s="444" t="n"/>
      <c r="C73" s="444" t="n"/>
      <c r="D73" s="444" t="n"/>
      <c r="E73" s="444" t="n"/>
      <c r="F73" s="444" t="n"/>
      <c r="G73" s="444" t="n"/>
      <c r="H73" s="444" t="n"/>
      <c r="I73" s="444" t="n"/>
      <c r="J73" s="444" t="n"/>
      <c r="K73" s="444" t="n"/>
      <c r="L73" s="444" t="n"/>
      <c r="M73" s="444" t="n"/>
      <c r="N73" s="444" t="n"/>
    </row>
    <row r="74">
      <c r="A74" s="444" t="n"/>
      <c r="B74" s="444" t="n"/>
      <c r="C74" s="444" t="n"/>
      <c r="D74" s="444" t="n"/>
      <c r="E74" s="444" t="n"/>
      <c r="F74" s="444" t="n"/>
      <c r="G74" s="444" t="n"/>
      <c r="H74" s="444" t="n"/>
      <c r="I74" s="444" t="n"/>
      <c r="J74" s="444" t="n"/>
      <c r="K74" s="444" t="n"/>
      <c r="L74" s="444" t="n"/>
      <c r="M74" s="444" t="n"/>
      <c r="N74" s="444" t="n"/>
    </row>
    <row r="75">
      <c r="A75" s="444" t="n"/>
      <c r="B75" s="444" t="n"/>
      <c r="C75" s="444" t="n"/>
      <c r="D75" s="444" t="n"/>
      <c r="E75" s="444" t="n"/>
      <c r="F75" s="444" t="n"/>
      <c r="G75" s="444" t="n"/>
      <c r="H75" s="444" t="n"/>
      <c r="I75" s="444" t="n"/>
      <c r="J75" s="444" t="n"/>
      <c r="K75" s="444" t="n"/>
      <c r="L75" s="444" t="n"/>
      <c r="M75" s="444" t="n"/>
      <c r="N75" s="444" t="n"/>
    </row>
    <row r="76">
      <c r="A76" s="444" t="n"/>
      <c r="B76" s="444" t="n"/>
      <c r="C76" s="444" t="n"/>
      <c r="D76" s="444" t="n"/>
      <c r="E76" s="444" t="n"/>
      <c r="F76" s="444" t="n"/>
      <c r="G76" s="444" t="n"/>
      <c r="H76" s="444" t="n"/>
      <c r="I76" s="444" t="n"/>
      <c r="J76" s="444" t="n"/>
      <c r="K76" s="444" t="n"/>
      <c r="L76" s="444" t="n"/>
      <c r="M76" s="444" t="n"/>
      <c r="N76" s="444" t="n"/>
    </row>
    <row r="77">
      <c r="A77" s="444" t="n"/>
      <c r="B77" s="444" t="n"/>
      <c r="C77" s="444" t="n"/>
      <c r="D77" s="444" t="n"/>
      <c r="E77" s="444" t="n"/>
      <c r="F77" s="444" t="n"/>
      <c r="G77" s="444" t="n"/>
      <c r="H77" s="444" t="n"/>
      <c r="I77" s="444" t="n"/>
      <c r="J77" s="444" t="n"/>
      <c r="K77" s="444" t="n"/>
      <c r="L77" s="444" t="n"/>
      <c r="M77" s="444" t="n"/>
      <c r="N77" s="444" t="n"/>
    </row>
    <row r="78">
      <c r="A78" s="444" t="n"/>
      <c r="B78" s="444" t="n"/>
      <c r="C78" s="444" t="n"/>
      <c r="D78" s="444" t="n"/>
      <c r="E78" s="444" t="n"/>
      <c r="F78" s="444" t="n"/>
      <c r="G78" s="444" t="n"/>
      <c r="H78" s="444" t="n"/>
      <c r="I78" s="444" t="n"/>
      <c r="J78" s="444" t="n"/>
      <c r="K78" s="444" t="n"/>
      <c r="L78" s="444" t="n"/>
      <c r="M78" s="444" t="n"/>
      <c r="N78" s="444" t="n"/>
    </row>
    <row r="79">
      <c r="A79" s="444" t="n"/>
      <c r="B79" s="444" t="n"/>
      <c r="C79" s="444" t="n"/>
      <c r="D79" s="444" t="n"/>
      <c r="E79" s="444" t="n"/>
      <c r="F79" s="444" t="n"/>
      <c r="G79" s="444" t="n"/>
      <c r="H79" s="444" t="n"/>
      <c r="I79" s="444" t="n"/>
      <c r="J79" s="444" t="n"/>
      <c r="K79" s="444" t="n"/>
      <c r="L79" s="444" t="n"/>
      <c r="M79" s="444" t="n"/>
      <c r="N79" s="444" t="n"/>
    </row>
    <row r="80">
      <c r="A80" s="444" t="n"/>
      <c r="B80" s="444" t="n"/>
      <c r="C80" s="444" t="n"/>
      <c r="D80" s="444" t="n"/>
      <c r="E80" s="444" t="n"/>
      <c r="F80" s="444" t="n"/>
      <c r="G80" s="444" t="n"/>
      <c r="H80" s="444" t="n"/>
      <c r="I80" s="444" t="n"/>
      <c r="J80" s="444" t="n"/>
      <c r="K80" s="444" t="n"/>
      <c r="L80" s="444" t="n"/>
      <c r="M80" s="444" t="n"/>
      <c r="N80" s="444" t="n"/>
    </row>
  </sheetData>
  <mergeCells count="24">
    <mergeCell ref="G12:K12"/>
    <mergeCell ref="A9:B11"/>
    <mergeCell ref="M9:N11"/>
    <mergeCell ref="G8:H8"/>
    <mergeCell ref="G9:H11"/>
    <mergeCell ref="J9:K11"/>
    <mergeCell ref="I4:N4"/>
    <mergeCell ref="A12:E12"/>
    <mergeCell ref="A3:N3"/>
    <mergeCell ref="A27:D32"/>
    <mergeCell ref="F31:N35"/>
    <mergeCell ref="M6:N6"/>
    <mergeCell ref="M12:N12"/>
    <mergeCell ref="B4:D4"/>
    <mergeCell ref="F14:N14"/>
    <mergeCell ref="H6:K6"/>
    <mergeCell ref="F4:H4"/>
    <mergeCell ref="A8:B8"/>
    <mergeCell ref="M8:N8"/>
    <mergeCell ref="D8:E8"/>
    <mergeCell ref="A1:N2"/>
    <mergeCell ref="D9:E11"/>
    <mergeCell ref="J8:K8"/>
    <mergeCell ref="A14:D14"/>
  </mergeCells>
  <conditionalFormatting sqref="D16:D25">
    <cfRule type="dataBar" priority="1">
      <dataBar>
        <cfvo type="min"/>
        <cfvo type="max"/>
        <color rgb="FFF43F5E"/>
      </dataBar>
    </cfRule>
  </conditionalFormatting>
  <dataValidations count="2">
    <dataValidation sqref="B6" showDropDown="0" showInputMessage="0" showErrorMessage="0" allowBlank="0" type="list">
      <formula1>"Best Estimate,Prudent"</formula1>
    </dataValidation>
    <dataValidation sqref="E6" showDropDown="0" showInputMessage="0" showErrorMessage="0" allowBlank="0" type="list">
      <formula1>"AEP,OEP"</formula1>
    </dataValidation>
  </dataValidation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2026-08-24T09:20:10Z</dcterms:created>
  <dcterms:modified xsi:type="dcterms:W3CDTF">2026-08-24T09:20:10Z</dcterms:modified>
</cp:coreProperties>
</file>